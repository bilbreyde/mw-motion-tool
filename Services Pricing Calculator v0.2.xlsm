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2" codeName="{00000000-0000-0000-0000-000000000000}"/>
  <workbookPr codeName="ThisWorkbook"/>
  <mc:AlternateContent xmlns:mc="http://schemas.openxmlformats.org/markup-compatibility/2006">
    <mc:Choice Requires="x15">
      <x15ac:absPath xmlns:x15ac="http://schemas.microsoft.com/office/spreadsheetml/2010/11/ac" url="https://zones-my.sharepoint.com/personal/shitij_chandra_zones_com/Documents/Documents/Workplace Services/Solutions/2023/Q4/VaultSpeed (UK)/Final Submitted/"/>
    </mc:Choice>
  </mc:AlternateContent>
  <xr:revisionPtr revIDLastSave="0" documentId="8_{37571828-2785-46DA-AEBA-A0BACE4BCE0E}" xr6:coauthVersionLast="47" xr6:coauthVersionMax="47" xr10:uidLastSave="{00000000-0000-0000-0000-000000000000}"/>
  <bookViews>
    <workbookView minimized="1" xWindow="38660" yWindow="1120" windowWidth="36220" windowHeight="18960" xr2:uid="{00000000-000D-0000-FFFF-FFFF00000000}"/>
  </bookViews>
  <sheets>
    <sheet name="Efforts" sheetId="36" r:id="rId1"/>
    <sheet name="Overall Staffing Plan" sheetId="28" r:id="rId2"/>
    <sheet name="COLA (WIP)" sheetId="33" state="hidden" r:id="rId3"/>
    <sheet name="Overview" sheetId="8" r:id="rId4"/>
    <sheet name="Product+Services" sheetId="24" state="hidden" r:id="rId5"/>
    <sheet name="Baseline" sheetId="5" r:id="rId6"/>
    <sheet name="Pro Services" sheetId="21" r:id="rId7"/>
    <sheet name="Startup" sheetId="2" r:id="rId8"/>
    <sheet name="Pilot" sheetId="14" r:id="rId9"/>
    <sheet name="PMO" sheetId="15" r:id="rId10"/>
    <sheet name="Design &amp; Fulfillment" sheetId="16" r:id="rId11"/>
    <sheet name="Workplace" sheetId="17" r:id="rId12"/>
    <sheet name="Integration" sheetId="18" r:id="rId13"/>
    <sheet name="Logistics" sheetId="19" r:id="rId14"/>
    <sheet name="Service Desk" sheetId="20" r:id="rId15"/>
    <sheet name="Resource Descriptions" sheetId="3" r:id="rId16"/>
    <sheet name="Data Tables" sheetId="6" state="hidden" r:id="rId17"/>
    <sheet name="Services Approval Matrix" sheetId="35" r:id="rId18"/>
    <sheet name="Product Only Approval Matrix" sheetId="32" r:id="rId19"/>
    <sheet name="Version Control" sheetId="23" r:id="rId20"/>
    <sheet name="Budget_Tenrox" sheetId="22" state="hidden" r:id="rId21"/>
    <sheet name="Expenses &amp; Materials" sheetId="7" state="hidden" r:id="rId22"/>
  </sheets>
  <definedNames>
    <definedName name="_xlnm._FilterDatabase" localSheetId="16" hidden="1">'Data Tables'!$B$19:$C$19</definedName>
    <definedName name="_xlnm._FilterDatabase" localSheetId="1" hidden="1">'Overall Staffing Plan'!$B$9:$C$9</definedName>
    <definedName name="_xlnm._FilterDatabase" localSheetId="15" hidden="1">'Resource Descriptions'!$B$5:$I$5</definedName>
    <definedName name="Assumptions" localSheetId="5">Baseline!$B$33:$G$97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36" l="1"/>
  <c r="M4" i="36" l="1"/>
  <c r="N4" i="36" s="1"/>
  <c r="D8" i="21" s="1"/>
  <c r="M6" i="36"/>
  <c r="N6" i="36" s="1"/>
  <c r="M5" i="36"/>
  <c r="N5" i="36" s="1"/>
  <c r="G9" i="21"/>
  <c r="G16" i="21"/>
  <c r="G17" i="21"/>
  <c r="G18" i="21"/>
  <c r="G19" i="21"/>
  <c r="G20" i="21"/>
  <c r="G21" i="21"/>
  <c r="G22" i="21"/>
  <c r="G23" i="21"/>
  <c r="G24" i="21"/>
  <c r="G25" i="21"/>
  <c r="G26" i="21"/>
  <c r="G27" i="21"/>
  <c r="G12" i="20"/>
  <c r="G13" i="20"/>
  <c r="G14" i="20"/>
  <c r="G15" i="20"/>
  <c r="G16" i="20"/>
  <c r="G17" i="20"/>
  <c r="G18" i="20"/>
  <c r="G19" i="20"/>
  <c r="G20" i="20"/>
  <c r="G21" i="20"/>
  <c r="G22" i="20"/>
  <c r="G23" i="20"/>
  <c r="G24" i="20"/>
  <c r="G25" i="20"/>
  <c r="G26" i="20"/>
  <c r="G27" i="20"/>
  <c r="G12" i="19"/>
  <c r="G13" i="19"/>
  <c r="G14" i="19"/>
  <c r="G15" i="19"/>
  <c r="G16" i="19"/>
  <c r="G17" i="19"/>
  <c r="G18" i="19"/>
  <c r="G19" i="19"/>
  <c r="G20" i="19"/>
  <c r="G21" i="19"/>
  <c r="G22" i="19"/>
  <c r="G23" i="19"/>
  <c r="G24" i="19"/>
  <c r="G25" i="19"/>
  <c r="G26" i="19"/>
  <c r="G27" i="19"/>
  <c r="G13" i="18"/>
  <c r="G14" i="18"/>
  <c r="G15" i="18"/>
  <c r="G16" i="18"/>
  <c r="G17" i="18"/>
  <c r="G18" i="18"/>
  <c r="G19" i="18"/>
  <c r="G20" i="18"/>
  <c r="G21" i="18"/>
  <c r="G22" i="18"/>
  <c r="G23" i="18"/>
  <c r="G24" i="18"/>
  <c r="G25" i="18"/>
  <c r="G26" i="18"/>
  <c r="G27" i="18"/>
  <c r="G11" i="17"/>
  <c r="G12" i="17"/>
  <c r="G13" i="17"/>
  <c r="G14" i="17"/>
  <c r="G15" i="17"/>
  <c r="G16" i="17"/>
  <c r="G17" i="17"/>
  <c r="G18" i="17"/>
  <c r="G19" i="17"/>
  <c r="G20" i="17"/>
  <c r="G21" i="17"/>
  <c r="G22" i="17"/>
  <c r="G23" i="17"/>
  <c r="G24" i="17"/>
  <c r="G25" i="17"/>
  <c r="G26" i="17"/>
  <c r="G27" i="17"/>
  <c r="G9" i="16"/>
  <c r="H9" i="16" s="1"/>
  <c r="G11" i="16"/>
  <c r="G12" i="16"/>
  <c r="G13" i="16"/>
  <c r="G14" i="16"/>
  <c r="G15" i="16"/>
  <c r="G16" i="16"/>
  <c r="G17" i="16"/>
  <c r="G18" i="16"/>
  <c r="G19" i="16"/>
  <c r="G20" i="16"/>
  <c r="G21" i="16"/>
  <c r="G22" i="16"/>
  <c r="G23" i="16"/>
  <c r="G24" i="16"/>
  <c r="G25" i="16"/>
  <c r="G26" i="16"/>
  <c r="G27" i="16"/>
  <c r="G9" i="14"/>
  <c r="G10" i="14"/>
  <c r="G11" i="14"/>
  <c r="G12" i="14"/>
  <c r="G13" i="14"/>
  <c r="G14" i="14"/>
  <c r="G15" i="14"/>
  <c r="G16" i="14"/>
  <c r="G17" i="14"/>
  <c r="G18" i="14"/>
  <c r="G19" i="14"/>
  <c r="G20" i="14"/>
  <c r="G21" i="14"/>
  <c r="G22" i="14"/>
  <c r="G23" i="14"/>
  <c r="G24" i="14"/>
  <c r="G25" i="14"/>
  <c r="G26" i="14"/>
  <c r="G27" i="14"/>
  <c r="G9" i="2"/>
  <c r="G10" i="2"/>
  <c r="G11" i="2"/>
  <c r="G12" i="2"/>
  <c r="G13" i="2"/>
  <c r="G14" i="2"/>
  <c r="G15" i="2"/>
  <c r="G16" i="2"/>
  <c r="G17" i="2"/>
  <c r="G18" i="2"/>
  <c r="G19" i="2"/>
  <c r="G20" i="2"/>
  <c r="G21" i="2"/>
  <c r="G22" i="2"/>
  <c r="G23" i="2"/>
  <c r="G24" i="2"/>
  <c r="G25" i="2"/>
  <c r="G26" i="2"/>
  <c r="G27" i="2"/>
  <c r="J20" i="18"/>
  <c r="K20" i="18" s="1"/>
  <c r="M20" i="18" s="1"/>
  <c r="G8" i="16"/>
  <c r="G8" i="14"/>
  <c r="G10" i="15"/>
  <c r="G11" i="15"/>
  <c r="G12" i="15"/>
  <c r="G13" i="15"/>
  <c r="H13" i="15" s="1"/>
  <c r="G14" i="15"/>
  <c r="G15" i="15"/>
  <c r="G16" i="15"/>
  <c r="G17" i="15"/>
  <c r="G18" i="15"/>
  <c r="G19" i="15"/>
  <c r="G20" i="15"/>
  <c r="G21" i="15"/>
  <c r="H21" i="15" s="1"/>
  <c r="G22" i="15"/>
  <c r="G23" i="15"/>
  <c r="J23" i="15" a="1"/>
  <c r="J23" i="15" s="1"/>
  <c r="G24" i="15"/>
  <c r="G25" i="15"/>
  <c r="G26" i="15"/>
  <c r="G27" i="15"/>
  <c r="C8" i="15"/>
  <c r="G8" i="15" s="1"/>
  <c r="G9" i="15"/>
  <c r="C2" i="15"/>
  <c r="Q59" i="15" s="1"/>
  <c r="E15" i="33"/>
  <c r="F15" i="33" s="1"/>
  <c r="G15" i="33" s="1"/>
  <c r="H15" i="33" s="1"/>
  <c r="I15" i="33" s="1"/>
  <c r="J15" i="33" s="1"/>
  <c r="K15" i="33" s="1"/>
  <c r="L15" i="33" s="1"/>
  <c r="M15" i="33" s="1"/>
  <c r="E14" i="33"/>
  <c r="F14" i="33" s="1"/>
  <c r="G14" i="33" s="1"/>
  <c r="H14" i="33" s="1"/>
  <c r="I14" i="33" s="1"/>
  <c r="J14" i="33" s="1"/>
  <c r="K14" i="33" s="1"/>
  <c r="L14" i="33" s="1"/>
  <c r="M14" i="33" s="1"/>
  <c r="E13" i="33"/>
  <c r="F13" i="33" s="1"/>
  <c r="G13" i="33" s="1"/>
  <c r="H13" i="33" s="1"/>
  <c r="I13" i="33" s="1"/>
  <c r="J13" i="33" s="1"/>
  <c r="K13" i="33" s="1"/>
  <c r="L13" i="33" s="1"/>
  <c r="M13" i="33" s="1"/>
  <c r="E12" i="33"/>
  <c r="F12" i="33" s="1"/>
  <c r="G12" i="33" s="1"/>
  <c r="H12" i="33" s="1"/>
  <c r="I12" i="33" s="1"/>
  <c r="J12" i="33" s="1"/>
  <c r="K12" i="33" s="1"/>
  <c r="L12" i="33" s="1"/>
  <c r="M12" i="33" s="1"/>
  <c r="E11" i="33"/>
  <c r="F11" i="33" s="1"/>
  <c r="G11" i="33" s="1"/>
  <c r="H11" i="33" s="1"/>
  <c r="I11" i="33" s="1"/>
  <c r="J11" i="33" s="1"/>
  <c r="K11" i="33" s="1"/>
  <c r="L11" i="33" s="1"/>
  <c r="M11" i="33" s="1"/>
  <c r="C10" i="17"/>
  <c r="G10" i="17" s="1"/>
  <c r="H10" i="17" s="1"/>
  <c r="H97" i="6"/>
  <c r="H98" i="6"/>
  <c r="J98" i="6" s="1"/>
  <c r="I97" i="6"/>
  <c r="I98" i="6"/>
  <c r="G39" i="3"/>
  <c r="H39" i="3"/>
  <c r="I39" i="3"/>
  <c r="G40" i="3"/>
  <c r="H40" i="3"/>
  <c r="I40" i="3"/>
  <c r="G2" i="5"/>
  <c r="C9" i="20"/>
  <c r="G9" i="20" s="1"/>
  <c r="C8" i="20"/>
  <c r="G8" i="20" s="1"/>
  <c r="B12" i="15"/>
  <c r="B11" i="15"/>
  <c r="G107" i="3"/>
  <c r="H22" i="6"/>
  <c r="I22" i="6"/>
  <c r="H101" i="6"/>
  <c r="I101" i="6"/>
  <c r="G110" i="3"/>
  <c r="G109" i="3"/>
  <c r="G103" i="3"/>
  <c r="G104" i="3"/>
  <c r="G105" i="3"/>
  <c r="G106" i="3"/>
  <c r="H96" i="6"/>
  <c r="J96" i="6" s="1"/>
  <c r="I96" i="6"/>
  <c r="G15" i="21"/>
  <c r="H15" i="21" s="1"/>
  <c r="G14" i="21"/>
  <c r="G11" i="21"/>
  <c r="G13" i="21"/>
  <c r="G8" i="21"/>
  <c r="G10" i="21"/>
  <c r="C9" i="17"/>
  <c r="G9" i="17" s="1"/>
  <c r="C8" i="17"/>
  <c r="G8" i="17" s="1"/>
  <c r="H8" i="17" s="1"/>
  <c r="B9" i="20"/>
  <c r="B8" i="20"/>
  <c r="B10" i="17"/>
  <c r="B9" i="17"/>
  <c r="B8" i="17"/>
  <c r="C10" i="16"/>
  <c r="G10" i="16" s="1"/>
  <c r="H10" i="16" s="1"/>
  <c r="B10" i="16"/>
  <c r="B9" i="16"/>
  <c r="B8" i="16"/>
  <c r="E109" i="28"/>
  <c r="E110" i="28"/>
  <c r="E111" i="28"/>
  <c r="E112" i="28"/>
  <c r="E113" i="28"/>
  <c r="E114" i="28"/>
  <c r="G109" i="28"/>
  <c r="D109" i="28" s="1"/>
  <c r="G110" i="28"/>
  <c r="G111" i="28"/>
  <c r="G112" i="28"/>
  <c r="G113" i="28"/>
  <c r="D113" i="28" s="1"/>
  <c r="G114" i="28"/>
  <c r="I109" i="28"/>
  <c r="I110" i="28"/>
  <c r="I111" i="28"/>
  <c r="I112" i="28"/>
  <c r="I113" i="28"/>
  <c r="I114" i="28"/>
  <c r="K109" i="28"/>
  <c r="K110" i="28"/>
  <c r="K111" i="28"/>
  <c r="K112" i="28"/>
  <c r="K113" i="28"/>
  <c r="K114" i="28"/>
  <c r="M109" i="28"/>
  <c r="M110" i="28"/>
  <c r="M111" i="28"/>
  <c r="M112" i="28"/>
  <c r="M113" i="28"/>
  <c r="M114" i="28"/>
  <c r="H109" i="6"/>
  <c r="H110" i="6"/>
  <c r="H111" i="6"/>
  <c r="H112" i="6"/>
  <c r="H113" i="6"/>
  <c r="H114" i="6"/>
  <c r="H115" i="6"/>
  <c r="H116" i="6"/>
  <c r="H117" i="6"/>
  <c r="H118" i="6"/>
  <c r="H119" i="6"/>
  <c r="H120" i="6"/>
  <c r="H121" i="6"/>
  <c r="I109" i="6"/>
  <c r="I110" i="6"/>
  <c r="I111" i="6"/>
  <c r="I112" i="6"/>
  <c r="I113" i="6"/>
  <c r="I114" i="6"/>
  <c r="J114" i="6" s="1"/>
  <c r="I115" i="6"/>
  <c r="I116" i="6"/>
  <c r="I117" i="6"/>
  <c r="I118" i="6"/>
  <c r="J118" i="6" s="1"/>
  <c r="I119" i="6"/>
  <c r="I120" i="6"/>
  <c r="I121" i="6"/>
  <c r="C14" i="6"/>
  <c r="D14" i="6"/>
  <c r="I45" i="3"/>
  <c r="H45" i="3"/>
  <c r="C5" i="6"/>
  <c r="D5" i="6"/>
  <c r="C7" i="6"/>
  <c r="D7" i="6"/>
  <c r="C8" i="6"/>
  <c r="D8" i="6"/>
  <c r="E8" i="6" s="1"/>
  <c r="C9" i="6"/>
  <c r="E9" i="6" s="1"/>
  <c r="D9" i="6"/>
  <c r="C10" i="6"/>
  <c r="D10" i="6"/>
  <c r="I44" i="3"/>
  <c r="H44" i="3"/>
  <c r="I43" i="3"/>
  <c r="H43" i="3"/>
  <c r="I42" i="3"/>
  <c r="H42" i="3"/>
  <c r="I41" i="3"/>
  <c r="H41" i="3"/>
  <c r="G108" i="3"/>
  <c r="H93" i="3"/>
  <c r="I93" i="3"/>
  <c r="H94" i="3"/>
  <c r="I94" i="3"/>
  <c r="H95" i="3"/>
  <c r="I95" i="3"/>
  <c r="G96" i="3"/>
  <c r="H96" i="3"/>
  <c r="I96" i="3"/>
  <c r="G97" i="3"/>
  <c r="H97" i="3"/>
  <c r="I97" i="3"/>
  <c r="G98" i="3"/>
  <c r="H98" i="3"/>
  <c r="I98" i="3"/>
  <c r="G99" i="3"/>
  <c r="H99" i="3"/>
  <c r="I99" i="3"/>
  <c r="G100" i="3"/>
  <c r="H36" i="3"/>
  <c r="I36" i="3"/>
  <c r="H37" i="3"/>
  <c r="I37" i="3"/>
  <c r="H38" i="3"/>
  <c r="I38" i="3"/>
  <c r="H47" i="3"/>
  <c r="I47" i="3"/>
  <c r="H48" i="3"/>
  <c r="I48" i="3"/>
  <c r="G28" i="3"/>
  <c r="I27" i="3"/>
  <c r="H27" i="3"/>
  <c r="G27" i="3"/>
  <c r="I26" i="3"/>
  <c r="H26" i="3"/>
  <c r="G26" i="3"/>
  <c r="H46" i="3"/>
  <c r="I46" i="3"/>
  <c r="G37" i="3"/>
  <c r="G38" i="3"/>
  <c r="G35" i="3"/>
  <c r="G36" i="3"/>
  <c r="G33" i="3"/>
  <c r="G34" i="3"/>
  <c r="G30" i="3"/>
  <c r="H30" i="3"/>
  <c r="I30" i="3"/>
  <c r="G31" i="3"/>
  <c r="H31" i="3"/>
  <c r="I31" i="3"/>
  <c r="G32" i="3"/>
  <c r="I29" i="3"/>
  <c r="H29" i="3"/>
  <c r="G29" i="3"/>
  <c r="G23" i="3"/>
  <c r="G24" i="3"/>
  <c r="G25" i="3"/>
  <c r="G22" i="3"/>
  <c r="G18" i="3"/>
  <c r="G17" i="3"/>
  <c r="G13" i="3"/>
  <c r="G9" i="3"/>
  <c r="G10" i="3"/>
  <c r="G11" i="3"/>
  <c r="G12" i="3"/>
  <c r="J22" i="6"/>
  <c r="J112" i="6"/>
  <c r="J117" i="6"/>
  <c r="J120" i="6"/>
  <c r="B9" i="5"/>
  <c r="E8" i="5"/>
  <c r="C56" i="14"/>
  <c r="D8" i="5"/>
  <c r="C4" i="16" s="1"/>
  <c r="D56" i="2"/>
  <c r="I8" i="2"/>
  <c r="J16" i="14"/>
  <c r="C2" i="14"/>
  <c r="O59" i="14"/>
  <c r="B10" i="15"/>
  <c r="J27" i="21" a="1"/>
  <c r="J27" i="21" s="1"/>
  <c r="K27" i="21" s="1"/>
  <c r="M27" i="21" s="1"/>
  <c r="J26" i="21" a="1"/>
  <c r="J26" i="21" s="1"/>
  <c r="K26" i="21" s="1"/>
  <c r="M26" i="21" s="1"/>
  <c r="J25" i="21" a="1"/>
  <c r="J25" i="21" s="1"/>
  <c r="J24" i="21" a="1"/>
  <c r="J24" i="21" s="1"/>
  <c r="K24" i="21" s="1"/>
  <c r="M24" i="21" s="1"/>
  <c r="J23" i="21" a="1"/>
  <c r="J23" i="21" s="1"/>
  <c r="K23" i="21" s="1"/>
  <c r="M23" i="21" s="1"/>
  <c r="J22" i="21" a="1"/>
  <c r="J22" i="21" s="1"/>
  <c r="K22" i="21" s="1"/>
  <c r="M22" i="21" s="1"/>
  <c r="J21" i="21" a="1"/>
  <c r="J21" i="21" s="1"/>
  <c r="K21" i="21" s="1"/>
  <c r="M21" i="21" s="1"/>
  <c r="J20" i="21" a="1"/>
  <c r="J20" i="21" s="1"/>
  <c r="K20" i="21" s="1"/>
  <c r="M20" i="21" s="1"/>
  <c r="J19" i="21" a="1"/>
  <c r="J19" i="21" s="1"/>
  <c r="K19" i="21" s="1"/>
  <c r="M19" i="21" s="1"/>
  <c r="J18" i="21" a="1"/>
  <c r="J18" i="21" s="1"/>
  <c r="K18" i="21" s="1"/>
  <c r="M18" i="21" s="1"/>
  <c r="J17" i="21" a="1"/>
  <c r="J17" i="21" s="1"/>
  <c r="K17" i="21" s="1"/>
  <c r="M17" i="21" s="1"/>
  <c r="J16" i="21" a="1"/>
  <c r="J16" i="21" s="1"/>
  <c r="K16" i="21" s="1"/>
  <c r="M16" i="21" s="1"/>
  <c r="J15" i="21" a="1"/>
  <c r="J15" i="21" s="1"/>
  <c r="K15" i="21" s="1"/>
  <c r="M15" i="21" s="1"/>
  <c r="J14" i="21" a="1"/>
  <c r="J14" i="21" s="1"/>
  <c r="J27" i="20" a="1"/>
  <c r="J27" i="20" s="1"/>
  <c r="K27" i="20" s="1"/>
  <c r="M27" i="20" s="1"/>
  <c r="J26" i="20" a="1"/>
  <c r="J26" i="20" s="1"/>
  <c r="K26" i="20" s="1"/>
  <c r="M26" i="20" s="1"/>
  <c r="J25" i="20" a="1"/>
  <c r="J25" i="20" s="1"/>
  <c r="K25" i="20" s="1"/>
  <c r="M25" i="20" s="1"/>
  <c r="J24" i="20" a="1"/>
  <c r="J24" i="20" s="1"/>
  <c r="K24" i="20" s="1"/>
  <c r="M24" i="20" s="1"/>
  <c r="J23" i="20" a="1"/>
  <c r="J23" i="20" s="1"/>
  <c r="J22" i="20" a="1"/>
  <c r="J22" i="20" s="1"/>
  <c r="K22" i="20" s="1"/>
  <c r="M22" i="20" s="1"/>
  <c r="J21" i="20" a="1"/>
  <c r="J21" i="20" s="1"/>
  <c r="K21" i="20" s="1"/>
  <c r="M21" i="20" s="1"/>
  <c r="J20" i="20" a="1"/>
  <c r="J20" i="20" s="1"/>
  <c r="K20" i="20" s="1"/>
  <c r="M20" i="20" s="1"/>
  <c r="J19" i="20" a="1"/>
  <c r="J19" i="20" s="1"/>
  <c r="K19" i="20" s="1"/>
  <c r="M19" i="20" s="1"/>
  <c r="J18" i="20" a="1"/>
  <c r="J18" i="20"/>
  <c r="J17" i="20" a="1"/>
  <c r="J17" i="20" s="1"/>
  <c r="K17" i="20" s="1"/>
  <c r="M17" i="20" s="1"/>
  <c r="J16" i="20" a="1"/>
  <c r="J16" i="20" s="1"/>
  <c r="K16" i="20" s="1"/>
  <c r="M16" i="20" s="1"/>
  <c r="J15" i="20" a="1"/>
  <c r="J15" i="20" s="1"/>
  <c r="K15" i="20" s="1"/>
  <c r="M15" i="20" s="1"/>
  <c r="J14" i="20" a="1"/>
  <c r="J14" i="20" s="1"/>
  <c r="K14" i="20" s="1"/>
  <c r="M14" i="20" s="1"/>
  <c r="J13" i="20" a="1"/>
  <c r="J13" i="20" s="1"/>
  <c r="K13" i="20" s="1"/>
  <c r="M13" i="20" s="1"/>
  <c r="J12" i="20" a="1"/>
  <c r="J12" i="20" s="1"/>
  <c r="K12" i="20" s="1"/>
  <c r="M12" i="20" s="1"/>
  <c r="J27" i="19" a="1"/>
  <c r="J27" i="19" s="1"/>
  <c r="K27" i="19" s="1"/>
  <c r="M27" i="19" s="1"/>
  <c r="J26" i="19" a="1"/>
  <c r="J26" i="19" s="1"/>
  <c r="J25" i="19" a="1"/>
  <c r="J25" i="19" s="1"/>
  <c r="K25" i="19" s="1"/>
  <c r="M25" i="19" s="1"/>
  <c r="J24" i="19" a="1"/>
  <c r="J24" i="19" s="1"/>
  <c r="J23" i="19" a="1"/>
  <c r="J23" i="19" s="1"/>
  <c r="K23" i="19" s="1"/>
  <c r="M23" i="19" s="1"/>
  <c r="J22" i="19" a="1"/>
  <c r="J22" i="19" s="1"/>
  <c r="K22" i="19" s="1"/>
  <c r="M22" i="19" s="1"/>
  <c r="J21" i="19" a="1"/>
  <c r="J21" i="19" s="1"/>
  <c r="K21" i="19" s="1"/>
  <c r="M21" i="19" s="1"/>
  <c r="J20" i="19" a="1"/>
  <c r="J20" i="19" s="1"/>
  <c r="K20" i="19" s="1"/>
  <c r="M20" i="19" s="1"/>
  <c r="J19" i="19" a="1"/>
  <c r="J19" i="19" s="1"/>
  <c r="K19" i="19" s="1"/>
  <c r="M19" i="19" s="1"/>
  <c r="J18" i="19" a="1"/>
  <c r="J18" i="19" s="1"/>
  <c r="K18" i="19" s="1"/>
  <c r="M18" i="19" s="1"/>
  <c r="J17" i="19" a="1"/>
  <c r="J17" i="19" s="1"/>
  <c r="K17" i="19" s="1"/>
  <c r="M17" i="19" s="1"/>
  <c r="J16" i="19" a="1"/>
  <c r="J16" i="19" s="1"/>
  <c r="K16" i="19" s="1"/>
  <c r="M16" i="19" s="1"/>
  <c r="J15" i="19" a="1"/>
  <c r="J15" i="19" s="1"/>
  <c r="K15" i="19" s="1"/>
  <c r="M15" i="19" s="1"/>
  <c r="J14" i="19" a="1"/>
  <c r="J14" i="19" s="1"/>
  <c r="K14" i="19" s="1"/>
  <c r="M14" i="19" s="1"/>
  <c r="J13" i="19" a="1"/>
  <c r="J13" i="19" s="1"/>
  <c r="K13" i="19" s="1"/>
  <c r="M13" i="19" s="1"/>
  <c r="J12" i="19" a="1"/>
  <c r="J12" i="19" s="1"/>
  <c r="K12" i="19" s="1"/>
  <c r="M12" i="19" s="1"/>
  <c r="J27" i="18" a="1"/>
  <c r="J27" i="18" s="1"/>
  <c r="K27" i="18" s="1"/>
  <c r="M27" i="18" s="1"/>
  <c r="J26" i="18" a="1"/>
  <c r="J26" i="18" s="1"/>
  <c r="K26" i="18" s="1"/>
  <c r="M26" i="18" s="1"/>
  <c r="J25" i="18" a="1"/>
  <c r="J25" i="18" s="1"/>
  <c r="J24" i="18" a="1"/>
  <c r="J24" i="18" s="1"/>
  <c r="K24" i="18" s="1"/>
  <c r="M24" i="18" s="1"/>
  <c r="J23" i="18" a="1"/>
  <c r="J23" i="18" s="1"/>
  <c r="K23" i="18" s="1"/>
  <c r="M23" i="18" s="1"/>
  <c r="J22" i="18" a="1"/>
  <c r="J22" i="18" s="1"/>
  <c r="K22" i="18" s="1"/>
  <c r="M22" i="18" s="1"/>
  <c r="J21" i="18" a="1"/>
  <c r="J21" i="18" s="1"/>
  <c r="K21" i="18" s="1"/>
  <c r="M21" i="18" s="1"/>
  <c r="J19" i="18" a="1"/>
  <c r="J19" i="18" s="1"/>
  <c r="K19" i="18" s="1"/>
  <c r="M19" i="18" s="1"/>
  <c r="J18" i="18" a="1"/>
  <c r="J18" i="18" s="1"/>
  <c r="K18" i="18" s="1"/>
  <c r="M18" i="18" s="1"/>
  <c r="J17" i="18" a="1"/>
  <c r="J17" i="18" s="1"/>
  <c r="K17" i="18" s="1"/>
  <c r="M17" i="18" s="1"/>
  <c r="J16" i="18" a="1"/>
  <c r="J16" i="18" s="1"/>
  <c r="K16" i="18" s="1"/>
  <c r="M16" i="18" s="1"/>
  <c r="J15" i="18" a="1"/>
  <c r="J15" i="18" s="1"/>
  <c r="K15" i="18" s="1"/>
  <c r="M15" i="18" s="1"/>
  <c r="J14" i="18" a="1"/>
  <c r="J14" i="18" s="1"/>
  <c r="K14" i="18" s="1"/>
  <c r="M14" i="18" s="1"/>
  <c r="J13" i="18" a="1"/>
  <c r="J13" i="18" s="1"/>
  <c r="K13" i="18" s="1"/>
  <c r="M13" i="18" s="1"/>
  <c r="J27" i="17" a="1"/>
  <c r="J27" i="17" s="1"/>
  <c r="K27" i="17" s="1"/>
  <c r="M27" i="17" s="1"/>
  <c r="J26" i="17" a="1"/>
  <c r="J26" i="17" s="1"/>
  <c r="K26" i="17" s="1"/>
  <c r="M26" i="17" s="1"/>
  <c r="J25" i="17" a="1"/>
  <c r="J25" i="17" s="1"/>
  <c r="K25" i="17" s="1"/>
  <c r="M25" i="17" s="1"/>
  <c r="J24" i="17" a="1"/>
  <c r="J24" i="17" s="1"/>
  <c r="K24" i="17" s="1"/>
  <c r="M24" i="17" s="1"/>
  <c r="J23" i="17" a="1"/>
  <c r="J23" i="17" s="1"/>
  <c r="K23" i="17" s="1"/>
  <c r="M23" i="17" s="1"/>
  <c r="J22" i="17" a="1"/>
  <c r="J22" i="17" s="1"/>
  <c r="K22" i="17" s="1"/>
  <c r="M22" i="17" s="1"/>
  <c r="J21" i="17" a="1"/>
  <c r="J21" i="17" s="1"/>
  <c r="K21" i="17" s="1"/>
  <c r="M21" i="17" s="1"/>
  <c r="J20" i="17" a="1"/>
  <c r="J20" i="17" s="1"/>
  <c r="K20" i="17" s="1"/>
  <c r="M20" i="17" s="1"/>
  <c r="J19" i="17" a="1"/>
  <c r="J19" i="17" s="1"/>
  <c r="K19" i="17" s="1"/>
  <c r="M19" i="17" s="1"/>
  <c r="J18" i="17" a="1"/>
  <c r="J18" i="17" s="1"/>
  <c r="K18" i="17" s="1"/>
  <c r="M18" i="17" s="1"/>
  <c r="J17" i="17" a="1"/>
  <c r="J17" i="17" s="1"/>
  <c r="K17" i="17" s="1"/>
  <c r="M17" i="17" s="1"/>
  <c r="J16" i="17" a="1"/>
  <c r="J16" i="17" s="1"/>
  <c r="K16" i="17" s="1"/>
  <c r="M16" i="17" s="1"/>
  <c r="J15" i="17" a="1"/>
  <c r="J15" i="17" s="1"/>
  <c r="K15" i="17" s="1"/>
  <c r="M15" i="17" s="1"/>
  <c r="J14" i="17" a="1"/>
  <c r="J14" i="17" s="1"/>
  <c r="K14" i="17" s="1"/>
  <c r="M14" i="17" s="1"/>
  <c r="J13" i="17" a="1"/>
  <c r="J13" i="17" s="1"/>
  <c r="K13" i="17" s="1"/>
  <c r="M13" i="17" s="1"/>
  <c r="J12" i="17" a="1"/>
  <c r="J12" i="17" s="1"/>
  <c r="K12" i="17" s="1"/>
  <c r="M12" i="17" s="1"/>
  <c r="J27" i="16" a="1"/>
  <c r="J27" i="16" s="1"/>
  <c r="K27" i="16" s="1"/>
  <c r="M27" i="16" s="1"/>
  <c r="J26" i="16" a="1"/>
  <c r="J26" i="16" s="1"/>
  <c r="K26" i="16" s="1"/>
  <c r="M26" i="16" s="1"/>
  <c r="J25" i="16" a="1"/>
  <c r="J25" i="16" s="1"/>
  <c r="K25" i="16" s="1"/>
  <c r="M25" i="16" s="1"/>
  <c r="J24" i="16" a="1"/>
  <c r="J24" i="16" s="1"/>
  <c r="K24" i="16" s="1"/>
  <c r="M24" i="16" s="1"/>
  <c r="J23" i="16" a="1"/>
  <c r="J23" i="16" s="1"/>
  <c r="K23" i="16" s="1"/>
  <c r="M23" i="16" s="1"/>
  <c r="J22" i="16" a="1"/>
  <c r="J22" i="16" s="1"/>
  <c r="K22" i="16" s="1"/>
  <c r="M22" i="16" s="1"/>
  <c r="J21" i="16" a="1"/>
  <c r="J21" i="16" s="1"/>
  <c r="K21" i="16" s="1"/>
  <c r="M21" i="16" s="1"/>
  <c r="J20" i="16" a="1"/>
  <c r="J20" i="16" s="1"/>
  <c r="K20" i="16" s="1"/>
  <c r="M20" i="16" s="1"/>
  <c r="J19" i="16" a="1"/>
  <c r="J19" i="16" s="1"/>
  <c r="K19" i="16" s="1"/>
  <c r="M19" i="16" s="1"/>
  <c r="J18" i="16" a="1"/>
  <c r="J18" i="16" s="1"/>
  <c r="K18" i="16" s="1"/>
  <c r="M18" i="16" s="1"/>
  <c r="J17" i="16" a="1"/>
  <c r="J17" i="16" s="1"/>
  <c r="K17" i="16" s="1"/>
  <c r="M17" i="16" s="1"/>
  <c r="J16" i="16" a="1"/>
  <c r="J16" i="16" s="1"/>
  <c r="K16" i="16" s="1"/>
  <c r="M16" i="16" s="1"/>
  <c r="J15" i="16" a="1"/>
  <c r="J15" i="16" s="1"/>
  <c r="K15" i="16" s="1"/>
  <c r="M15" i="16" s="1"/>
  <c r="J14" i="16" a="1"/>
  <c r="J14" i="16" s="1"/>
  <c r="K14" i="16" s="1"/>
  <c r="M14" i="16" s="1"/>
  <c r="J13" i="16" a="1"/>
  <c r="J13" i="16" s="1"/>
  <c r="K13" i="16" s="1"/>
  <c r="M13" i="16" s="1"/>
  <c r="J12" i="16" a="1"/>
  <c r="J12" i="16" s="1"/>
  <c r="K12" i="16" s="1"/>
  <c r="M12" i="16" s="1"/>
  <c r="J11" i="16" a="1"/>
  <c r="J11" i="16" s="1"/>
  <c r="K11" i="16" s="1"/>
  <c r="M11" i="16" s="1"/>
  <c r="J27" i="15" a="1"/>
  <c r="J27" i="15" s="1"/>
  <c r="K27" i="15" s="1"/>
  <c r="M27" i="15" s="1"/>
  <c r="J26" i="15" a="1"/>
  <c r="J26" i="15" s="1"/>
  <c r="K26" i="15" s="1"/>
  <c r="M26" i="15" s="1"/>
  <c r="J25" i="15" a="1"/>
  <c r="J25" i="15" s="1"/>
  <c r="K25" i="15" s="1"/>
  <c r="M25" i="15" s="1"/>
  <c r="J24" i="15" a="1"/>
  <c r="J24" i="15" s="1"/>
  <c r="K24" i="15" s="1"/>
  <c r="M24" i="15" s="1"/>
  <c r="J22" i="15" a="1"/>
  <c r="J22" i="15" s="1"/>
  <c r="K22" i="15" s="1"/>
  <c r="M22" i="15" s="1"/>
  <c r="J21" i="15" a="1"/>
  <c r="J21" i="15" s="1"/>
  <c r="K21" i="15" s="1"/>
  <c r="M21" i="15" s="1"/>
  <c r="J20" i="15" a="1"/>
  <c r="J20" i="15" s="1"/>
  <c r="K20" i="15" s="1"/>
  <c r="M20" i="15" s="1"/>
  <c r="J19" i="15" a="1"/>
  <c r="J19" i="15" s="1"/>
  <c r="K19" i="15" s="1"/>
  <c r="M19" i="15" s="1"/>
  <c r="J18" i="15" a="1"/>
  <c r="J18" i="15"/>
  <c r="K18" i="15" s="1"/>
  <c r="M18" i="15" s="1"/>
  <c r="J17" i="15" a="1"/>
  <c r="J17" i="15" s="1"/>
  <c r="K17" i="15" s="1"/>
  <c r="M17" i="15" s="1"/>
  <c r="J16" i="15" a="1"/>
  <c r="J16" i="15" s="1"/>
  <c r="K16" i="15" s="1"/>
  <c r="M16" i="15" s="1"/>
  <c r="J15" i="15" a="1"/>
  <c r="J15" i="15" s="1"/>
  <c r="K15" i="15" s="1"/>
  <c r="M15" i="15" s="1"/>
  <c r="J14" i="15" a="1"/>
  <c r="J14" i="15" s="1"/>
  <c r="K14" i="15" s="1"/>
  <c r="M14" i="15" s="1"/>
  <c r="J13" i="15" a="1"/>
  <c r="J13" i="15" s="1"/>
  <c r="K13" i="15" s="1"/>
  <c r="M13" i="15" s="1"/>
  <c r="J27" i="14" a="1"/>
  <c r="J27" i="14" s="1"/>
  <c r="K27" i="14" s="1"/>
  <c r="M27" i="14" s="1"/>
  <c r="J26" i="14" a="1"/>
  <c r="J26" i="14" s="1"/>
  <c r="K26" i="14" s="1"/>
  <c r="M26" i="14" s="1"/>
  <c r="J25" i="14" a="1"/>
  <c r="J25" i="14" s="1"/>
  <c r="K25" i="14" s="1"/>
  <c r="M25" i="14" s="1"/>
  <c r="J24" i="14" a="1"/>
  <c r="J24" i="14" s="1"/>
  <c r="K24" i="14" s="1"/>
  <c r="M24" i="14" s="1"/>
  <c r="J23" i="14" a="1"/>
  <c r="J23" i="14" s="1"/>
  <c r="K23" i="14" s="1"/>
  <c r="M23" i="14" s="1"/>
  <c r="J22" i="14" a="1"/>
  <c r="J22" i="14" s="1"/>
  <c r="K22" i="14" s="1"/>
  <c r="M22" i="14" s="1"/>
  <c r="J21" i="14" a="1"/>
  <c r="J21" i="14" s="1"/>
  <c r="K21" i="14" s="1"/>
  <c r="M21" i="14" s="1"/>
  <c r="J20" i="14" a="1"/>
  <c r="J20" i="14" s="1"/>
  <c r="K20" i="14" s="1"/>
  <c r="M20" i="14" s="1"/>
  <c r="J19" i="14" a="1"/>
  <c r="J19" i="14" s="1"/>
  <c r="K19" i="14" s="1"/>
  <c r="M19" i="14" s="1"/>
  <c r="J18" i="14" a="1"/>
  <c r="J18" i="14" s="1"/>
  <c r="K18" i="14" s="1"/>
  <c r="M18" i="14" s="1"/>
  <c r="J17" i="14" a="1"/>
  <c r="J17" i="14" s="1"/>
  <c r="K17" i="14" s="1"/>
  <c r="M17" i="14" s="1"/>
  <c r="J15" i="14" a="1"/>
  <c r="J15" i="14" s="1"/>
  <c r="K15" i="14" s="1"/>
  <c r="M15" i="14" s="1"/>
  <c r="J14" i="14" a="1"/>
  <c r="J14" i="14" s="1"/>
  <c r="K14" i="14" s="1"/>
  <c r="M14" i="14" s="1"/>
  <c r="J13" i="14" a="1"/>
  <c r="J13" i="14" s="1"/>
  <c r="K13" i="14" s="1"/>
  <c r="M13" i="14" s="1"/>
  <c r="J12" i="14" a="1"/>
  <c r="J12" i="14"/>
  <c r="K12" i="14" s="1"/>
  <c r="M12" i="14" s="1"/>
  <c r="J11" i="14" a="1"/>
  <c r="J11" i="14" s="1"/>
  <c r="K11" i="14" s="1"/>
  <c r="M11" i="14" s="1"/>
  <c r="J10" i="14" a="1"/>
  <c r="J10" i="14" s="1"/>
  <c r="K10" i="14" s="1"/>
  <c r="M10" i="14" s="1"/>
  <c r="J9" i="14"/>
  <c r="J8" i="14"/>
  <c r="J9" i="2"/>
  <c r="J10" i="2" a="1"/>
  <c r="J10" i="2" s="1"/>
  <c r="K10" i="2" s="1"/>
  <c r="J11" i="2" a="1"/>
  <c r="J11" i="2" s="1"/>
  <c r="K11" i="2" s="1"/>
  <c r="J12" i="2" a="1"/>
  <c r="J12" i="2" s="1"/>
  <c r="K12" i="2" s="1"/>
  <c r="M12" i="2" s="1"/>
  <c r="J13" i="2" a="1"/>
  <c r="J13" i="2" s="1"/>
  <c r="K13" i="2" s="1"/>
  <c r="M13" i="2" s="1"/>
  <c r="J14" i="2" a="1"/>
  <c r="J14" i="2" s="1"/>
  <c r="K14" i="2" s="1"/>
  <c r="M14" i="2" s="1"/>
  <c r="J15" i="2" a="1"/>
  <c r="J15" i="2" s="1"/>
  <c r="K15" i="2" s="1"/>
  <c r="M15" i="2" s="1"/>
  <c r="J16" i="2" a="1"/>
  <c r="J16" i="2" s="1"/>
  <c r="K16" i="2" s="1"/>
  <c r="M16" i="2" s="1"/>
  <c r="J17" i="2" a="1"/>
  <c r="J17" i="2" s="1"/>
  <c r="K17" i="2" s="1"/>
  <c r="M17" i="2" s="1"/>
  <c r="J18" i="2" a="1"/>
  <c r="J18" i="2" s="1"/>
  <c r="K18" i="2" s="1"/>
  <c r="M18" i="2" s="1"/>
  <c r="J19" i="2" a="1"/>
  <c r="J19" i="2"/>
  <c r="J20" i="2" a="1"/>
  <c r="J20" i="2" s="1"/>
  <c r="K20" i="2" s="1"/>
  <c r="M20" i="2" s="1"/>
  <c r="J22" i="2" a="1"/>
  <c r="J22" i="2" s="1"/>
  <c r="K22" i="2" s="1"/>
  <c r="M22" i="2" s="1"/>
  <c r="J23" i="2" a="1"/>
  <c r="J23" i="2" s="1"/>
  <c r="K23" i="2" s="1"/>
  <c r="M23" i="2" s="1"/>
  <c r="J24" i="2" a="1"/>
  <c r="J24" i="2" s="1"/>
  <c r="J25" i="2" a="1"/>
  <c r="J25" i="2" s="1"/>
  <c r="K25" i="2" s="1"/>
  <c r="M25" i="2" s="1"/>
  <c r="J26" i="2" a="1"/>
  <c r="J26" i="2" s="1"/>
  <c r="J27" i="2" a="1"/>
  <c r="J27" i="2" s="1"/>
  <c r="N26" i="6"/>
  <c r="H56" i="2"/>
  <c r="D8" i="2"/>
  <c r="D28" i="2" s="1"/>
  <c r="H56" i="21"/>
  <c r="H60" i="21"/>
  <c r="H44" i="21"/>
  <c r="H56" i="20"/>
  <c r="H44" i="20"/>
  <c r="H56" i="19"/>
  <c r="H44" i="19"/>
  <c r="H56" i="18"/>
  <c r="H44" i="18"/>
  <c r="H56" i="17"/>
  <c r="H44" i="17"/>
  <c r="H56" i="16"/>
  <c r="H44" i="16"/>
  <c r="H56" i="15"/>
  <c r="H57" i="15"/>
  <c r="H58" i="15"/>
  <c r="H59" i="15"/>
  <c r="H60" i="15"/>
  <c r="H61" i="15"/>
  <c r="H62" i="15"/>
  <c r="H63" i="15"/>
  <c r="H44" i="15"/>
  <c r="H59" i="14"/>
  <c r="H57" i="14"/>
  <c r="H56" i="14"/>
  <c r="H58" i="2"/>
  <c r="H44" i="2"/>
  <c r="J32" i="2"/>
  <c r="J32" i="14"/>
  <c r="J32" i="15"/>
  <c r="J34" i="16"/>
  <c r="J32" i="16"/>
  <c r="J32" i="17"/>
  <c r="J32" i="18"/>
  <c r="J32" i="19"/>
  <c r="J34" i="20"/>
  <c r="J32" i="20"/>
  <c r="J35" i="21"/>
  <c r="J32" i="21"/>
  <c r="J37" i="18"/>
  <c r="C6" i="8"/>
  <c r="H59" i="21"/>
  <c r="H58" i="14"/>
  <c r="H47" i="21"/>
  <c r="H49" i="15"/>
  <c r="H44" i="14"/>
  <c r="J34" i="21"/>
  <c r="J34" i="2"/>
  <c r="J33" i="2"/>
  <c r="J35" i="2"/>
  <c r="J36" i="2"/>
  <c r="J37" i="2"/>
  <c r="J38" i="2"/>
  <c r="J39" i="2"/>
  <c r="J38" i="14"/>
  <c r="J35" i="14"/>
  <c r="J34" i="14"/>
  <c r="J39" i="21"/>
  <c r="J38" i="21"/>
  <c r="J37" i="21"/>
  <c r="J36" i="21"/>
  <c r="J33" i="21"/>
  <c r="J39" i="20"/>
  <c r="J38" i="20"/>
  <c r="J37" i="20"/>
  <c r="J36" i="20"/>
  <c r="J35" i="20"/>
  <c r="J33" i="20"/>
  <c r="J39" i="19"/>
  <c r="J38" i="19"/>
  <c r="J37" i="19"/>
  <c r="J36" i="19"/>
  <c r="J35" i="19"/>
  <c r="J34" i="19"/>
  <c r="J33" i="19"/>
  <c r="J39" i="18"/>
  <c r="J38" i="18"/>
  <c r="J36" i="18"/>
  <c r="J35" i="18"/>
  <c r="J34" i="18"/>
  <c r="J33" i="18"/>
  <c r="J39" i="17"/>
  <c r="J38" i="17"/>
  <c r="J37" i="17"/>
  <c r="J36" i="17"/>
  <c r="J35" i="17"/>
  <c r="J34" i="17"/>
  <c r="J33" i="17"/>
  <c r="J39" i="16"/>
  <c r="J38" i="16"/>
  <c r="J37" i="16"/>
  <c r="J36" i="16"/>
  <c r="J35" i="16"/>
  <c r="J33" i="16"/>
  <c r="J39" i="15"/>
  <c r="J38" i="15"/>
  <c r="J37" i="15"/>
  <c r="J36" i="15"/>
  <c r="J35" i="15"/>
  <c r="J34" i="15"/>
  <c r="J33" i="15"/>
  <c r="J39" i="14"/>
  <c r="J37" i="14"/>
  <c r="J36" i="14"/>
  <c r="J33" i="14"/>
  <c r="H16" i="21"/>
  <c r="H17" i="21"/>
  <c r="H19" i="21"/>
  <c r="H20" i="21"/>
  <c r="H21" i="21"/>
  <c r="H12" i="20"/>
  <c r="H13" i="20"/>
  <c r="H15" i="20"/>
  <c r="H16" i="20"/>
  <c r="K18" i="20"/>
  <c r="M18" i="20" s="1"/>
  <c r="H19" i="20"/>
  <c r="H20" i="20"/>
  <c r="H12" i="19"/>
  <c r="H13" i="19"/>
  <c r="H14" i="19"/>
  <c r="H15" i="19"/>
  <c r="H16" i="19"/>
  <c r="H17" i="19"/>
  <c r="H18" i="19"/>
  <c r="H19" i="19"/>
  <c r="H20" i="19"/>
  <c r="H21" i="19"/>
  <c r="H13" i="18"/>
  <c r="H14" i="18"/>
  <c r="H17" i="18"/>
  <c r="H18" i="18"/>
  <c r="H19" i="18"/>
  <c r="H12" i="17"/>
  <c r="H13" i="17"/>
  <c r="H14" i="17"/>
  <c r="H15" i="17"/>
  <c r="H16" i="17"/>
  <c r="H17" i="17"/>
  <c r="H20" i="17"/>
  <c r="H12" i="16"/>
  <c r="H13" i="16"/>
  <c r="H14" i="16"/>
  <c r="H15" i="16"/>
  <c r="H16" i="16"/>
  <c r="H18" i="16"/>
  <c r="H19" i="16"/>
  <c r="H20" i="16"/>
  <c r="H14" i="15"/>
  <c r="H15" i="15"/>
  <c r="H16" i="15"/>
  <c r="H17" i="15"/>
  <c r="H18" i="15"/>
  <c r="H19" i="15"/>
  <c r="H20" i="15"/>
  <c r="H22" i="15"/>
  <c r="K16" i="14"/>
  <c r="M16" i="14" s="1"/>
  <c r="H18" i="17"/>
  <c r="H14" i="14"/>
  <c r="H18" i="14"/>
  <c r="H10" i="14"/>
  <c r="H19" i="17"/>
  <c r="H22" i="18"/>
  <c r="H16" i="18"/>
  <c r="H15" i="18"/>
  <c r="H11" i="14"/>
  <c r="H20" i="18"/>
  <c r="H17" i="14"/>
  <c r="H15" i="14"/>
  <c r="H18" i="20"/>
  <c r="H18" i="21"/>
  <c r="H13" i="14"/>
  <c r="H12" i="14"/>
  <c r="H21" i="17"/>
  <c r="H21" i="18"/>
  <c r="H14" i="20"/>
  <c r="H16" i="14"/>
  <c r="H21" i="20"/>
  <c r="H17" i="20"/>
  <c r="H21" i="16"/>
  <c r="H17" i="16"/>
  <c r="H19" i="14"/>
  <c r="H57" i="2"/>
  <c r="H59" i="2"/>
  <c r="H60" i="2"/>
  <c r="H61" i="2"/>
  <c r="H62" i="2"/>
  <c r="H63" i="2"/>
  <c r="H51" i="2"/>
  <c r="H50" i="2"/>
  <c r="H49" i="2"/>
  <c r="H48" i="2"/>
  <c r="I48" i="2" s="1"/>
  <c r="H47" i="2"/>
  <c r="H46" i="2"/>
  <c r="H45" i="2"/>
  <c r="D48" i="2"/>
  <c r="D49" i="2"/>
  <c r="D50" i="2"/>
  <c r="I50" i="2" s="1"/>
  <c r="J50" i="2" s="1"/>
  <c r="H15" i="2"/>
  <c r="H13" i="2"/>
  <c r="J48" i="2"/>
  <c r="H16" i="2"/>
  <c r="H12" i="2"/>
  <c r="H14" i="2"/>
  <c r="K19" i="2"/>
  <c r="M19" i="2" s="1"/>
  <c r="C11" i="19"/>
  <c r="G11" i="19" s="1"/>
  <c r="H11" i="19" s="1"/>
  <c r="C10" i="19"/>
  <c r="C9" i="19"/>
  <c r="G9" i="19" s="1"/>
  <c r="H9" i="19" s="1"/>
  <c r="C11" i="20"/>
  <c r="G11" i="20" s="1"/>
  <c r="C10" i="20"/>
  <c r="J10" i="20" s="1"/>
  <c r="B11" i="20"/>
  <c r="B10" i="20"/>
  <c r="C12" i="18"/>
  <c r="G12" i="18" s="1"/>
  <c r="C11" i="18"/>
  <c r="G11" i="18" s="1"/>
  <c r="H11" i="18" s="1"/>
  <c r="C10" i="18"/>
  <c r="G10" i="18" s="1"/>
  <c r="H10" i="18" s="1"/>
  <c r="C9" i="18"/>
  <c r="G9" i="18"/>
  <c r="C8" i="18"/>
  <c r="G8" i="18" s="1"/>
  <c r="H8" i="18" s="1"/>
  <c r="B12" i="18"/>
  <c r="E17" i="28"/>
  <c r="G33" i="21"/>
  <c r="H33" i="21" s="1"/>
  <c r="G34" i="21"/>
  <c r="K34" i="21" s="1"/>
  <c r="M34" i="21" s="1"/>
  <c r="G35" i="21"/>
  <c r="K35" i="21" s="1"/>
  <c r="M35" i="21" s="1"/>
  <c r="G36" i="21"/>
  <c r="K36" i="21" s="1"/>
  <c r="M36" i="21" s="1"/>
  <c r="G37" i="21"/>
  <c r="C33" i="21"/>
  <c r="C34" i="21"/>
  <c r="C35" i="21"/>
  <c r="C36" i="21"/>
  <c r="C37" i="21"/>
  <c r="H45" i="21"/>
  <c r="H46" i="21"/>
  <c r="I46" i="21" s="1"/>
  <c r="H48" i="21"/>
  <c r="D45" i="21"/>
  <c r="D46" i="21"/>
  <c r="D47" i="21"/>
  <c r="I47" i="21" s="1"/>
  <c r="J47" i="21" s="1"/>
  <c r="D48" i="21"/>
  <c r="E48" i="21" s="1"/>
  <c r="H57" i="21"/>
  <c r="I57" i="21" s="1"/>
  <c r="H58" i="21"/>
  <c r="D58" i="21"/>
  <c r="E58" i="21" s="1"/>
  <c r="D59" i="21"/>
  <c r="E59" i="21" s="1"/>
  <c r="D60" i="21"/>
  <c r="I60" i="21" s="1"/>
  <c r="J60" i="21" s="1"/>
  <c r="G33" i="20"/>
  <c r="G34" i="20"/>
  <c r="G35" i="20"/>
  <c r="G36" i="20"/>
  <c r="K36" i="20" s="1"/>
  <c r="M36" i="20" s="1"/>
  <c r="G37" i="20"/>
  <c r="C33" i="20"/>
  <c r="C34" i="20"/>
  <c r="C35" i="20"/>
  <c r="C36" i="20"/>
  <c r="C37" i="20"/>
  <c r="H45" i="20"/>
  <c r="H46" i="20"/>
  <c r="H47" i="20"/>
  <c r="H48" i="20"/>
  <c r="I48" i="20" s="1"/>
  <c r="J48" i="20" s="1"/>
  <c r="D45" i="20"/>
  <c r="E45" i="20" s="1"/>
  <c r="D46" i="20"/>
  <c r="D47" i="20"/>
  <c r="E47" i="20" s="1"/>
  <c r="D48" i="20"/>
  <c r="E48" i="20"/>
  <c r="H57" i="20"/>
  <c r="H58" i="20"/>
  <c r="H59" i="20"/>
  <c r="H60" i="20"/>
  <c r="I60" i="20" s="1"/>
  <c r="J60" i="20" s="1"/>
  <c r="D57" i="20"/>
  <c r="E57" i="20" s="1"/>
  <c r="D58" i="20"/>
  <c r="D59" i="20"/>
  <c r="E59" i="20" s="1"/>
  <c r="D60" i="20"/>
  <c r="E60" i="20" s="1"/>
  <c r="B11" i="19"/>
  <c r="B10" i="19"/>
  <c r="B9" i="19"/>
  <c r="G33" i="19"/>
  <c r="G34" i="19"/>
  <c r="H34" i="19" s="1"/>
  <c r="G35" i="19"/>
  <c r="H35" i="19" s="1"/>
  <c r="G36" i="19"/>
  <c r="G37" i="19"/>
  <c r="C33" i="19"/>
  <c r="C34" i="19"/>
  <c r="C35" i="19"/>
  <c r="C36" i="19"/>
  <c r="C37" i="19"/>
  <c r="H45" i="19"/>
  <c r="H46" i="19"/>
  <c r="H47" i="19"/>
  <c r="I47" i="19" s="1"/>
  <c r="J47" i="19" s="1"/>
  <c r="H48" i="19"/>
  <c r="D45" i="19"/>
  <c r="E45" i="19" s="1"/>
  <c r="D46" i="19"/>
  <c r="D47" i="19"/>
  <c r="E47" i="19" s="1"/>
  <c r="D48" i="19"/>
  <c r="E48" i="19" s="1"/>
  <c r="H57" i="19"/>
  <c r="D57" i="19"/>
  <c r="E57" i="19" s="1"/>
  <c r="D58" i="19"/>
  <c r="E58" i="19"/>
  <c r="H58" i="19"/>
  <c r="I58" i="19" s="1"/>
  <c r="J58" i="19" s="1"/>
  <c r="D59" i="19"/>
  <c r="E59" i="19" s="1"/>
  <c r="H59" i="19"/>
  <c r="D60" i="19"/>
  <c r="E60" i="19" s="1"/>
  <c r="H60" i="19"/>
  <c r="B11" i="18"/>
  <c r="B10" i="18"/>
  <c r="B9" i="18"/>
  <c r="G33" i="18"/>
  <c r="G34" i="18"/>
  <c r="G35" i="18"/>
  <c r="G36" i="18"/>
  <c r="H36" i="18" s="1"/>
  <c r="G37" i="18"/>
  <c r="H37" i="18" s="1"/>
  <c r="C32" i="18"/>
  <c r="C33" i="18"/>
  <c r="C34" i="18"/>
  <c r="C35" i="18"/>
  <c r="C36" i="18"/>
  <c r="C37" i="18"/>
  <c r="H45" i="18"/>
  <c r="H46" i="18"/>
  <c r="H47" i="18"/>
  <c r="H48" i="18"/>
  <c r="D45" i="18"/>
  <c r="D46" i="18"/>
  <c r="E46" i="18" s="1"/>
  <c r="D47" i="18"/>
  <c r="E47" i="18" s="1"/>
  <c r="D48" i="18"/>
  <c r="E48" i="18" s="1"/>
  <c r="H57" i="18"/>
  <c r="D57" i="18"/>
  <c r="D58" i="18"/>
  <c r="H58" i="18"/>
  <c r="D59" i="18"/>
  <c r="E59" i="18"/>
  <c r="H59" i="18"/>
  <c r="D60" i="18"/>
  <c r="H60" i="18"/>
  <c r="I60" i="18" s="1"/>
  <c r="J60" i="18" s="1"/>
  <c r="C33" i="17"/>
  <c r="C34" i="17"/>
  <c r="C35" i="17"/>
  <c r="C36" i="17"/>
  <c r="C37" i="17"/>
  <c r="G32" i="17"/>
  <c r="H32" i="17"/>
  <c r="G33" i="17"/>
  <c r="K33" i="17" s="1"/>
  <c r="M33" i="17" s="1"/>
  <c r="G34" i="17"/>
  <c r="G35" i="17"/>
  <c r="G36" i="17"/>
  <c r="G37" i="17"/>
  <c r="D45" i="17"/>
  <c r="E45" i="17"/>
  <c r="D46" i="17"/>
  <c r="E46" i="17" s="1"/>
  <c r="D47" i="17"/>
  <c r="E47" i="17" s="1"/>
  <c r="D48" i="17"/>
  <c r="H45" i="17"/>
  <c r="H46" i="17"/>
  <c r="H47" i="17"/>
  <c r="H48" i="17"/>
  <c r="D57" i="17"/>
  <c r="E57" i="17" s="1"/>
  <c r="D58" i="17"/>
  <c r="E58" i="17" s="1"/>
  <c r="D59" i="17"/>
  <c r="E59" i="17" s="1"/>
  <c r="D60" i="17"/>
  <c r="E60" i="17"/>
  <c r="H57" i="17"/>
  <c r="I57" i="17" s="1"/>
  <c r="J57" i="17" s="1"/>
  <c r="H58" i="17"/>
  <c r="H59" i="17"/>
  <c r="H60" i="17"/>
  <c r="G33" i="16"/>
  <c r="G34" i="16"/>
  <c r="G35" i="16"/>
  <c r="H35" i="16" s="1"/>
  <c r="G36" i="16"/>
  <c r="H36" i="16" s="1"/>
  <c r="G37" i="16"/>
  <c r="C33" i="16"/>
  <c r="C34" i="16"/>
  <c r="C35" i="16"/>
  <c r="C36" i="16"/>
  <c r="C37" i="16"/>
  <c r="D45" i="16"/>
  <c r="E45" i="16" s="1"/>
  <c r="D46" i="16"/>
  <c r="E46" i="16" s="1"/>
  <c r="D47" i="16"/>
  <c r="E47" i="16" s="1"/>
  <c r="D48" i="16"/>
  <c r="H45" i="16"/>
  <c r="H46" i="16"/>
  <c r="H47" i="16"/>
  <c r="H48" i="16"/>
  <c r="D57" i="16"/>
  <c r="E57" i="16" s="1"/>
  <c r="D58" i="16"/>
  <c r="E58" i="16" s="1"/>
  <c r="D59" i="16"/>
  <c r="D60" i="16"/>
  <c r="I60" i="16" s="1"/>
  <c r="J60" i="16" s="1"/>
  <c r="H57" i="16"/>
  <c r="H58" i="16"/>
  <c r="H59" i="16"/>
  <c r="H60" i="16"/>
  <c r="B9" i="15"/>
  <c r="C33" i="15"/>
  <c r="C34" i="15"/>
  <c r="C35" i="15"/>
  <c r="C36" i="15"/>
  <c r="C37" i="15"/>
  <c r="G33" i="15"/>
  <c r="H33" i="15" s="1"/>
  <c r="G34" i="15"/>
  <c r="G35" i="15"/>
  <c r="H35" i="15" s="1"/>
  <c r="G36" i="15"/>
  <c r="H36" i="15" s="1"/>
  <c r="G37" i="15"/>
  <c r="K37" i="15" s="1"/>
  <c r="D45" i="15"/>
  <c r="E45" i="15" s="1"/>
  <c r="D46" i="15"/>
  <c r="E46" i="15" s="1"/>
  <c r="D47" i="15"/>
  <c r="E47" i="15"/>
  <c r="D48" i="15"/>
  <c r="E48" i="15"/>
  <c r="H45" i="15"/>
  <c r="I45" i="15" s="1"/>
  <c r="J45" i="15" s="1"/>
  <c r="H46" i="15"/>
  <c r="H47" i="15"/>
  <c r="H48" i="15"/>
  <c r="D57" i="15"/>
  <c r="I57" i="15" s="1"/>
  <c r="J57" i="15" s="1"/>
  <c r="D58" i="15"/>
  <c r="I58" i="15" s="1"/>
  <c r="J58" i="15" s="1"/>
  <c r="D59" i="15"/>
  <c r="E59" i="15" s="1"/>
  <c r="D60" i="15"/>
  <c r="E60" i="15" s="1"/>
  <c r="D61" i="15"/>
  <c r="I61" i="15" s="1"/>
  <c r="H60" i="14"/>
  <c r="D57" i="14"/>
  <c r="I57" i="14" s="1"/>
  <c r="J57" i="14" s="1"/>
  <c r="D58" i="14"/>
  <c r="I58" i="14" s="1"/>
  <c r="D59" i="14"/>
  <c r="D60" i="14"/>
  <c r="E60" i="14" s="1"/>
  <c r="H45" i="14"/>
  <c r="H46" i="14"/>
  <c r="H47" i="14"/>
  <c r="H48" i="14"/>
  <c r="I48" i="14" s="1"/>
  <c r="J48" i="14" s="1"/>
  <c r="D45" i="14"/>
  <c r="D46" i="14"/>
  <c r="I46" i="14" s="1"/>
  <c r="J46" i="14" s="1"/>
  <c r="D47" i="14"/>
  <c r="E47" i="14" s="1"/>
  <c r="D48" i="14"/>
  <c r="E48" i="14" s="1"/>
  <c r="D49" i="14"/>
  <c r="E49" i="14" s="1"/>
  <c r="D50" i="14"/>
  <c r="G33" i="14"/>
  <c r="K33" i="14" s="1"/>
  <c r="M33" i="14" s="1"/>
  <c r="G34" i="14"/>
  <c r="H34" i="14" s="1"/>
  <c r="G35" i="14"/>
  <c r="H35" i="14" s="1"/>
  <c r="G36" i="14"/>
  <c r="K36" i="14" s="1"/>
  <c r="M36" i="14" s="1"/>
  <c r="G37" i="14"/>
  <c r="K37" i="14" s="1"/>
  <c r="M37" i="14" s="1"/>
  <c r="C32" i="14"/>
  <c r="C33" i="14"/>
  <c r="C34" i="14"/>
  <c r="C35" i="14"/>
  <c r="C36" i="14"/>
  <c r="C37" i="14"/>
  <c r="C38" i="14"/>
  <c r="C32" i="2"/>
  <c r="E7" i="5"/>
  <c r="G33" i="2"/>
  <c r="K33" i="2" s="1"/>
  <c r="G34" i="2"/>
  <c r="H34" i="2" s="1"/>
  <c r="G35" i="2"/>
  <c r="K35" i="2" s="1"/>
  <c r="M35" i="2" s="1"/>
  <c r="C33" i="2"/>
  <c r="C34" i="2"/>
  <c r="C35" i="2"/>
  <c r="G32" i="2"/>
  <c r="K32" i="2" s="1"/>
  <c r="G36" i="2"/>
  <c r="K36" i="2" s="1"/>
  <c r="M36" i="2" s="1"/>
  <c r="G37" i="2"/>
  <c r="K37" i="2" s="1"/>
  <c r="M37" i="2" s="1"/>
  <c r="C36" i="2"/>
  <c r="C37" i="2"/>
  <c r="D59" i="2"/>
  <c r="D61" i="2"/>
  <c r="I61" i="2" s="1"/>
  <c r="D62" i="2"/>
  <c r="D63" i="2"/>
  <c r="I63" i="2" s="1"/>
  <c r="D60" i="2"/>
  <c r="I60" i="2" s="1"/>
  <c r="J60" i="2" s="1"/>
  <c r="D46" i="2"/>
  <c r="E46" i="2" s="1"/>
  <c r="D47" i="2"/>
  <c r="E48" i="2"/>
  <c r="K9" i="2"/>
  <c r="M9" i="2" s="1"/>
  <c r="M10" i="2"/>
  <c r="M11" i="2"/>
  <c r="E23" i="5"/>
  <c r="D23" i="5"/>
  <c r="N19" i="6"/>
  <c r="B56" i="14"/>
  <c r="D56" i="14" s="1"/>
  <c r="C3" i="21"/>
  <c r="C3" i="20"/>
  <c r="C3" i="19"/>
  <c r="C3" i="18"/>
  <c r="C3" i="17"/>
  <c r="C3" i="16"/>
  <c r="C3" i="15"/>
  <c r="C3" i="14"/>
  <c r="C2" i="16"/>
  <c r="B6" i="16" s="1"/>
  <c r="C2" i="21"/>
  <c r="C2" i="20"/>
  <c r="C2" i="19"/>
  <c r="G4" i="19" s="1"/>
  <c r="C2" i="18"/>
  <c r="M59" i="18" s="1"/>
  <c r="C2" i="17"/>
  <c r="O59" i="17"/>
  <c r="C2" i="2"/>
  <c r="C8" i="2" s="1"/>
  <c r="D7" i="5"/>
  <c r="N22" i="6"/>
  <c r="I48" i="19"/>
  <c r="J48" i="19" s="1"/>
  <c r="I59" i="20"/>
  <c r="J59" i="20" s="1"/>
  <c r="I58" i="20"/>
  <c r="J58" i="20" s="1"/>
  <c r="H24" i="14"/>
  <c r="I47" i="14"/>
  <c r="J47" i="14" s="1"/>
  <c r="H23" i="17"/>
  <c r="H23" i="18"/>
  <c r="I45" i="21"/>
  <c r="J45" i="21" s="1"/>
  <c r="I46" i="2"/>
  <c r="H23" i="16"/>
  <c r="H23" i="21"/>
  <c r="H22" i="16"/>
  <c r="E47" i="21"/>
  <c r="H22" i="21"/>
  <c r="H23" i="19"/>
  <c r="E61" i="15"/>
  <c r="H21" i="14"/>
  <c r="H11" i="16"/>
  <c r="E60" i="21"/>
  <c r="I58" i="16"/>
  <c r="J58" i="16" s="1"/>
  <c r="H23" i="20"/>
  <c r="K23" i="20"/>
  <c r="M23" i="20" s="1"/>
  <c r="E47" i="2"/>
  <c r="H20" i="14"/>
  <c r="I59" i="21"/>
  <c r="H11" i="17"/>
  <c r="J11" i="17" a="1"/>
  <c r="J11" i="17" s="1"/>
  <c r="K11" i="17" s="1"/>
  <c r="M11" i="17" s="1"/>
  <c r="H12" i="15"/>
  <c r="J12" i="15" a="1"/>
  <c r="J12" i="15"/>
  <c r="K12" i="15" s="1"/>
  <c r="M12" i="15" s="1"/>
  <c r="J11" i="20" a="1"/>
  <c r="J11" i="20" s="1"/>
  <c r="J10" i="15" a="1"/>
  <c r="J10" i="15" s="1"/>
  <c r="K10" i="15" s="1"/>
  <c r="M10" i="15" s="1"/>
  <c r="H11" i="15"/>
  <c r="J11" i="15" a="1"/>
  <c r="J11" i="15" s="1"/>
  <c r="K11" i="15" s="1"/>
  <c r="M11" i="15" s="1"/>
  <c r="J9" i="16"/>
  <c r="K9" i="16" s="1"/>
  <c r="M9" i="16" s="1"/>
  <c r="K9" i="21"/>
  <c r="J21" i="2" a="1"/>
  <c r="J21" i="2" s="1"/>
  <c r="K21" i="2" s="1"/>
  <c r="M21" i="2" s="1"/>
  <c r="H37" i="15"/>
  <c r="M37" i="15"/>
  <c r="H33" i="16"/>
  <c r="K33" i="16"/>
  <c r="M33" i="16" s="1"/>
  <c r="H37" i="19"/>
  <c r="H37" i="21"/>
  <c r="K37" i="21"/>
  <c r="M37" i="21" s="1"/>
  <c r="H37" i="17"/>
  <c r="K37" i="17"/>
  <c r="M37" i="17" s="1"/>
  <c r="K37" i="18"/>
  <c r="H36" i="19"/>
  <c r="K36" i="19"/>
  <c r="M36" i="19" s="1"/>
  <c r="H34" i="20"/>
  <c r="K34" i="20"/>
  <c r="H34" i="16"/>
  <c r="H33" i="14"/>
  <c r="K33" i="15"/>
  <c r="M33" i="15" s="1"/>
  <c r="H36" i="17"/>
  <c r="K36" i="17"/>
  <c r="M36" i="17" s="1"/>
  <c r="K36" i="18"/>
  <c r="M36" i="18" s="1"/>
  <c r="H33" i="20"/>
  <c r="K33" i="20"/>
  <c r="M33" i="20" s="1"/>
  <c r="K34" i="19"/>
  <c r="M34" i="19" s="1"/>
  <c r="H37" i="14"/>
  <c r="H37" i="16"/>
  <c r="H34" i="17"/>
  <c r="K34" i="17"/>
  <c r="M34" i="17" s="1"/>
  <c r="H34" i="18"/>
  <c r="K34" i="18"/>
  <c r="M34" i="18" s="1"/>
  <c r="H33" i="19"/>
  <c r="K33" i="19"/>
  <c r="M33" i="19" s="1"/>
  <c r="K36" i="16"/>
  <c r="M36" i="16" s="1"/>
  <c r="H33" i="17"/>
  <c r="H33" i="18"/>
  <c r="K33" i="18"/>
  <c r="M33" i="18" s="1"/>
  <c r="D58" i="2"/>
  <c r="I58" i="2" s="1"/>
  <c r="J58" i="2" s="1"/>
  <c r="H23" i="14"/>
  <c r="J46" i="21"/>
  <c r="H34" i="21"/>
  <c r="E45" i="21"/>
  <c r="H36" i="20"/>
  <c r="H22" i="20"/>
  <c r="H22" i="17"/>
  <c r="H23" i="15"/>
  <c r="H33" i="2"/>
  <c r="H37" i="2"/>
  <c r="H32" i="2"/>
  <c r="H23" i="2"/>
  <c r="H9" i="2"/>
  <c r="H20" i="2"/>
  <c r="H11" i="2"/>
  <c r="H21" i="2"/>
  <c r="H18" i="2"/>
  <c r="H17" i="2"/>
  <c r="H19" i="2"/>
  <c r="H35" i="2"/>
  <c r="H35" i="21"/>
  <c r="E46" i="21"/>
  <c r="E46" i="20"/>
  <c r="E58" i="20"/>
  <c r="H22" i="19"/>
  <c r="E60" i="18"/>
  <c r="H35" i="18"/>
  <c r="E46" i="14"/>
  <c r="H34" i="15"/>
  <c r="E59" i="14"/>
  <c r="E58" i="14"/>
  <c r="H22" i="14"/>
  <c r="E49" i="2"/>
  <c r="E58" i="2"/>
  <c r="H10" i="2"/>
  <c r="H22" i="2"/>
  <c r="N20" i="6"/>
  <c r="J61" i="2"/>
  <c r="H10" i="15"/>
  <c r="I56" i="2"/>
  <c r="E56" i="2"/>
  <c r="E18" i="28"/>
  <c r="G17" i="28"/>
  <c r="G18" i="28"/>
  <c r="I17" i="28"/>
  <c r="I18" i="28"/>
  <c r="K17" i="28"/>
  <c r="K18" i="28"/>
  <c r="M17" i="28"/>
  <c r="M18" i="28"/>
  <c r="D44" i="15"/>
  <c r="I44" i="15" s="1"/>
  <c r="J44" i="15" s="1"/>
  <c r="E36" i="28"/>
  <c r="E37" i="28"/>
  <c r="E38" i="28"/>
  <c r="E39" i="28"/>
  <c r="E40" i="28"/>
  <c r="E41" i="28"/>
  <c r="E42" i="28"/>
  <c r="E43" i="28"/>
  <c r="E44" i="28"/>
  <c r="E45" i="28"/>
  <c r="E46" i="28"/>
  <c r="E47" i="28"/>
  <c r="E48" i="28"/>
  <c r="E49" i="28"/>
  <c r="E50" i="28"/>
  <c r="E51" i="28"/>
  <c r="E52" i="28"/>
  <c r="E53" i="28"/>
  <c r="E54" i="28"/>
  <c r="E55" i="28"/>
  <c r="E56" i="28"/>
  <c r="E57" i="28"/>
  <c r="E58" i="28"/>
  <c r="E59" i="28"/>
  <c r="E60" i="28"/>
  <c r="E61" i="28"/>
  <c r="E62" i="28"/>
  <c r="E63" i="28"/>
  <c r="E64" i="28"/>
  <c r="E65" i="28"/>
  <c r="E66" i="28"/>
  <c r="D66" i="28" s="1"/>
  <c r="E67" i="28"/>
  <c r="D67" i="28" s="1"/>
  <c r="E68" i="28"/>
  <c r="E69" i="28"/>
  <c r="E70" i="28"/>
  <c r="E71" i="28"/>
  <c r="E72" i="28"/>
  <c r="E73" i="28"/>
  <c r="D73" i="28" s="1"/>
  <c r="E74"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I36" i="28"/>
  <c r="I37" i="28"/>
  <c r="I38" i="28"/>
  <c r="I39" i="28"/>
  <c r="I40" i="28"/>
  <c r="I41" i="28"/>
  <c r="I42" i="28"/>
  <c r="I43" i="28"/>
  <c r="I44" i="28"/>
  <c r="I45" i="28"/>
  <c r="I46" i="28"/>
  <c r="I47" i="28"/>
  <c r="I48" i="28"/>
  <c r="I49" i="28"/>
  <c r="I50" i="28"/>
  <c r="I51" i="28"/>
  <c r="I52" i="28"/>
  <c r="I53" i="28"/>
  <c r="I54" i="28"/>
  <c r="I55" i="28"/>
  <c r="I56" i="28"/>
  <c r="I57" i="28"/>
  <c r="I58" i="28"/>
  <c r="I59" i="28"/>
  <c r="I60" i="28"/>
  <c r="I61" i="28"/>
  <c r="I62" i="28"/>
  <c r="I63" i="28"/>
  <c r="I64" i="28"/>
  <c r="I65" i="28"/>
  <c r="I66" i="28"/>
  <c r="I67" i="28"/>
  <c r="I68" i="28"/>
  <c r="I69" i="28"/>
  <c r="I70" i="28"/>
  <c r="I71" i="28"/>
  <c r="I72" i="28"/>
  <c r="I73" i="28"/>
  <c r="I74" i="28"/>
  <c r="K36" i="28"/>
  <c r="K37" i="28"/>
  <c r="K38" i="28"/>
  <c r="K39" i="28"/>
  <c r="K40" i="28"/>
  <c r="K41" i="28"/>
  <c r="K42" i="28"/>
  <c r="K43" i="28"/>
  <c r="K44" i="28"/>
  <c r="K45" i="28"/>
  <c r="K46" i="28"/>
  <c r="K47" i="28"/>
  <c r="K48" i="28"/>
  <c r="K49" i="28"/>
  <c r="K50" i="28"/>
  <c r="K51" i="28"/>
  <c r="K52" i="28"/>
  <c r="K53" i="28"/>
  <c r="K54" i="28"/>
  <c r="K55" i="28"/>
  <c r="K56" i="28"/>
  <c r="K57" i="28"/>
  <c r="K58" i="28"/>
  <c r="K59" i="28"/>
  <c r="K60" i="28"/>
  <c r="K61" i="28"/>
  <c r="K62" i="28"/>
  <c r="K63" i="28"/>
  <c r="K64" i="28"/>
  <c r="K65" i="28"/>
  <c r="K66" i="28"/>
  <c r="K67" i="28"/>
  <c r="K68" i="28"/>
  <c r="K69" i="28"/>
  <c r="K70" i="28"/>
  <c r="K71" i="28"/>
  <c r="K72" i="28"/>
  <c r="K73" i="28"/>
  <c r="K74"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D58" i="28"/>
  <c r="H67" i="6"/>
  <c r="I67" i="6"/>
  <c r="F26" i="5"/>
  <c r="H50" i="3"/>
  <c r="I50" i="3"/>
  <c r="H51" i="3"/>
  <c r="I51" i="3"/>
  <c r="H52" i="3"/>
  <c r="I52" i="3"/>
  <c r="H53" i="3"/>
  <c r="I53" i="3"/>
  <c r="H54" i="3"/>
  <c r="I54" i="3"/>
  <c r="H55" i="3"/>
  <c r="I55" i="3"/>
  <c r="H56" i="3"/>
  <c r="I56" i="3"/>
  <c r="H57" i="3"/>
  <c r="I57" i="3"/>
  <c r="H58" i="3"/>
  <c r="I58" i="3"/>
  <c r="H59" i="3"/>
  <c r="I59" i="3"/>
  <c r="H60" i="3"/>
  <c r="I60" i="3"/>
  <c r="H61" i="3"/>
  <c r="I61" i="3"/>
  <c r="H62" i="3"/>
  <c r="I62" i="3"/>
  <c r="H63" i="3"/>
  <c r="I63" i="3"/>
  <c r="H64" i="3"/>
  <c r="I64" i="3"/>
  <c r="H65" i="3"/>
  <c r="I65" i="3"/>
  <c r="H66" i="3"/>
  <c r="I66" i="3"/>
  <c r="H67" i="3"/>
  <c r="I67" i="3"/>
  <c r="H68" i="3"/>
  <c r="I68" i="3"/>
  <c r="H69" i="3"/>
  <c r="I69" i="3"/>
  <c r="H70" i="3"/>
  <c r="I70" i="3"/>
  <c r="H71" i="3"/>
  <c r="I71" i="3"/>
  <c r="H72" i="3"/>
  <c r="I72" i="3"/>
  <c r="H73" i="3"/>
  <c r="I73" i="3"/>
  <c r="H74" i="3"/>
  <c r="I74" i="3"/>
  <c r="H75" i="3"/>
  <c r="I75" i="3"/>
  <c r="H76" i="3"/>
  <c r="I76" i="3"/>
  <c r="H77" i="3"/>
  <c r="I77" i="3"/>
  <c r="H78" i="3"/>
  <c r="I78" i="3"/>
  <c r="H79" i="3"/>
  <c r="I79" i="3"/>
  <c r="H80" i="3"/>
  <c r="I80" i="3"/>
  <c r="H81" i="3"/>
  <c r="I81" i="3"/>
  <c r="H82" i="3"/>
  <c r="I82" i="3"/>
  <c r="H83" i="3"/>
  <c r="I83" i="3"/>
  <c r="H84" i="3"/>
  <c r="I84" i="3"/>
  <c r="H85" i="3"/>
  <c r="I85" i="3"/>
  <c r="H86" i="3"/>
  <c r="I86" i="3"/>
  <c r="H87" i="3"/>
  <c r="I87" i="3"/>
  <c r="H88" i="3"/>
  <c r="I88" i="3"/>
  <c r="H89" i="3"/>
  <c r="I89" i="3"/>
  <c r="H90" i="3"/>
  <c r="I90" i="3"/>
  <c r="H91" i="3"/>
  <c r="I91" i="3"/>
  <c r="H92" i="3"/>
  <c r="I92" i="3"/>
  <c r="H101" i="3"/>
  <c r="I101" i="3"/>
  <c r="H102" i="3"/>
  <c r="I102" i="3"/>
  <c r="I49" i="3"/>
  <c r="H49" i="3"/>
  <c r="I100" i="6"/>
  <c r="J100" i="6" s="1"/>
  <c r="H100" i="6"/>
  <c r="H51" i="6"/>
  <c r="H63" i="6"/>
  <c r="J63" i="6" s="1"/>
  <c r="I51" i="6"/>
  <c r="J51" i="6" s="1"/>
  <c r="I63" i="6"/>
  <c r="H27" i="6"/>
  <c r="H28" i="6"/>
  <c r="H29" i="6"/>
  <c r="H30" i="6"/>
  <c r="H31" i="6"/>
  <c r="H32" i="6"/>
  <c r="H33" i="6"/>
  <c r="H34" i="6"/>
  <c r="J34" i="6" s="1"/>
  <c r="I27" i="6"/>
  <c r="I28" i="6"/>
  <c r="I29" i="6"/>
  <c r="J29" i="6" s="1"/>
  <c r="I30" i="6"/>
  <c r="J30" i="6" s="1"/>
  <c r="I31" i="6"/>
  <c r="I32" i="6"/>
  <c r="I33" i="6"/>
  <c r="J33" i="6" s="1"/>
  <c r="I34" i="6"/>
  <c r="H35" i="6"/>
  <c r="H36" i="6"/>
  <c r="J36" i="6" s="1"/>
  <c r="H37" i="6"/>
  <c r="J37" i="6" s="1"/>
  <c r="H38" i="6"/>
  <c r="H39" i="6"/>
  <c r="H40" i="6"/>
  <c r="H41" i="6"/>
  <c r="H42" i="6"/>
  <c r="I35" i="6"/>
  <c r="J35" i="6" s="1"/>
  <c r="I36" i="6"/>
  <c r="I37" i="6"/>
  <c r="I38" i="6"/>
  <c r="I39" i="6"/>
  <c r="I40" i="6"/>
  <c r="I41" i="6"/>
  <c r="J41" i="6" s="1"/>
  <c r="I42" i="6"/>
  <c r="H43" i="6"/>
  <c r="H44" i="6"/>
  <c r="H45" i="6"/>
  <c r="J45" i="6" s="1"/>
  <c r="H46" i="6"/>
  <c r="H47" i="6"/>
  <c r="H48" i="6"/>
  <c r="H49" i="6"/>
  <c r="J49" i="6" s="1"/>
  <c r="H50" i="6"/>
  <c r="I43" i="6"/>
  <c r="J43" i="6" s="1"/>
  <c r="I44" i="6"/>
  <c r="I45" i="6"/>
  <c r="I46" i="6"/>
  <c r="I47" i="6"/>
  <c r="J47" i="6" s="1"/>
  <c r="I48" i="6"/>
  <c r="I49" i="6"/>
  <c r="I50" i="6"/>
  <c r="H52" i="6"/>
  <c r="H53" i="6"/>
  <c r="H54" i="6"/>
  <c r="H55" i="6"/>
  <c r="H56" i="6"/>
  <c r="H57" i="6"/>
  <c r="H58" i="6"/>
  <c r="H59" i="6"/>
  <c r="I52" i="6"/>
  <c r="I53" i="6"/>
  <c r="I54" i="6"/>
  <c r="I55" i="6"/>
  <c r="I56" i="6"/>
  <c r="J56" i="6" s="1"/>
  <c r="I57" i="6"/>
  <c r="J57" i="6" s="1"/>
  <c r="I58" i="6"/>
  <c r="I59" i="6"/>
  <c r="H60" i="6"/>
  <c r="H61" i="6"/>
  <c r="H62" i="6"/>
  <c r="H64" i="6"/>
  <c r="H65" i="6"/>
  <c r="H66" i="6"/>
  <c r="I60" i="6"/>
  <c r="I61" i="6"/>
  <c r="J61" i="6" s="1"/>
  <c r="I62" i="6"/>
  <c r="J62" i="6" s="1"/>
  <c r="I64" i="6"/>
  <c r="I65" i="6"/>
  <c r="I66" i="6"/>
  <c r="D11" i="6"/>
  <c r="C6" i="6"/>
  <c r="D6" i="6"/>
  <c r="E6" i="6" s="1"/>
  <c r="D12" i="6"/>
  <c r="D13" i="6"/>
  <c r="D15" i="6"/>
  <c r="C11" i="6"/>
  <c r="E11" i="6" s="1"/>
  <c r="C12" i="6"/>
  <c r="C13" i="6"/>
  <c r="C15" i="6"/>
  <c r="C4" i="6"/>
  <c r="J42" i="6"/>
  <c r="J59" i="6"/>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T120" i="28"/>
  <c r="AU120" i="28"/>
  <c r="AV120" i="28"/>
  <c r="AW120" i="28"/>
  <c r="AX120" i="28"/>
  <c r="AY120" i="28"/>
  <c r="AZ120" i="28"/>
  <c r="BA120" i="28"/>
  <c r="BB120" i="28"/>
  <c r="BC120" i="28"/>
  <c r="BD120" i="28"/>
  <c r="BE120" i="28"/>
  <c r="BF120" i="28"/>
  <c r="BG120" i="28"/>
  <c r="BH120" i="28"/>
  <c r="BI120" i="28"/>
  <c r="BJ120" i="28"/>
  <c r="BK120" i="28"/>
  <c r="BL120" i="28"/>
  <c r="BM120" i="28"/>
  <c r="BN120" i="28"/>
  <c r="BO120" i="28"/>
  <c r="BP120" i="28"/>
  <c r="BQ120" i="28"/>
  <c r="BR120" i="28"/>
  <c r="BS120" i="28"/>
  <c r="BT120" i="28"/>
  <c r="BU120" i="28"/>
  <c r="BV120" i="28"/>
  <c r="O120" i="28"/>
  <c r="E10" i="28"/>
  <c r="H70" i="6"/>
  <c r="I70" i="6"/>
  <c r="J70" i="6" s="1"/>
  <c r="G90" i="3"/>
  <c r="M119" i="28"/>
  <c r="K119" i="28"/>
  <c r="I119" i="28"/>
  <c r="G119" i="28"/>
  <c r="E119" i="28"/>
  <c r="D119" i="28" s="1"/>
  <c r="M118" i="28"/>
  <c r="K118" i="28"/>
  <c r="I118" i="28"/>
  <c r="G118" i="28"/>
  <c r="E118" i="28"/>
  <c r="D118" i="28" s="1"/>
  <c r="M117" i="28"/>
  <c r="K117" i="28"/>
  <c r="I117" i="28"/>
  <c r="G117" i="28"/>
  <c r="E117" i="28"/>
  <c r="M116" i="28"/>
  <c r="K116" i="28"/>
  <c r="I116" i="28"/>
  <c r="G116" i="28"/>
  <c r="E116" i="28"/>
  <c r="M115" i="28"/>
  <c r="K115" i="28"/>
  <c r="I115" i="28"/>
  <c r="G115" i="28"/>
  <c r="E115" i="28"/>
  <c r="M108" i="28"/>
  <c r="K108" i="28"/>
  <c r="I108" i="28"/>
  <c r="G108" i="28"/>
  <c r="E108" i="28"/>
  <c r="M107" i="28"/>
  <c r="K107" i="28"/>
  <c r="I107" i="28"/>
  <c r="G107" i="28"/>
  <c r="E107" i="28"/>
  <c r="M106" i="28"/>
  <c r="K106" i="28"/>
  <c r="I106" i="28"/>
  <c r="G106" i="28"/>
  <c r="E106" i="28"/>
  <c r="M105" i="28"/>
  <c r="K105" i="28"/>
  <c r="I105" i="28"/>
  <c r="G105" i="28"/>
  <c r="E105" i="28"/>
  <c r="M104" i="28"/>
  <c r="K104" i="28"/>
  <c r="I104" i="28"/>
  <c r="G104" i="28"/>
  <c r="E104" i="28"/>
  <c r="M103" i="28"/>
  <c r="K103" i="28"/>
  <c r="I103" i="28"/>
  <c r="G103" i="28"/>
  <c r="E103" i="28"/>
  <c r="M102" i="28"/>
  <c r="K102" i="28"/>
  <c r="I102" i="28"/>
  <c r="G102" i="28"/>
  <c r="E102" i="28"/>
  <c r="M101" i="28"/>
  <c r="K101" i="28"/>
  <c r="I101" i="28"/>
  <c r="G101" i="28"/>
  <c r="E101" i="28"/>
  <c r="M100" i="28"/>
  <c r="K100" i="28"/>
  <c r="I100" i="28"/>
  <c r="G100" i="28"/>
  <c r="E100" i="28"/>
  <c r="M99" i="28"/>
  <c r="K99" i="28"/>
  <c r="I99" i="28"/>
  <c r="G99" i="28"/>
  <c r="E99" i="28"/>
  <c r="D99" i="28" s="1"/>
  <c r="M98" i="28"/>
  <c r="K98" i="28"/>
  <c r="I98" i="28"/>
  <c r="G98" i="28"/>
  <c r="E98" i="28"/>
  <c r="M97" i="28"/>
  <c r="K97" i="28"/>
  <c r="I97" i="28"/>
  <c r="G97" i="28"/>
  <c r="E97" i="28"/>
  <c r="M96" i="28"/>
  <c r="K96" i="28"/>
  <c r="I96" i="28"/>
  <c r="G96" i="28"/>
  <c r="E96" i="28"/>
  <c r="M95" i="28"/>
  <c r="K95" i="28"/>
  <c r="I95" i="28"/>
  <c r="G95" i="28"/>
  <c r="E95" i="28"/>
  <c r="M94" i="28"/>
  <c r="K94" i="28"/>
  <c r="I94" i="28"/>
  <c r="G94" i="28"/>
  <c r="E94" i="28"/>
  <c r="M93" i="28"/>
  <c r="K93" i="28"/>
  <c r="I93" i="28"/>
  <c r="G93" i="28"/>
  <c r="E93" i="28"/>
  <c r="M92" i="28"/>
  <c r="K92" i="28"/>
  <c r="I92" i="28"/>
  <c r="G92" i="28"/>
  <c r="E92" i="28"/>
  <c r="M91" i="28"/>
  <c r="K91" i="28"/>
  <c r="I91" i="28"/>
  <c r="G91" i="28"/>
  <c r="E91" i="28"/>
  <c r="M90" i="28"/>
  <c r="K90" i="28"/>
  <c r="I90" i="28"/>
  <c r="G90" i="28"/>
  <c r="E90" i="28"/>
  <c r="M89" i="28"/>
  <c r="K89" i="28"/>
  <c r="I89" i="28"/>
  <c r="G89" i="28"/>
  <c r="E89" i="28"/>
  <c r="M88" i="28"/>
  <c r="K88" i="28"/>
  <c r="I88" i="28"/>
  <c r="G88" i="28"/>
  <c r="E88" i="28"/>
  <c r="M87" i="28"/>
  <c r="K87" i="28"/>
  <c r="I87" i="28"/>
  <c r="G87" i="28"/>
  <c r="E87" i="28"/>
  <c r="M86" i="28"/>
  <c r="K86" i="28"/>
  <c r="I86" i="28"/>
  <c r="G86" i="28"/>
  <c r="E86" i="28"/>
  <c r="M19" i="28"/>
  <c r="K19" i="28"/>
  <c r="I19" i="28"/>
  <c r="G19" i="28"/>
  <c r="E19" i="28"/>
  <c r="M16" i="28"/>
  <c r="K16" i="28"/>
  <c r="I16" i="28"/>
  <c r="G16" i="28"/>
  <c r="E16" i="28"/>
  <c r="M15" i="28"/>
  <c r="K15" i="28"/>
  <c r="I15" i="28"/>
  <c r="G15" i="28"/>
  <c r="E15" i="28"/>
  <c r="M14" i="28"/>
  <c r="K14" i="28"/>
  <c r="I14" i="28"/>
  <c r="G14" i="28"/>
  <c r="E14" i="28"/>
  <c r="M13" i="28"/>
  <c r="K13" i="28"/>
  <c r="I13" i="28"/>
  <c r="G13" i="28"/>
  <c r="E13" i="28"/>
  <c r="M12" i="28"/>
  <c r="K12" i="28"/>
  <c r="I12" i="28"/>
  <c r="G12" i="28"/>
  <c r="E12" i="28"/>
  <c r="M11" i="28"/>
  <c r="K11" i="28"/>
  <c r="I11" i="28"/>
  <c r="G11" i="28"/>
  <c r="E11" i="28"/>
  <c r="M10" i="28"/>
  <c r="K10" i="28"/>
  <c r="I10" i="28"/>
  <c r="G10" i="28"/>
  <c r="M85" i="28"/>
  <c r="K85" i="28"/>
  <c r="I85" i="28"/>
  <c r="G85" i="28"/>
  <c r="E85" i="28"/>
  <c r="M84" i="28"/>
  <c r="K84" i="28"/>
  <c r="I84" i="28"/>
  <c r="G84" i="28"/>
  <c r="E84" i="28"/>
  <c r="M83" i="28"/>
  <c r="K83" i="28"/>
  <c r="I83" i="28"/>
  <c r="G83" i="28"/>
  <c r="E83" i="28"/>
  <c r="M82" i="28"/>
  <c r="K82" i="28"/>
  <c r="I82" i="28"/>
  <c r="G82" i="28"/>
  <c r="E82" i="28"/>
  <c r="M81" i="28"/>
  <c r="K81" i="28"/>
  <c r="I81" i="28"/>
  <c r="G81" i="28"/>
  <c r="E81" i="28"/>
  <c r="M80" i="28"/>
  <c r="K80" i="28"/>
  <c r="I80" i="28"/>
  <c r="G80" i="28"/>
  <c r="E80" i="28"/>
  <c r="M79" i="28"/>
  <c r="K79" i="28"/>
  <c r="I79" i="28"/>
  <c r="G79" i="28"/>
  <c r="E79" i="28"/>
  <c r="M78" i="28"/>
  <c r="K78" i="28"/>
  <c r="I78" i="28"/>
  <c r="G78" i="28"/>
  <c r="E78" i="28"/>
  <c r="M77" i="28"/>
  <c r="K77" i="28"/>
  <c r="I77" i="28"/>
  <c r="G77" i="28"/>
  <c r="E77" i="28"/>
  <c r="M76" i="28"/>
  <c r="K76" i="28"/>
  <c r="I76" i="28"/>
  <c r="G76" i="28"/>
  <c r="E76" i="28"/>
  <c r="M75" i="28"/>
  <c r="K75" i="28"/>
  <c r="I75" i="28"/>
  <c r="G75" i="28"/>
  <c r="E75" i="28"/>
  <c r="M29" i="28"/>
  <c r="K29" i="28"/>
  <c r="I29" i="28"/>
  <c r="G29" i="28"/>
  <c r="E29" i="28"/>
  <c r="M28" i="28"/>
  <c r="K28" i="28"/>
  <c r="I28" i="28"/>
  <c r="G28" i="28"/>
  <c r="E28" i="28"/>
  <c r="M27" i="28"/>
  <c r="K27" i="28"/>
  <c r="I27" i="28"/>
  <c r="G27" i="28"/>
  <c r="E27" i="28"/>
  <c r="M26" i="28"/>
  <c r="K26" i="28"/>
  <c r="I26" i="28"/>
  <c r="G26" i="28"/>
  <c r="E26" i="28"/>
  <c r="M25" i="28"/>
  <c r="K25" i="28"/>
  <c r="I25" i="28"/>
  <c r="G25" i="28"/>
  <c r="E25" i="28"/>
  <c r="M24" i="28"/>
  <c r="K24" i="28"/>
  <c r="I24" i="28"/>
  <c r="G24" i="28"/>
  <c r="E24" i="28"/>
  <c r="M23" i="28"/>
  <c r="K23" i="28"/>
  <c r="I23" i="28"/>
  <c r="G23" i="28"/>
  <c r="E23" i="28"/>
  <c r="M22" i="28"/>
  <c r="K22" i="28"/>
  <c r="I22" i="28"/>
  <c r="G22" i="28"/>
  <c r="E22" i="28"/>
  <c r="M21" i="28"/>
  <c r="K21" i="28"/>
  <c r="I21" i="28"/>
  <c r="G21" i="28"/>
  <c r="E21" i="28"/>
  <c r="M20" i="28"/>
  <c r="K20" i="28"/>
  <c r="I20" i="28"/>
  <c r="G20" i="28"/>
  <c r="E20" i="28"/>
  <c r="M35" i="28"/>
  <c r="K35" i="28"/>
  <c r="I35" i="28"/>
  <c r="G35" i="28"/>
  <c r="E35" i="28"/>
  <c r="M34" i="28"/>
  <c r="K34" i="28"/>
  <c r="I34" i="28"/>
  <c r="G34" i="28"/>
  <c r="E34" i="28"/>
  <c r="M33" i="28"/>
  <c r="K33" i="28"/>
  <c r="I33" i="28"/>
  <c r="G33" i="28"/>
  <c r="E33" i="28"/>
  <c r="M32" i="28"/>
  <c r="K32" i="28"/>
  <c r="I32" i="28"/>
  <c r="G32" i="28"/>
  <c r="E32" i="28"/>
  <c r="M31" i="28"/>
  <c r="K31" i="28"/>
  <c r="I31" i="28"/>
  <c r="G31" i="28"/>
  <c r="E31" i="28"/>
  <c r="M30" i="28"/>
  <c r="K30" i="28"/>
  <c r="I30" i="28"/>
  <c r="G30" i="28"/>
  <c r="E30" i="28"/>
  <c r="D16" i="28"/>
  <c r="D46" i="5"/>
  <c r="D47" i="5"/>
  <c r="D48" i="5"/>
  <c r="H63" i="21"/>
  <c r="H62" i="21"/>
  <c r="H61" i="21"/>
  <c r="H51" i="21"/>
  <c r="I51" i="21" s="1"/>
  <c r="J51" i="21" s="1"/>
  <c r="H50" i="21"/>
  <c r="H49" i="21"/>
  <c r="H63" i="20"/>
  <c r="H62" i="20"/>
  <c r="H61" i="20"/>
  <c r="H51" i="20"/>
  <c r="I51" i="20" s="1"/>
  <c r="J51" i="20" s="1"/>
  <c r="H50" i="20"/>
  <c r="I50" i="20" s="1"/>
  <c r="J50" i="20" s="1"/>
  <c r="H49" i="20"/>
  <c r="H63" i="19"/>
  <c r="H62" i="19"/>
  <c r="H61" i="19"/>
  <c r="H51" i="19"/>
  <c r="H50" i="19"/>
  <c r="H49" i="19"/>
  <c r="H63" i="18"/>
  <c r="H62" i="18"/>
  <c r="H61" i="18"/>
  <c r="H51" i="18"/>
  <c r="H50" i="18"/>
  <c r="H49" i="18"/>
  <c r="H63" i="17"/>
  <c r="H62" i="17"/>
  <c r="H61" i="17"/>
  <c r="H51" i="17"/>
  <c r="H50" i="17"/>
  <c r="H49" i="17"/>
  <c r="H63" i="16"/>
  <c r="H62" i="16"/>
  <c r="H61" i="16"/>
  <c r="H51" i="16"/>
  <c r="H50" i="16"/>
  <c r="H49" i="16"/>
  <c r="H51" i="15"/>
  <c r="H50" i="15"/>
  <c r="H63" i="14"/>
  <c r="H62" i="14"/>
  <c r="H61" i="14"/>
  <c r="H51" i="14"/>
  <c r="H50" i="14"/>
  <c r="H49" i="14"/>
  <c r="I49" i="14" s="1"/>
  <c r="J49" i="14" s="1"/>
  <c r="G4" i="14"/>
  <c r="K25" i="21"/>
  <c r="M25" i="21" s="1"/>
  <c r="J8" i="16"/>
  <c r="D4" i="6"/>
  <c r="E4" i="6" s="1"/>
  <c r="H84" i="6"/>
  <c r="H85" i="6"/>
  <c r="H86" i="6"/>
  <c r="H87" i="6"/>
  <c r="H88" i="6"/>
  <c r="H89" i="6"/>
  <c r="H90" i="6"/>
  <c r="H91" i="6"/>
  <c r="H92" i="6"/>
  <c r="H93" i="6"/>
  <c r="H94" i="6"/>
  <c r="H95" i="6"/>
  <c r="H99" i="6"/>
  <c r="H102" i="6"/>
  <c r="H103" i="6"/>
  <c r="H104" i="6"/>
  <c r="H105" i="6"/>
  <c r="H106" i="6"/>
  <c r="H107" i="6"/>
  <c r="H108" i="6"/>
  <c r="I84" i="6"/>
  <c r="J84" i="6" s="1"/>
  <c r="I85" i="6"/>
  <c r="J85" i="6" s="1"/>
  <c r="I86" i="6"/>
  <c r="J86" i="6" s="1"/>
  <c r="I87" i="6"/>
  <c r="I88" i="6"/>
  <c r="J88" i="6" s="1"/>
  <c r="I89" i="6"/>
  <c r="J89" i="6" s="1"/>
  <c r="I90" i="6"/>
  <c r="J90" i="6" s="1"/>
  <c r="I91" i="6"/>
  <c r="I92" i="6"/>
  <c r="I93" i="6"/>
  <c r="J93" i="6" s="1"/>
  <c r="I94" i="6"/>
  <c r="I95" i="6"/>
  <c r="J95" i="6" s="1"/>
  <c r="I99" i="6"/>
  <c r="J99" i="6" s="1"/>
  <c r="I102" i="6"/>
  <c r="J102" i="6" s="1"/>
  <c r="I103" i="6"/>
  <c r="J103" i="6" s="1"/>
  <c r="I104" i="6"/>
  <c r="I105" i="6"/>
  <c r="J105" i="6" s="1"/>
  <c r="I106" i="6"/>
  <c r="J106" i="6" s="1"/>
  <c r="I107" i="6"/>
  <c r="J107" i="6" s="1"/>
  <c r="I108" i="6"/>
  <c r="J108" i="6" s="1"/>
  <c r="I18" i="6"/>
  <c r="H20" i="6"/>
  <c r="I20" i="6"/>
  <c r="J20" i="6" s="1"/>
  <c r="H71" i="6"/>
  <c r="I71" i="6"/>
  <c r="H74" i="6"/>
  <c r="I74" i="6"/>
  <c r="H81" i="6"/>
  <c r="I81" i="6"/>
  <c r="H23" i="6"/>
  <c r="I23" i="6"/>
  <c r="H19" i="6"/>
  <c r="I19" i="6"/>
  <c r="J19" i="6" s="1"/>
  <c r="H26" i="6"/>
  <c r="I26" i="6"/>
  <c r="H24" i="6"/>
  <c r="I24" i="6"/>
  <c r="H25" i="6"/>
  <c r="I25" i="6"/>
  <c r="H82" i="6"/>
  <c r="I82" i="6"/>
  <c r="H75" i="6"/>
  <c r="I75" i="6"/>
  <c r="J75" i="6" s="1"/>
  <c r="H76" i="6"/>
  <c r="I76" i="6"/>
  <c r="H21" i="6"/>
  <c r="I21" i="6"/>
  <c r="H68" i="6"/>
  <c r="I68" i="6"/>
  <c r="H69" i="6"/>
  <c r="I69" i="6"/>
  <c r="H79" i="6"/>
  <c r="I79" i="6"/>
  <c r="H80" i="6"/>
  <c r="I80" i="6"/>
  <c r="H72" i="6"/>
  <c r="J72" i="6" s="1"/>
  <c r="I72" i="6"/>
  <c r="H77" i="6"/>
  <c r="I77" i="6"/>
  <c r="H78" i="6"/>
  <c r="I78" i="6"/>
  <c r="H83" i="6"/>
  <c r="I83" i="6"/>
  <c r="H18" i="6"/>
  <c r="I73" i="6"/>
  <c r="H73" i="6"/>
  <c r="J73" i="6" s="1"/>
  <c r="J92" i="6"/>
  <c r="J94" i="6"/>
  <c r="J91" i="6"/>
  <c r="J87" i="6"/>
  <c r="E10" i="24"/>
  <c r="F10" i="24" s="1"/>
  <c r="C4" i="24"/>
  <c r="C5" i="24"/>
  <c r="C3" i="24"/>
  <c r="K27" i="2"/>
  <c r="M27" i="2" s="1"/>
  <c r="K24" i="2"/>
  <c r="M24" i="2" s="1"/>
  <c r="M59" i="16"/>
  <c r="D49" i="21"/>
  <c r="E49" i="21" s="1"/>
  <c r="D50" i="21"/>
  <c r="I50" i="21" s="1"/>
  <c r="J50" i="21" s="1"/>
  <c r="D51" i="21"/>
  <c r="D44" i="21"/>
  <c r="I44" i="21" s="1"/>
  <c r="J44" i="21" s="1"/>
  <c r="D49" i="20"/>
  <c r="E49" i="20" s="1"/>
  <c r="D50" i="20"/>
  <c r="D51" i="20"/>
  <c r="D44" i="20"/>
  <c r="E44" i="20" s="1"/>
  <c r="D49" i="19"/>
  <c r="I49" i="19" s="1"/>
  <c r="J49" i="19" s="1"/>
  <c r="D50" i="19"/>
  <c r="D51" i="19"/>
  <c r="D44" i="19"/>
  <c r="I44" i="19" s="1"/>
  <c r="D49" i="18"/>
  <c r="D50" i="18"/>
  <c r="E50" i="18" s="1"/>
  <c r="D51" i="18"/>
  <c r="D44" i="18"/>
  <c r="I44" i="18" s="1"/>
  <c r="D49" i="17"/>
  <c r="E49" i="17" s="1"/>
  <c r="D50" i="17"/>
  <c r="I50" i="17"/>
  <c r="J50" i="17" s="1"/>
  <c r="D51" i="17"/>
  <c r="I51" i="17"/>
  <c r="D44" i="17"/>
  <c r="I44" i="17" s="1"/>
  <c r="J44" i="17" s="1"/>
  <c r="D49" i="16"/>
  <c r="E49" i="16" s="1"/>
  <c r="D50" i="16"/>
  <c r="D51" i="16"/>
  <c r="D44" i="16"/>
  <c r="I44" i="16" s="1"/>
  <c r="J44" i="16" s="1"/>
  <c r="D49" i="15"/>
  <c r="I49" i="15" s="1"/>
  <c r="J49" i="15" s="1"/>
  <c r="D50" i="15"/>
  <c r="I50" i="15" s="1"/>
  <c r="J50" i="15" s="1"/>
  <c r="D51" i="15"/>
  <c r="I51" i="15" s="1"/>
  <c r="J51" i="15" s="1"/>
  <c r="D51" i="14"/>
  <c r="I51" i="14" s="1"/>
  <c r="J51" i="14" s="1"/>
  <c r="D44" i="14"/>
  <c r="I44" i="14"/>
  <c r="J44" i="14" s="1"/>
  <c r="D45" i="2"/>
  <c r="I45" i="2" s="1"/>
  <c r="J45" i="2" s="1"/>
  <c r="D51" i="2"/>
  <c r="E51" i="2" s="1"/>
  <c r="D44" i="2"/>
  <c r="H24" i="2"/>
  <c r="G39" i="21"/>
  <c r="K39" i="21" s="1"/>
  <c r="M39" i="21" s="1"/>
  <c r="G38" i="21"/>
  <c r="G32" i="21"/>
  <c r="K32" i="21" s="1"/>
  <c r="M32" i="21" s="1"/>
  <c r="G39" i="20"/>
  <c r="K39" i="20" s="1"/>
  <c r="M39" i="20" s="1"/>
  <c r="G38" i="20"/>
  <c r="K38" i="20" s="1"/>
  <c r="M38" i="20" s="1"/>
  <c r="G32" i="20"/>
  <c r="K32" i="20" s="1"/>
  <c r="M32" i="20" s="1"/>
  <c r="G39" i="19"/>
  <c r="K39" i="19" s="1"/>
  <c r="M39" i="19" s="1"/>
  <c r="G38" i="19"/>
  <c r="K38" i="19"/>
  <c r="M38" i="19" s="1"/>
  <c r="G32" i="19"/>
  <c r="K32" i="19" s="1"/>
  <c r="M32" i="19" s="1"/>
  <c r="G39" i="18"/>
  <c r="K39" i="18" s="1"/>
  <c r="M39" i="18" s="1"/>
  <c r="G38" i="18"/>
  <c r="H38" i="18" s="1"/>
  <c r="G32" i="18"/>
  <c r="K32" i="18" s="1"/>
  <c r="M32" i="18" s="1"/>
  <c r="G39" i="17"/>
  <c r="H39" i="17" s="1"/>
  <c r="G38" i="17"/>
  <c r="K38" i="17"/>
  <c r="M38" i="17" s="1"/>
  <c r="G39" i="16"/>
  <c r="K39" i="16" s="1"/>
  <c r="M39" i="16" s="1"/>
  <c r="G38" i="16"/>
  <c r="K38" i="16" s="1"/>
  <c r="M38" i="16" s="1"/>
  <c r="G32" i="16"/>
  <c r="K32" i="16" s="1"/>
  <c r="M32" i="16" s="1"/>
  <c r="G39" i="15"/>
  <c r="K39" i="15" s="1"/>
  <c r="M39" i="15" s="1"/>
  <c r="G38" i="15"/>
  <c r="K38" i="15"/>
  <c r="M38" i="15" s="1"/>
  <c r="G32" i="15"/>
  <c r="H32" i="15" s="1"/>
  <c r="G39" i="14"/>
  <c r="K39" i="14" s="1"/>
  <c r="M39" i="14" s="1"/>
  <c r="G38" i="14"/>
  <c r="K38" i="14" s="1"/>
  <c r="M38" i="14" s="1"/>
  <c r="G32" i="14"/>
  <c r="H32" i="14" s="1"/>
  <c r="G39" i="2"/>
  <c r="K39" i="2"/>
  <c r="M39" i="2" s="1"/>
  <c r="G38" i="2"/>
  <c r="K38" i="2" s="1"/>
  <c r="M38" i="2" s="1"/>
  <c r="D61" i="21"/>
  <c r="I61" i="21" s="1"/>
  <c r="J61" i="21" s="1"/>
  <c r="D62" i="21"/>
  <c r="I62" i="21" s="1"/>
  <c r="J62" i="21" s="1"/>
  <c r="D63" i="21"/>
  <c r="I63" i="21" s="1"/>
  <c r="J63" i="21" s="1"/>
  <c r="D61" i="20"/>
  <c r="E61" i="20" s="1"/>
  <c r="D62" i="20"/>
  <c r="D63" i="20"/>
  <c r="I63" i="20"/>
  <c r="J63" i="20" s="1"/>
  <c r="D61" i="19"/>
  <c r="I61" i="19" s="1"/>
  <c r="J61" i="19" s="1"/>
  <c r="D62" i="19"/>
  <c r="E62" i="19" s="1"/>
  <c r="I62" i="19"/>
  <c r="J62" i="19" s="1"/>
  <c r="D63" i="19"/>
  <c r="D61" i="18"/>
  <c r="D62" i="18"/>
  <c r="I62" i="18" s="1"/>
  <c r="J62" i="18" s="1"/>
  <c r="D63" i="18"/>
  <c r="D61" i="17"/>
  <c r="E61" i="17" s="1"/>
  <c r="D62" i="17"/>
  <c r="E62" i="17" s="1"/>
  <c r="D63" i="17"/>
  <c r="I63" i="17" s="1"/>
  <c r="J63" i="17" s="1"/>
  <c r="D61" i="16"/>
  <c r="D62" i="16"/>
  <c r="I62" i="16" s="1"/>
  <c r="J62" i="16" s="1"/>
  <c r="D63" i="16"/>
  <c r="I63" i="16" s="1"/>
  <c r="J63" i="16" s="1"/>
  <c r="D62" i="15"/>
  <c r="I62" i="15"/>
  <c r="D63" i="15"/>
  <c r="D61" i="14"/>
  <c r="D62" i="14"/>
  <c r="I62" i="14"/>
  <c r="J62" i="14" s="1"/>
  <c r="D63" i="14"/>
  <c r="I63" i="14" s="1"/>
  <c r="J63" i="14" s="1"/>
  <c r="D57" i="2"/>
  <c r="K26" i="19"/>
  <c r="M26" i="19" s="1"/>
  <c r="C8" i="19"/>
  <c r="G8" i="19" s="1"/>
  <c r="H8" i="19" s="1"/>
  <c r="B8" i="19"/>
  <c r="B8" i="18"/>
  <c r="B8" i="14"/>
  <c r="E2" i="22"/>
  <c r="A2" i="22"/>
  <c r="G19" i="3"/>
  <c r="D92" i="5"/>
  <c r="D93" i="5"/>
  <c r="D94" i="5"/>
  <c r="D95" i="5"/>
  <c r="D96" i="5"/>
  <c r="D97" i="5"/>
  <c r="D91" i="5"/>
  <c r="D85" i="5"/>
  <c r="D86" i="5"/>
  <c r="D87" i="5"/>
  <c r="D88" i="5"/>
  <c r="D89" i="5"/>
  <c r="D90" i="5"/>
  <c r="D84" i="5"/>
  <c r="D78" i="5"/>
  <c r="D79" i="5"/>
  <c r="D80" i="5"/>
  <c r="D81" i="5"/>
  <c r="D82" i="5"/>
  <c r="D83" i="5"/>
  <c r="D77" i="5"/>
  <c r="D71" i="5"/>
  <c r="D72" i="5"/>
  <c r="D73" i="5"/>
  <c r="D74" i="5"/>
  <c r="D75" i="5"/>
  <c r="D76" i="5"/>
  <c r="D70" i="5"/>
  <c r="D64" i="5"/>
  <c r="D65" i="5"/>
  <c r="D66" i="5"/>
  <c r="D67" i="5"/>
  <c r="D68" i="5"/>
  <c r="D69" i="5"/>
  <c r="D63" i="5"/>
  <c r="D57" i="5"/>
  <c r="D58" i="5"/>
  <c r="D59" i="5"/>
  <c r="D60" i="5"/>
  <c r="D61" i="5"/>
  <c r="D62" i="5"/>
  <c r="D56" i="5"/>
  <c r="D50" i="5"/>
  <c r="D51" i="5"/>
  <c r="D52" i="5"/>
  <c r="D53" i="5"/>
  <c r="D54" i="5"/>
  <c r="D55" i="5"/>
  <c r="D49" i="5"/>
  <c r="D42" i="5"/>
  <c r="L8" i="5"/>
  <c r="C7" i="8" s="1"/>
  <c r="G2" i="22" s="1"/>
  <c r="E28" i="8"/>
  <c r="C5" i="8"/>
  <c r="C4" i="8"/>
  <c r="C3" i="8"/>
  <c r="D43" i="5"/>
  <c r="D44" i="5"/>
  <c r="D45" i="5"/>
  <c r="I56" i="21"/>
  <c r="J56" i="21" s="1"/>
  <c r="C39" i="21"/>
  <c r="C38" i="21"/>
  <c r="C32" i="21"/>
  <c r="E62" i="20"/>
  <c r="D56" i="20"/>
  <c r="E56" i="20" s="1"/>
  <c r="C39" i="20"/>
  <c r="C38" i="20"/>
  <c r="C32" i="20"/>
  <c r="D28" i="20"/>
  <c r="D56" i="19"/>
  <c r="C39" i="19"/>
  <c r="C38" i="19"/>
  <c r="C32" i="19"/>
  <c r="D28" i="19"/>
  <c r="K24" i="19"/>
  <c r="M24" i="19"/>
  <c r="D56" i="18"/>
  <c r="E56" i="18" s="1"/>
  <c r="C39" i="18"/>
  <c r="C38" i="18"/>
  <c r="D28" i="18"/>
  <c r="K25" i="18"/>
  <c r="M25" i="18" s="1"/>
  <c r="D56" i="17"/>
  <c r="I56" i="17" s="1"/>
  <c r="J56" i="17" s="1"/>
  <c r="C39" i="17"/>
  <c r="C38" i="17"/>
  <c r="D28" i="17"/>
  <c r="D56" i="16"/>
  <c r="I56" i="16"/>
  <c r="J56" i="16" s="1"/>
  <c r="C39" i="16"/>
  <c r="C38" i="16"/>
  <c r="C32" i="16"/>
  <c r="D28" i="16"/>
  <c r="D56" i="15"/>
  <c r="I56" i="15" s="1"/>
  <c r="C39" i="15"/>
  <c r="C38" i="15"/>
  <c r="C32" i="15"/>
  <c r="D28" i="15"/>
  <c r="C39" i="14"/>
  <c r="D28" i="14"/>
  <c r="K9" i="14"/>
  <c r="M9" i="14"/>
  <c r="K8" i="14"/>
  <c r="M8" i="14" s="1"/>
  <c r="C38" i="2"/>
  <c r="C39" i="2"/>
  <c r="F4" i="5"/>
  <c r="K26" i="2"/>
  <c r="M26" i="2" s="1"/>
  <c r="H27" i="2"/>
  <c r="D35" i="5"/>
  <c r="D36" i="5"/>
  <c r="D37" i="5"/>
  <c r="D38" i="5"/>
  <c r="D39" i="5"/>
  <c r="D40" i="5"/>
  <c r="D41" i="5"/>
  <c r="G8" i="3"/>
  <c r="G88" i="3"/>
  <c r="G89" i="3"/>
  <c r="G91" i="3"/>
  <c r="G92" i="3"/>
  <c r="G111" i="3"/>
  <c r="G112" i="3"/>
  <c r="G6" i="3"/>
  <c r="G7" i="3"/>
  <c r="G21" i="3"/>
  <c r="G20" i="3"/>
  <c r="E44" i="2"/>
  <c r="I44" i="2"/>
  <c r="J44" i="2" s="1"/>
  <c r="I62" i="20"/>
  <c r="J62" i="20" s="1"/>
  <c r="I50" i="18"/>
  <c r="J50" i="18" s="1"/>
  <c r="I49" i="20"/>
  <c r="J49" i="20"/>
  <c r="I51" i="19"/>
  <c r="J51" i="19" s="1"/>
  <c r="I49" i="17"/>
  <c r="J49" i="17" s="1"/>
  <c r="H38" i="21"/>
  <c r="K38" i="21"/>
  <c r="M38" i="21" s="1"/>
  <c r="E51" i="19"/>
  <c r="E50" i="2"/>
  <c r="E50" i="21"/>
  <c r="E61" i="18"/>
  <c r="E45" i="2"/>
  <c r="G4" i="21"/>
  <c r="G3" i="21"/>
  <c r="G4" i="20"/>
  <c r="G3" i="20"/>
  <c r="O59" i="20"/>
  <c r="O59" i="21"/>
  <c r="H26" i="21"/>
  <c r="E51" i="21"/>
  <c r="H25" i="21"/>
  <c r="H27" i="21"/>
  <c r="H24" i="21"/>
  <c r="E56" i="21"/>
  <c r="H38" i="20"/>
  <c r="H24" i="20"/>
  <c r="E50" i="20"/>
  <c r="H25" i="20"/>
  <c r="H32" i="20"/>
  <c r="E63" i="20"/>
  <c r="E51" i="20"/>
  <c r="H27" i="20"/>
  <c r="H26" i="20"/>
  <c r="H25" i="19"/>
  <c r="E61" i="19"/>
  <c r="H24" i="19"/>
  <c r="H32" i="19"/>
  <c r="H27" i="19"/>
  <c r="H38" i="19"/>
  <c r="E50" i="19"/>
  <c r="H26" i="19"/>
  <c r="E62" i="18"/>
  <c r="H25" i="18"/>
  <c r="E51" i="18"/>
  <c r="H27" i="18"/>
  <c r="H24" i="18"/>
  <c r="H32" i="18"/>
  <c r="E44" i="18"/>
  <c r="H26" i="18"/>
  <c r="E63" i="18"/>
  <c r="E49" i="18"/>
  <c r="H26" i="17"/>
  <c r="E50" i="17"/>
  <c r="H25" i="17"/>
  <c r="E51" i="17"/>
  <c r="J51" i="17"/>
  <c r="H27" i="17"/>
  <c r="H24" i="17"/>
  <c r="E63" i="17"/>
  <c r="H38" i="17"/>
  <c r="H26" i="16"/>
  <c r="E56" i="16"/>
  <c r="H27" i="16"/>
  <c r="H25" i="16"/>
  <c r="E51" i="16"/>
  <c r="H38" i="16"/>
  <c r="E50" i="16"/>
  <c r="E44" i="16"/>
  <c r="H24" i="16"/>
  <c r="H39" i="16"/>
  <c r="J61" i="15"/>
  <c r="H27" i="15"/>
  <c r="H26" i="15"/>
  <c r="E56" i="15"/>
  <c r="E44" i="15"/>
  <c r="H25" i="15"/>
  <c r="E51" i="15"/>
  <c r="E62" i="15"/>
  <c r="J62" i="15"/>
  <c r="H38" i="15"/>
  <c r="E62" i="14"/>
  <c r="E44" i="14"/>
  <c r="H25" i="14"/>
  <c r="E61" i="14"/>
  <c r="H39" i="14"/>
  <c r="E51" i="14"/>
  <c r="H9" i="14"/>
  <c r="H38" i="14"/>
  <c r="H26" i="14"/>
  <c r="H8" i="14"/>
  <c r="H27" i="14"/>
  <c r="H28" i="14" s="1"/>
  <c r="E63" i="14"/>
  <c r="E63" i="2"/>
  <c r="J63" i="2"/>
  <c r="E62" i="2"/>
  <c r="H25" i="2"/>
  <c r="H38" i="2"/>
  <c r="H39" i="2"/>
  <c r="N59" i="15"/>
  <c r="B30" i="15"/>
  <c r="L42" i="15"/>
  <c r="B49" i="5" s="1"/>
  <c r="L58" i="15"/>
  <c r="D64" i="20"/>
  <c r="G40" i="20"/>
  <c r="D52" i="20"/>
  <c r="G28" i="20"/>
  <c r="Q59" i="18"/>
  <c r="B6" i="18"/>
  <c r="B21" i="5"/>
  <c r="L42" i="20"/>
  <c r="B84" i="5" s="1"/>
  <c r="N59" i="20"/>
  <c r="Q59" i="20"/>
  <c r="M59" i="20"/>
  <c r="B54" i="20"/>
  <c r="B30" i="20"/>
  <c r="B6" i="20"/>
  <c r="P59" i="20"/>
  <c r="L59" i="20"/>
  <c r="L58" i="20"/>
  <c r="B42" i="20"/>
  <c r="B22" i="5"/>
  <c r="L42" i="21"/>
  <c r="B91" i="5" s="1"/>
  <c r="N59" i="21"/>
  <c r="Q59" i="21"/>
  <c r="M59" i="21"/>
  <c r="B54" i="21"/>
  <c r="B30" i="21"/>
  <c r="L58" i="21"/>
  <c r="B42" i="21"/>
  <c r="B6" i="21"/>
  <c r="P59" i="21"/>
  <c r="L59" i="21"/>
  <c r="D64" i="21"/>
  <c r="N59" i="14"/>
  <c r="B54" i="14"/>
  <c r="J79" i="6"/>
  <c r="J82" i="6"/>
  <c r="J68" i="6"/>
  <c r="J81" i="6"/>
  <c r="J71" i="6"/>
  <c r="J80" i="6"/>
  <c r="J76" i="6"/>
  <c r="J25" i="6"/>
  <c r="J26" i="6"/>
  <c r="E12" i="6"/>
  <c r="J83" i="6"/>
  <c r="J78" i="6"/>
  <c r="E13" i="6"/>
  <c r="J18" i="6"/>
  <c r="J21" i="6"/>
  <c r="E15" i="6"/>
  <c r="H26" i="2"/>
  <c r="F2" i="22"/>
  <c r="H24" i="15"/>
  <c r="J46" i="2"/>
  <c r="M33" i="2"/>
  <c r="J58" i="14"/>
  <c r="J59" i="21"/>
  <c r="M37" i="18"/>
  <c r="M34" i="20"/>
  <c r="M32" i="2"/>
  <c r="J56" i="2"/>
  <c r="J56" i="15"/>
  <c r="J44" i="18"/>
  <c r="J44" i="19"/>
  <c r="J9" i="15"/>
  <c r="K9" i="15" s="1"/>
  <c r="M9" i="15" s="1"/>
  <c r="G40" i="19"/>
  <c r="G40" i="21"/>
  <c r="D64" i="19"/>
  <c r="B6" i="14"/>
  <c r="L58" i="18"/>
  <c r="L42" i="18"/>
  <c r="B70" i="5"/>
  <c r="B6" i="15"/>
  <c r="B54" i="15"/>
  <c r="B42" i="18"/>
  <c r="L59" i="14"/>
  <c r="B42" i="19"/>
  <c r="L59" i="18"/>
  <c r="B19" i="5"/>
  <c r="P59" i="15"/>
  <c r="B16" i="5"/>
  <c r="G3" i="18"/>
  <c r="N59" i="18"/>
  <c r="M59" i="14"/>
  <c r="P59" i="14"/>
  <c r="L59" i="19"/>
  <c r="P59" i="18"/>
  <c r="B42" i="15"/>
  <c r="G28" i="18"/>
  <c r="G4" i="18"/>
  <c r="L42" i="14"/>
  <c r="B42" i="5"/>
  <c r="B30" i="14"/>
  <c r="B30" i="19"/>
  <c r="B30" i="18"/>
  <c r="L59" i="15"/>
  <c r="O59" i="18"/>
  <c r="G3" i="15"/>
  <c r="G3" i="16"/>
  <c r="J12" i="18" a="1"/>
  <c r="J12" i="18" s="1"/>
  <c r="K12" i="18" s="1"/>
  <c r="M12" i="18" s="1"/>
  <c r="G40" i="14"/>
  <c r="J10" i="18" a="1"/>
  <c r="J10" i="18" s="1"/>
  <c r="K10" i="18" s="1"/>
  <c r="M10" i="18" s="1"/>
  <c r="B42" i="14"/>
  <c r="N59" i="19"/>
  <c r="B54" i="18"/>
  <c r="M59" i="15"/>
  <c r="O59" i="15"/>
  <c r="G4" i="15"/>
  <c r="G3" i="14"/>
  <c r="Q59" i="14"/>
  <c r="L58" i="14"/>
  <c r="B15" i="5"/>
  <c r="L42" i="19"/>
  <c r="B77" i="5" s="1"/>
  <c r="G28" i="21"/>
  <c r="L58" i="16"/>
  <c r="B30" i="16"/>
  <c r="B42" i="16"/>
  <c r="O59" i="16"/>
  <c r="N59" i="16"/>
  <c r="D52" i="21"/>
  <c r="Q59" i="16"/>
  <c r="L42" i="16"/>
  <c r="B56" i="5" s="1"/>
  <c r="G10" i="20"/>
  <c r="H10" i="20" s="1"/>
  <c r="G40" i="16"/>
  <c r="B17" i="5"/>
  <c r="L59" i="16"/>
  <c r="B54" i="16"/>
  <c r="G4" i="16"/>
  <c r="P59" i="16"/>
  <c r="D64" i="16"/>
  <c r="G40" i="18"/>
  <c r="J10" i="17" a="1"/>
  <c r="J10" i="17" s="1"/>
  <c r="K10" i="17" s="1"/>
  <c r="M10" i="17" s="1"/>
  <c r="J9" i="20"/>
  <c r="K9" i="20" s="1"/>
  <c r="J13" i="21" a="1"/>
  <c r="J13" i="21" s="1"/>
  <c r="K13" i="21" s="1"/>
  <c r="M13" i="21" s="1"/>
  <c r="P59" i="19"/>
  <c r="B20" i="5"/>
  <c r="D52" i="18"/>
  <c r="L58" i="19"/>
  <c r="J9" i="19"/>
  <c r="B54" i="19"/>
  <c r="G3" i="17"/>
  <c r="K8" i="21"/>
  <c r="J11" i="18" a="1"/>
  <c r="J11" i="18" s="1"/>
  <c r="G28" i="19"/>
  <c r="M59" i="19"/>
  <c r="J8" i="15"/>
  <c r="Q59" i="17"/>
  <c r="B30" i="2"/>
  <c r="J9" i="17"/>
  <c r="K9" i="17" s="1"/>
  <c r="M9" i="17" s="1"/>
  <c r="B8" i="2"/>
  <c r="D52" i="19"/>
  <c r="B6" i="19"/>
  <c r="Q59" i="19"/>
  <c r="O59" i="19"/>
  <c r="J11" i="21" a="1"/>
  <c r="J11" i="21" s="1"/>
  <c r="K11" i="21" s="1"/>
  <c r="M11" i="21" s="1"/>
  <c r="G28" i="17"/>
  <c r="D52" i="16"/>
  <c r="M59" i="17"/>
  <c r="G4" i="17"/>
  <c r="N16" i="6"/>
  <c r="N25" i="6" s="1"/>
  <c r="M9" i="20"/>
  <c r="B54" i="17"/>
  <c r="G40" i="17"/>
  <c r="B30" i="17"/>
  <c r="G3" i="19"/>
  <c r="N17" i="6"/>
  <c r="J10" i="16" a="1"/>
  <c r="J10" i="16" s="1"/>
  <c r="D52" i="17"/>
  <c r="P59" i="17"/>
  <c r="N18" i="6"/>
  <c r="J9" i="18"/>
  <c r="K9" i="18" s="1"/>
  <c r="M9" i="18" s="1"/>
  <c r="D64" i="17"/>
  <c r="B18" i="5"/>
  <c r="L58" i="17"/>
  <c r="J8" i="17"/>
  <c r="G28" i="16"/>
  <c r="N59" i="17"/>
  <c r="B42" i="17"/>
  <c r="L42" i="17"/>
  <c r="B63" i="5" s="1"/>
  <c r="K10" i="21"/>
  <c r="G28" i="14"/>
  <c r="J8" i="18"/>
  <c r="J8" i="20"/>
  <c r="L59" i="17"/>
  <c r="B6" i="17"/>
  <c r="G4" i="2"/>
  <c r="L42" i="2"/>
  <c r="B35" i="5" s="1"/>
  <c r="L59" i="2"/>
  <c r="G3" i="2"/>
  <c r="G40" i="2"/>
  <c r="L58" i="2"/>
  <c r="G28" i="2"/>
  <c r="D52" i="2"/>
  <c r="B54" i="2"/>
  <c r="D64" i="2"/>
  <c r="B42" i="2"/>
  <c r="N59" i="2"/>
  <c r="M59" i="2"/>
  <c r="B14" i="5"/>
  <c r="P59" i="2"/>
  <c r="O59" i="2"/>
  <c r="Q59" i="2"/>
  <c r="G28" i="15"/>
  <c r="G40" i="15"/>
  <c r="D64" i="15"/>
  <c r="D52" i="15"/>
  <c r="H9" i="17"/>
  <c r="H12" i="18"/>
  <c r="B6" i="2"/>
  <c r="C4" i="19"/>
  <c r="C4" i="21"/>
  <c r="C4" i="14"/>
  <c r="C4" i="18"/>
  <c r="C4" i="2"/>
  <c r="C4" i="20"/>
  <c r="C4" i="17"/>
  <c r="C4" i="15"/>
  <c r="H11" i="21"/>
  <c r="J11" i="19" a="1"/>
  <c r="J11" i="19" s="1"/>
  <c r="H9" i="20"/>
  <c r="K8" i="20"/>
  <c r="M8" i="20" s="1"/>
  <c r="H8" i="20"/>
  <c r="H9" i="15"/>
  <c r="D52" i="14"/>
  <c r="D64" i="14"/>
  <c r="J10" i="19" a="1"/>
  <c r="J10" i="19" s="1"/>
  <c r="K10" i="19" s="1"/>
  <c r="M10" i="19" s="1"/>
  <c r="G10" i="19"/>
  <c r="H10" i="19" s="1"/>
  <c r="J12" i="21" a="1"/>
  <c r="J12" i="21" s="1"/>
  <c r="G12" i="21"/>
  <c r="H12" i="21" s="1"/>
  <c r="K14" i="21"/>
  <c r="M14" i="21" s="1"/>
  <c r="H14" i="21"/>
  <c r="H13" i="21"/>
  <c r="H9" i="18"/>
  <c r="H8" i="16"/>
  <c r="K8" i="16"/>
  <c r="M8" i="16" s="1"/>
  <c r="G8" i="2"/>
  <c r="H8" i="2"/>
  <c r="J8" i="2"/>
  <c r="H8" i="15"/>
  <c r="K8" i="15"/>
  <c r="M8" i="15" s="1"/>
  <c r="K32" i="17"/>
  <c r="M32" i="17" s="1"/>
  <c r="E63" i="16" l="1"/>
  <c r="H39" i="18"/>
  <c r="I56" i="20"/>
  <c r="J56" i="20" s="1"/>
  <c r="I51" i="2"/>
  <c r="J51" i="2" s="1"/>
  <c r="J69" i="6"/>
  <c r="J23" i="6"/>
  <c r="D23" i="28"/>
  <c r="D61" i="28"/>
  <c r="D51" i="28"/>
  <c r="D40" i="28"/>
  <c r="E60" i="16"/>
  <c r="H36" i="21"/>
  <c r="I58" i="17"/>
  <c r="J58" i="17" s="1"/>
  <c r="I47" i="16"/>
  <c r="J47" i="16" s="1"/>
  <c r="I45" i="18"/>
  <c r="J45" i="18" s="1"/>
  <c r="K11" i="19"/>
  <c r="M11" i="19" s="1"/>
  <c r="E44" i="19"/>
  <c r="E64" i="20"/>
  <c r="N63" i="20" s="1"/>
  <c r="E52" i="2"/>
  <c r="I51" i="16"/>
  <c r="J51" i="16" s="1"/>
  <c r="E7" i="6"/>
  <c r="H40" i="18"/>
  <c r="E63" i="21"/>
  <c r="I61" i="18"/>
  <c r="J61" i="18" s="1"/>
  <c r="J77" i="6"/>
  <c r="J64" i="6"/>
  <c r="J46" i="6"/>
  <c r="J32" i="6"/>
  <c r="D68" i="28"/>
  <c r="E60" i="2"/>
  <c r="H36" i="2"/>
  <c r="H40" i="2" s="1"/>
  <c r="M61" i="2" s="1"/>
  <c r="I59" i="15"/>
  <c r="J59" i="15" s="1"/>
  <c r="I45" i="16"/>
  <c r="J45" i="16" s="1"/>
  <c r="I59" i="18"/>
  <c r="J59" i="18" s="1"/>
  <c r="K37" i="19"/>
  <c r="M37" i="19" s="1"/>
  <c r="K37" i="20"/>
  <c r="M37" i="20" s="1"/>
  <c r="K8" i="2"/>
  <c r="P26" i="6" s="1"/>
  <c r="M8" i="2" s="1"/>
  <c r="K32" i="15"/>
  <c r="M32" i="15" s="1"/>
  <c r="K39" i="17"/>
  <c r="M39" i="17" s="1"/>
  <c r="I49" i="18"/>
  <c r="J49" i="18" s="1"/>
  <c r="J24" i="6"/>
  <c r="J74" i="6"/>
  <c r="D76" i="28"/>
  <c r="D84" i="28"/>
  <c r="D98" i="28"/>
  <c r="D100" i="28"/>
  <c r="K35" i="14"/>
  <c r="M35" i="14" s="1"/>
  <c r="K37" i="16"/>
  <c r="M37" i="16" s="1"/>
  <c r="I60" i="17"/>
  <c r="J60" i="17" s="1"/>
  <c r="H28" i="17"/>
  <c r="D91" i="28"/>
  <c r="D97" i="28"/>
  <c r="D101" i="28"/>
  <c r="H28" i="18"/>
  <c r="E10" i="6"/>
  <c r="J115" i="6"/>
  <c r="D26" i="28"/>
  <c r="D75" i="28"/>
  <c r="D83" i="28"/>
  <c r="D11" i="28"/>
  <c r="D13" i="28"/>
  <c r="J60" i="6"/>
  <c r="H28" i="15"/>
  <c r="M60" i="15" s="1"/>
  <c r="J104" i="6"/>
  <c r="E56" i="17"/>
  <c r="E64" i="17" s="1"/>
  <c r="H39" i="21"/>
  <c r="E44" i="21"/>
  <c r="E52" i="21" s="1"/>
  <c r="I61" i="16"/>
  <c r="J61" i="16" s="1"/>
  <c r="I50" i="19"/>
  <c r="J50" i="19" s="1"/>
  <c r="I51" i="18"/>
  <c r="J51" i="18" s="1"/>
  <c r="D34" i="28"/>
  <c r="D22" i="28"/>
  <c r="D28" i="28"/>
  <c r="D107" i="28"/>
  <c r="J66" i="6"/>
  <c r="H36" i="14"/>
  <c r="I47" i="18"/>
  <c r="J47" i="18" s="1"/>
  <c r="H40" i="14"/>
  <c r="N61" i="14" s="1"/>
  <c r="K34" i="16"/>
  <c r="M34" i="16" s="1"/>
  <c r="H39" i="20"/>
  <c r="C8" i="8"/>
  <c r="D45" i="28"/>
  <c r="D74" i="28"/>
  <c r="D72" i="28"/>
  <c r="I50" i="14"/>
  <c r="J50" i="14" s="1"/>
  <c r="J111" i="6"/>
  <c r="H28" i="16"/>
  <c r="M60" i="16" s="1"/>
  <c r="N61" i="2"/>
  <c r="E49" i="19"/>
  <c r="I61" i="14"/>
  <c r="J61" i="14" s="1"/>
  <c r="D88" i="28"/>
  <c r="D102" i="28"/>
  <c r="D106" i="28"/>
  <c r="D71" i="28"/>
  <c r="I62" i="2"/>
  <c r="J62" i="2" s="1"/>
  <c r="I60" i="19"/>
  <c r="J60" i="19" s="1"/>
  <c r="J110" i="6"/>
  <c r="J113" i="6"/>
  <c r="D111" i="28"/>
  <c r="M60" i="14"/>
  <c r="N60" i="14"/>
  <c r="M62" i="2"/>
  <c r="N62" i="2"/>
  <c r="H11" i="20"/>
  <c r="K11" i="20"/>
  <c r="M11" i="20" s="1"/>
  <c r="M61" i="18"/>
  <c r="N61" i="18"/>
  <c r="I56" i="14"/>
  <c r="J56" i="14" s="1"/>
  <c r="E56" i="14"/>
  <c r="N60" i="15"/>
  <c r="M61" i="14"/>
  <c r="M120" i="28"/>
  <c r="D44" i="28"/>
  <c r="D53" i="28"/>
  <c r="D62" i="28"/>
  <c r="D52" i="28"/>
  <c r="D42" i="28"/>
  <c r="E14" i="6"/>
  <c r="D114" i="28"/>
  <c r="E44" i="17"/>
  <c r="I56" i="18"/>
  <c r="J56" i="18" s="1"/>
  <c r="D31" i="28"/>
  <c r="D33" i="28"/>
  <c r="D19" i="28"/>
  <c r="D89" i="28"/>
  <c r="D95" i="28"/>
  <c r="D105" i="28"/>
  <c r="D117" i="28"/>
  <c r="J55" i="6"/>
  <c r="J53" i="6"/>
  <c r="J50" i="6"/>
  <c r="J40" i="6"/>
  <c r="J38" i="6"/>
  <c r="J28" i="6"/>
  <c r="J67" i="6"/>
  <c r="I46" i="16"/>
  <c r="J46" i="16" s="1"/>
  <c r="E57" i="14"/>
  <c r="I48" i="16"/>
  <c r="J48" i="16" s="1"/>
  <c r="E45" i="18"/>
  <c r="I44" i="20"/>
  <c r="J44" i="20" s="1"/>
  <c r="D32" i="28"/>
  <c r="D24" i="28"/>
  <c r="D85" i="28"/>
  <c r="D87" i="28"/>
  <c r="D115" i="28"/>
  <c r="J54" i="6"/>
  <c r="J39" i="6"/>
  <c r="J27" i="6"/>
  <c r="D50" i="28"/>
  <c r="D64" i="18"/>
  <c r="E50" i="14"/>
  <c r="K10" i="20"/>
  <c r="M10" i="20" s="1"/>
  <c r="E52" i="18"/>
  <c r="K8" i="18"/>
  <c r="M8" i="18" s="1"/>
  <c r="K11" i="18"/>
  <c r="M11" i="18" s="1"/>
  <c r="E49" i="15"/>
  <c r="H39" i="19"/>
  <c r="H40" i="19" s="1"/>
  <c r="N61" i="19" s="1"/>
  <c r="E61" i="21"/>
  <c r="D20" i="28"/>
  <c r="D41" i="28"/>
  <c r="D70" i="28"/>
  <c r="D60" i="28"/>
  <c r="D59" i="28"/>
  <c r="D39" i="28"/>
  <c r="D48" i="28"/>
  <c r="D38" i="28"/>
  <c r="I45" i="19"/>
  <c r="J45" i="19" s="1"/>
  <c r="I58" i="21"/>
  <c r="J58" i="21" s="1"/>
  <c r="I48" i="18"/>
  <c r="J48" i="18" s="1"/>
  <c r="I45" i="17"/>
  <c r="J45" i="17" s="1"/>
  <c r="I57" i="19"/>
  <c r="J57" i="19" s="1"/>
  <c r="I49" i="2"/>
  <c r="J49" i="2" s="1"/>
  <c r="J97" i="6"/>
  <c r="H32" i="16"/>
  <c r="H40" i="16" s="1"/>
  <c r="M61" i="16" s="1"/>
  <c r="I49" i="16"/>
  <c r="J49" i="16" s="1"/>
  <c r="I62" i="17"/>
  <c r="J62" i="17" s="1"/>
  <c r="K38" i="18"/>
  <c r="M38" i="18" s="1"/>
  <c r="I50" i="16"/>
  <c r="J50" i="16" s="1"/>
  <c r="D81" i="28"/>
  <c r="D93" i="28"/>
  <c r="D103" i="28"/>
  <c r="J48" i="6"/>
  <c r="D47" i="28"/>
  <c r="K34" i="14"/>
  <c r="M34" i="14" s="1"/>
  <c r="K35" i="15"/>
  <c r="M35" i="15" s="1"/>
  <c r="E61" i="2"/>
  <c r="I48" i="21"/>
  <c r="J48" i="21" s="1"/>
  <c r="K34" i="2"/>
  <c r="M34" i="2" s="1"/>
  <c r="I59" i="14"/>
  <c r="J59" i="14" s="1"/>
  <c r="I47" i="15"/>
  <c r="J47" i="15" s="1"/>
  <c r="K35" i="18"/>
  <c r="M35" i="18" s="1"/>
  <c r="M40" i="18" s="1"/>
  <c r="J40" i="18" s="1"/>
  <c r="O61" i="18" s="1"/>
  <c r="I59" i="19"/>
  <c r="J59" i="19" s="1"/>
  <c r="I46" i="20"/>
  <c r="J46" i="20" s="1"/>
  <c r="J121" i="6"/>
  <c r="M28" i="14"/>
  <c r="D77" i="28"/>
  <c r="D79" i="28"/>
  <c r="D12" i="28"/>
  <c r="E120" i="28"/>
  <c r="D90" i="28"/>
  <c r="D92" i="28"/>
  <c r="D96" i="28"/>
  <c r="D104" i="28"/>
  <c r="D108" i="28"/>
  <c r="D116" i="28"/>
  <c r="J65" i="6"/>
  <c r="J31" i="6"/>
  <c r="D57" i="28"/>
  <c r="D37" i="28"/>
  <c r="D56" i="28"/>
  <c r="D46" i="28"/>
  <c r="D36" i="28"/>
  <c r="K33" i="21"/>
  <c r="M33" i="21" s="1"/>
  <c r="M40" i="21" s="1"/>
  <c r="E58" i="15"/>
  <c r="I60" i="15"/>
  <c r="J60" i="15" s="1"/>
  <c r="I45" i="20"/>
  <c r="J45" i="20" s="1"/>
  <c r="I46" i="15"/>
  <c r="J46" i="15" s="1"/>
  <c r="I57" i="16"/>
  <c r="J57" i="16" s="1"/>
  <c r="D110" i="28"/>
  <c r="J101" i="6"/>
  <c r="K10" i="16"/>
  <c r="M10" i="16" s="1"/>
  <c r="H28" i="2"/>
  <c r="K8" i="17"/>
  <c r="M8" i="17" s="1"/>
  <c r="M28" i="17" s="1"/>
  <c r="J28" i="17" s="1"/>
  <c r="O60" i="17" s="1"/>
  <c r="P25" i="6"/>
  <c r="J8" i="19"/>
  <c r="K8" i="19" s="1"/>
  <c r="M8" i="19" s="1"/>
  <c r="H32" i="21"/>
  <c r="I61" i="17"/>
  <c r="J61" i="17" s="1"/>
  <c r="D14" i="28"/>
  <c r="D35" i="28"/>
  <c r="D25" i="28"/>
  <c r="D27" i="28"/>
  <c r="D29" i="28"/>
  <c r="D78" i="28"/>
  <c r="D80" i="28"/>
  <c r="G120" i="28"/>
  <c r="D86" i="28"/>
  <c r="D94" i="28"/>
  <c r="D65" i="28"/>
  <c r="D55" i="28"/>
  <c r="K35" i="16"/>
  <c r="M35" i="16" s="1"/>
  <c r="M40" i="16" s="1"/>
  <c r="J40" i="16" s="1"/>
  <c r="O61" i="16" s="1"/>
  <c r="E57" i="15"/>
  <c r="E64" i="15" s="1"/>
  <c r="I46" i="18"/>
  <c r="J46" i="18" s="1"/>
  <c r="J52" i="18" s="1"/>
  <c r="H52" i="18" s="1"/>
  <c r="O62" i="18" s="1"/>
  <c r="I47" i="20"/>
  <c r="J47" i="20" s="1"/>
  <c r="I47" i="2"/>
  <c r="J47" i="2" s="1"/>
  <c r="I59" i="17"/>
  <c r="J59" i="17" s="1"/>
  <c r="E5" i="6"/>
  <c r="J116" i="6"/>
  <c r="J119" i="6"/>
  <c r="J109" i="6"/>
  <c r="K9" i="19"/>
  <c r="M9" i="19" s="1"/>
  <c r="M63" i="20"/>
  <c r="H39" i="15"/>
  <c r="H40" i="15" s="1"/>
  <c r="E61" i="16"/>
  <c r="I63" i="18"/>
  <c r="J63" i="18" s="1"/>
  <c r="D21" i="28"/>
  <c r="D64" i="28"/>
  <c r="I57" i="20"/>
  <c r="J57" i="20" s="1"/>
  <c r="K34" i="15"/>
  <c r="M34" i="15" s="1"/>
  <c r="I46" i="17"/>
  <c r="J46" i="17" s="1"/>
  <c r="D112" i="28"/>
  <c r="H28" i="19"/>
  <c r="N60" i="19" s="1"/>
  <c r="M40" i="2"/>
  <c r="J40" i="2" s="1"/>
  <c r="E62" i="21"/>
  <c r="E62" i="16"/>
  <c r="I49" i="21"/>
  <c r="J49" i="21" s="1"/>
  <c r="K35" i="19"/>
  <c r="M35" i="19" s="1"/>
  <c r="O26" i="6"/>
  <c r="H28" i="20"/>
  <c r="M60" i="18"/>
  <c r="N60" i="18"/>
  <c r="M60" i="17"/>
  <c r="N60" i="17"/>
  <c r="M28" i="20"/>
  <c r="J28" i="20" s="1"/>
  <c r="O60" i="20" s="1"/>
  <c r="N60" i="16"/>
  <c r="K12" i="21"/>
  <c r="M12" i="21" s="1"/>
  <c r="N61" i="16"/>
  <c r="E63" i="19"/>
  <c r="I63" i="19"/>
  <c r="J63" i="19" s="1"/>
  <c r="I57" i="2"/>
  <c r="J57" i="2" s="1"/>
  <c r="E57" i="2"/>
  <c r="E63" i="15"/>
  <c r="I63" i="15"/>
  <c r="J63" i="15" s="1"/>
  <c r="E52" i="20"/>
  <c r="E56" i="19"/>
  <c r="I56" i="19"/>
  <c r="J56" i="19" s="1"/>
  <c r="F28" i="8"/>
  <c r="K120" i="28"/>
  <c r="E50" i="15"/>
  <c r="I120" i="28"/>
  <c r="D30" i="28"/>
  <c r="D10" i="28"/>
  <c r="J58" i="6"/>
  <c r="D69" i="28"/>
  <c r="D49" i="28"/>
  <c r="D17" i="28"/>
  <c r="I61" i="20"/>
  <c r="J61" i="20" s="1"/>
  <c r="J64" i="20" s="1"/>
  <c r="H64" i="20" s="1"/>
  <c r="O63" i="20" s="1"/>
  <c r="D4" i="28"/>
  <c r="J44" i="6"/>
  <c r="D18" i="28"/>
  <c r="K32" i="14"/>
  <c r="M32" i="14" s="1"/>
  <c r="M40" i="14" s="1"/>
  <c r="J40" i="14" s="1"/>
  <c r="O61" i="14" s="1"/>
  <c r="D15" i="28"/>
  <c r="D82" i="28"/>
  <c r="D54" i="28"/>
  <c r="D63" i="28"/>
  <c r="E59" i="16"/>
  <c r="I59" i="16"/>
  <c r="J59" i="16" s="1"/>
  <c r="J64" i="16" s="1"/>
  <c r="I60" i="14"/>
  <c r="J60" i="14" s="1"/>
  <c r="J64" i="14" s="1"/>
  <c r="K23" i="15"/>
  <c r="M23" i="15" s="1"/>
  <c r="M28" i="15" s="1"/>
  <c r="J28" i="15" s="1"/>
  <c r="O60" i="15" s="1"/>
  <c r="I58" i="18"/>
  <c r="J58" i="18" s="1"/>
  <c r="E58" i="18"/>
  <c r="E59" i="2"/>
  <c r="I59" i="2"/>
  <c r="J59" i="2" s="1"/>
  <c r="E45" i="14"/>
  <c r="I45" i="14"/>
  <c r="J45" i="14" s="1"/>
  <c r="J52" i="14" s="1"/>
  <c r="E57" i="18"/>
  <c r="I57" i="18"/>
  <c r="J57" i="18" s="1"/>
  <c r="K35" i="20"/>
  <c r="M35" i="20" s="1"/>
  <c r="M40" i="20" s="1"/>
  <c r="H35" i="20"/>
  <c r="I48" i="15"/>
  <c r="J48" i="15" s="1"/>
  <c r="J52" i="15" s="1"/>
  <c r="K36" i="15"/>
  <c r="M36" i="15" s="1"/>
  <c r="M40" i="15" s="1"/>
  <c r="H35" i="17"/>
  <c r="H40" i="17" s="1"/>
  <c r="K35" i="17"/>
  <c r="M35" i="17" s="1"/>
  <c r="M40" i="17" s="1"/>
  <c r="J52" i="6"/>
  <c r="I46" i="19"/>
  <c r="J46" i="19" s="1"/>
  <c r="J52" i="19" s="1"/>
  <c r="H52" i="19" s="1"/>
  <c r="O62" i="19" s="1"/>
  <c r="E46" i="19"/>
  <c r="E52" i="19" s="1"/>
  <c r="D43" i="28"/>
  <c r="H37" i="20"/>
  <c r="E48" i="16"/>
  <c r="E52" i="16" s="1"/>
  <c r="I48" i="17"/>
  <c r="J48" i="17" s="1"/>
  <c r="E48" i="17"/>
  <c r="E52" i="17" s="1"/>
  <c r="I47" i="17"/>
  <c r="J47" i="17" s="1"/>
  <c r="H10" i="21"/>
  <c r="H8" i="21"/>
  <c r="M28" i="18"/>
  <c r="M28" i="16"/>
  <c r="J28" i="14"/>
  <c r="O60" i="14" s="1"/>
  <c r="M8" i="21"/>
  <c r="C15" i="8"/>
  <c r="H15" i="8" s="1"/>
  <c r="C105" i="8"/>
  <c r="E105" i="8" s="1"/>
  <c r="C128" i="8"/>
  <c r="C35" i="8"/>
  <c r="E35" i="8" s="1"/>
  <c r="C65" i="8"/>
  <c r="E65" i="8" s="1"/>
  <c r="C66" i="8"/>
  <c r="E66" i="8" s="1"/>
  <c r="C42" i="8"/>
  <c r="E42" i="8" s="1"/>
  <c r="C108" i="8"/>
  <c r="E108" i="8" s="1"/>
  <c r="C61" i="8"/>
  <c r="E61" i="8" s="1"/>
  <c r="C51" i="8"/>
  <c r="E51" i="8" s="1"/>
  <c r="C102" i="8"/>
  <c r="E102" i="8" s="1"/>
  <c r="C130" i="8"/>
  <c r="C19" i="8"/>
  <c r="H19" i="8" s="1"/>
  <c r="C67" i="8"/>
  <c r="E67" i="8" s="1"/>
  <c r="C56" i="8"/>
  <c r="E56" i="8" s="1"/>
  <c r="C39" i="8"/>
  <c r="E39" i="8" s="1"/>
  <c r="C113" i="8"/>
  <c r="E113" i="8" s="1"/>
  <c r="C98" i="8"/>
  <c r="E98" i="8" s="1"/>
  <c r="C47" i="8"/>
  <c r="E47" i="8" s="1"/>
  <c r="C40" i="8"/>
  <c r="E40" i="8" s="1"/>
  <c r="C95" i="8"/>
  <c r="E95" i="8" s="1"/>
  <c r="C104" i="8"/>
  <c r="E104" i="8" s="1"/>
  <c r="C53" i="8"/>
  <c r="E53" i="8" s="1"/>
  <c r="C18" i="8"/>
  <c r="H18" i="8" s="1"/>
  <c r="C107" i="8"/>
  <c r="E107" i="8" s="1"/>
  <c r="C90" i="8"/>
  <c r="E90" i="8" s="1"/>
  <c r="C63" i="8"/>
  <c r="E63" i="8" s="1"/>
  <c r="C75" i="8"/>
  <c r="E75" i="8" s="1"/>
  <c r="C115" i="8"/>
  <c r="E115" i="8" s="1"/>
  <c r="C126" i="8"/>
  <c r="C45" i="8"/>
  <c r="E45" i="8" s="1"/>
  <c r="C116" i="8"/>
  <c r="E116" i="8" s="1"/>
  <c r="C100" i="8"/>
  <c r="E100" i="8" s="1"/>
  <c r="C119" i="8"/>
  <c r="E119" i="8" s="1"/>
  <c r="C21" i="8"/>
  <c r="H21" i="8" s="1"/>
  <c r="C127" i="8"/>
  <c r="C69" i="8"/>
  <c r="E69" i="8" s="1"/>
  <c r="C103" i="8"/>
  <c r="E103" i="8" s="1"/>
  <c r="C135" i="8"/>
  <c r="C58" i="8"/>
  <c r="E58" i="8" s="1"/>
  <c r="C92" i="8"/>
  <c r="E92" i="8" s="1"/>
  <c r="C78" i="8"/>
  <c r="E78" i="8" s="1"/>
  <c r="C29" i="8"/>
  <c r="E29" i="8" s="1"/>
  <c r="C44" i="8"/>
  <c r="E44" i="8" s="1"/>
  <c r="C41" i="8"/>
  <c r="E41" i="8" s="1"/>
  <c r="C87" i="8"/>
  <c r="E87" i="8" s="1"/>
  <c r="C17" i="8"/>
  <c r="H17" i="8" s="1"/>
  <c r="C133" i="8"/>
  <c r="C48" i="8"/>
  <c r="E48" i="8" s="1"/>
  <c r="C80" i="8"/>
  <c r="E80" i="8" s="1"/>
  <c r="C125" i="8"/>
  <c r="C89" i="8"/>
  <c r="E89" i="8" s="1"/>
  <c r="C73" i="8"/>
  <c r="E73" i="8" s="1"/>
  <c r="C114" i="8"/>
  <c r="E114" i="8" s="1"/>
  <c r="C131" i="8"/>
  <c r="C49" i="8"/>
  <c r="E49" i="8" s="1"/>
  <c r="C122" i="8"/>
  <c r="E122" i="8" s="1"/>
  <c r="C33" i="8"/>
  <c r="E33" i="8" s="1"/>
  <c r="C14" i="8"/>
  <c r="H14" i="8" s="1"/>
  <c r="C52" i="8"/>
  <c r="E52" i="8" s="1"/>
  <c r="C31" i="8"/>
  <c r="E31" i="8" s="1"/>
  <c r="C59" i="8"/>
  <c r="E59" i="8" s="1"/>
  <c r="C110" i="8"/>
  <c r="E110" i="8" s="1"/>
  <c r="C30" i="8"/>
  <c r="E30" i="8" s="1"/>
  <c r="C117" i="8"/>
  <c r="E117" i="8" s="1"/>
  <c r="C64" i="8"/>
  <c r="E64" i="8" s="1"/>
  <c r="C82" i="8"/>
  <c r="E82" i="8" s="1"/>
  <c r="C32" i="8"/>
  <c r="E32" i="8" s="1"/>
  <c r="C112" i="8"/>
  <c r="E112" i="8" s="1"/>
  <c r="C106" i="8"/>
  <c r="E106" i="8" s="1"/>
  <c r="C16" i="8"/>
  <c r="H16" i="8" s="1"/>
  <c r="C86" i="8"/>
  <c r="E86" i="8" s="1"/>
  <c r="C36" i="8"/>
  <c r="E36" i="8" s="1"/>
  <c r="C109" i="8"/>
  <c r="E109" i="8" s="1"/>
  <c r="C60" i="8"/>
  <c r="E60" i="8" s="1"/>
  <c r="C38" i="8"/>
  <c r="E38" i="8" s="1"/>
  <c r="C79" i="8"/>
  <c r="E79" i="8" s="1"/>
  <c r="C120" i="8"/>
  <c r="E120" i="8" s="1"/>
  <c r="C118" i="8"/>
  <c r="E118" i="8" s="1"/>
  <c r="C74" i="8"/>
  <c r="E74" i="8" s="1"/>
  <c r="C46" i="8"/>
  <c r="E46" i="8" s="1"/>
  <c r="C54" i="8"/>
  <c r="E54" i="8" s="1"/>
  <c r="H9" i="21"/>
  <c r="D134" i="8" s="1"/>
  <c r="C99" i="8"/>
  <c r="E99" i="8" s="1"/>
  <c r="C71" i="8"/>
  <c r="E71" i="8" s="1"/>
  <c r="C94" i="8"/>
  <c r="E94" i="8" s="1"/>
  <c r="C43" i="8"/>
  <c r="E43" i="8" s="1"/>
  <c r="C68" i="8"/>
  <c r="E68" i="8" s="1"/>
  <c r="C93" i="8"/>
  <c r="E93" i="8" s="1"/>
  <c r="C72" i="8"/>
  <c r="E72" i="8" s="1"/>
  <c r="C85" i="8"/>
  <c r="E85" i="8" s="1"/>
  <c r="C77" i="8"/>
  <c r="E77" i="8" s="1"/>
  <c r="C37" i="8"/>
  <c r="E37" i="8" s="1"/>
  <c r="D13" i="8"/>
  <c r="I13" i="8" s="1"/>
  <c r="C13" i="8"/>
  <c r="H13" i="8" s="1"/>
  <c r="C76" i="8"/>
  <c r="E76" i="8" s="1"/>
  <c r="C62" i="8"/>
  <c r="E62" i="8" s="1"/>
  <c r="C123" i="8"/>
  <c r="E123" i="8" s="1"/>
  <c r="C111" i="8"/>
  <c r="E111" i="8" s="1"/>
  <c r="C129" i="8"/>
  <c r="C97" i="8"/>
  <c r="E97" i="8" s="1"/>
  <c r="C57" i="8"/>
  <c r="E57" i="8" s="1"/>
  <c r="C124" i="8"/>
  <c r="E124" i="8" s="1"/>
  <c r="C50" i="8"/>
  <c r="E50" i="8" s="1"/>
  <c r="C70" i="8"/>
  <c r="E70" i="8" s="1"/>
  <c r="C83" i="8"/>
  <c r="E83" i="8" s="1"/>
  <c r="D36" i="8"/>
  <c r="D18" i="8"/>
  <c r="F18" i="8" s="1"/>
  <c r="D28" i="21"/>
  <c r="C20" i="8"/>
  <c r="H20" i="8" s="1"/>
  <c r="C55" i="8"/>
  <c r="E55" i="8" s="1"/>
  <c r="C134" i="8"/>
  <c r="C81" i="8"/>
  <c r="E81" i="8" s="1"/>
  <c r="C88" i="8"/>
  <c r="E88" i="8" s="1"/>
  <c r="C96" i="8"/>
  <c r="E96" i="8" s="1"/>
  <c r="C34" i="8"/>
  <c r="E34" i="8" s="1"/>
  <c r="C91" i="8"/>
  <c r="E91" i="8" s="1"/>
  <c r="C101" i="8"/>
  <c r="E101" i="8" s="1"/>
  <c r="C132" i="8"/>
  <c r="C121" i="8"/>
  <c r="E121" i="8" s="1"/>
  <c r="C84" i="8"/>
  <c r="E84" i="8" s="1"/>
  <c r="M9" i="21"/>
  <c r="M10" i="21"/>
  <c r="M28" i="2" l="1"/>
  <c r="O25" i="6"/>
  <c r="J64" i="17"/>
  <c r="H64" i="17" s="1"/>
  <c r="O63" i="17" s="1"/>
  <c r="M28" i="19"/>
  <c r="J28" i="19" s="1"/>
  <c r="O60" i="19" s="1"/>
  <c r="J52" i="16"/>
  <c r="J52" i="17"/>
  <c r="H52" i="17" s="1"/>
  <c r="O62" i="17" s="1"/>
  <c r="J64" i="18"/>
  <c r="M60" i="19"/>
  <c r="J52" i="21"/>
  <c r="H52" i="21" s="1"/>
  <c r="O62" i="21" s="1"/>
  <c r="D87" i="8"/>
  <c r="D29" i="8"/>
  <c r="E52" i="14"/>
  <c r="M40" i="19"/>
  <c r="J40" i="19" s="1"/>
  <c r="O61" i="19" s="1"/>
  <c r="H40" i="21"/>
  <c r="J40" i="21" s="1"/>
  <c r="O61" i="21" s="1"/>
  <c r="M61" i="15"/>
  <c r="N61" i="15"/>
  <c r="H52" i="14"/>
  <c r="O62" i="14" s="1"/>
  <c r="N61" i="21"/>
  <c r="J52" i="20"/>
  <c r="N62" i="21"/>
  <c r="M62" i="21"/>
  <c r="J52" i="2"/>
  <c r="H52" i="2" s="1"/>
  <c r="O62" i="2" s="1"/>
  <c r="J40" i="15"/>
  <c r="O61" i="15" s="1"/>
  <c r="J64" i="15"/>
  <c r="H64" i="15" s="1"/>
  <c r="N60" i="2"/>
  <c r="M60" i="2"/>
  <c r="M62" i="18"/>
  <c r="N62" i="18"/>
  <c r="H40" i="20"/>
  <c r="E52" i="15"/>
  <c r="H52" i="15" s="1"/>
  <c r="O61" i="2"/>
  <c r="M61" i="19"/>
  <c r="M63" i="17"/>
  <c r="N63" i="17"/>
  <c r="E64" i="16"/>
  <c r="E64" i="14"/>
  <c r="N61" i="17"/>
  <c r="D22" i="8"/>
  <c r="M61" i="17"/>
  <c r="N62" i="16"/>
  <c r="M62" i="16"/>
  <c r="H52" i="16"/>
  <c r="O62" i="16" s="1"/>
  <c r="N61" i="20"/>
  <c r="M61" i="20"/>
  <c r="N62" i="14"/>
  <c r="M62" i="14"/>
  <c r="E64" i="19"/>
  <c r="J40" i="17"/>
  <c r="O61" i="17" s="1"/>
  <c r="M63" i="15"/>
  <c r="N63" i="15"/>
  <c r="E64" i="2"/>
  <c r="H52" i="20"/>
  <c r="O62" i="20" s="1"/>
  <c r="M62" i="20"/>
  <c r="N62" i="20"/>
  <c r="J64" i="2"/>
  <c r="M62" i="17"/>
  <c r="N62" i="17"/>
  <c r="M60" i="20"/>
  <c r="N60" i="20"/>
  <c r="D85" i="8"/>
  <c r="J40" i="20"/>
  <c r="O61" i="20" s="1"/>
  <c r="N62" i="15"/>
  <c r="D120" i="28"/>
  <c r="N111" i="28"/>
  <c r="J110" i="28"/>
  <c r="F110" i="28"/>
  <c r="L17" i="28"/>
  <c r="F50" i="28"/>
  <c r="H48" i="28"/>
  <c r="J50" i="28"/>
  <c r="L48" i="28"/>
  <c r="N50" i="28"/>
  <c r="F64" i="28"/>
  <c r="J56" i="28"/>
  <c r="F47" i="28"/>
  <c r="H49" i="28"/>
  <c r="N112" i="28"/>
  <c r="J111" i="28"/>
  <c r="N109" i="28"/>
  <c r="F38" i="28"/>
  <c r="H40" i="28"/>
  <c r="J46" i="28"/>
  <c r="L52" i="28"/>
  <c r="N58" i="28"/>
  <c r="H46" i="28"/>
  <c r="L54" i="28"/>
  <c r="F67" i="28"/>
  <c r="H73" i="28"/>
  <c r="L37" i="28"/>
  <c r="N39" i="28"/>
  <c r="F40" i="28"/>
  <c r="J52" i="28"/>
  <c r="F69" i="28"/>
  <c r="N64" i="28"/>
  <c r="J69" i="28"/>
  <c r="H43" i="28"/>
  <c r="N52" i="28"/>
  <c r="L59" i="28"/>
  <c r="F117" i="28"/>
  <c r="H119" i="28"/>
  <c r="N115" i="28"/>
  <c r="J26" i="28"/>
  <c r="J25" i="28"/>
  <c r="J24" i="28"/>
  <c r="J23" i="28"/>
  <c r="J22" i="28"/>
  <c r="J21" i="28"/>
  <c r="J20" i="28"/>
  <c r="J35" i="28"/>
  <c r="J34" i="28"/>
  <c r="J33" i="28"/>
  <c r="J32" i="28"/>
  <c r="J31" i="28"/>
  <c r="J30" i="28"/>
  <c r="F113" i="28"/>
  <c r="J109" i="28"/>
  <c r="H110" i="28"/>
  <c r="H17" i="28"/>
  <c r="F46" i="28"/>
  <c r="H52" i="28"/>
  <c r="J58" i="28"/>
  <c r="L60" i="28"/>
  <c r="N66" i="28"/>
  <c r="H58" i="28"/>
  <c r="L62" i="28"/>
  <c r="H37" i="28"/>
  <c r="J43" i="28"/>
  <c r="L45" i="28"/>
  <c r="N47" i="28"/>
  <c r="F56" i="28"/>
  <c r="J68" i="28"/>
  <c r="H67" i="28"/>
  <c r="F41" i="28"/>
  <c r="L67" i="28"/>
  <c r="J41" i="28"/>
  <c r="N68" i="28"/>
  <c r="N45" i="28"/>
  <c r="F119" i="28"/>
  <c r="N117" i="28"/>
  <c r="L115" i="28"/>
  <c r="H26" i="28"/>
  <c r="H25" i="28"/>
  <c r="H24" i="28"/>
  <c r="H23" i="28"/>
  <c r="H22" i="28"/>
  <c r="H21" i="28"/>
  <c r="H20" i="28"/>
  <c r="H35" i="28"/>
  <c r="H34" i="28"/>
  <c r="H33" i="28"/>
  <c r="F112" i="28"/>
  <c r="N114" i="28"/>
  <c r="F109" i="28"/>
  <c r="J18" i="28"/>
  <c r="F70" i="28"/>
  <c r="H72" i="28"/>
  <c r="L36" i="28"/>
  <c r="N42" i="28"/>
  <c r="F60" i="28"/>
  <c r="J64" i="28"/>
  <c r="F55" i="28"/>
  <c r="H61" i="28"/>
  <c r="J63" i="28"/>
  <c r="L65" i="28"/>
  <c r="N67" i="28"/>
  <c r="H70" i="28"/>
  <c r="L74" i="28"/>
  <c r="N40" i="28"/>
  <c r="H71" i="28"/>
  <c r="N73" i="28"/>
  <c r="L71" i="28"/>
  <c r="J45" i="28"/>
  <c r="F10" i="28"/>
  <c r="J118" i="28"/>
  <c r="H116" i="28"/>
  <c r="F108" i="28"/>
  <c r="F107" i="28"/>
  <c r="F106" i="28"/>
  <c r="F105" i="28"/>
  <c r="F104" i="28"/>
  <c r="F103" i="28"/>
  <c r="F102" i="28"/>
  <c r="F101" i="28"/>
  <c r="F100" i="28"/>
  <c r="F99" i="28"/>
  <c r="F98" i="28"/>
  <c r="F97" i="28"/>
  <c r="F96" i="28"/>
  <c r="F95" i="28"/>
  <c r="F94" i="28"/>
  <c r="F93" i="28"/>
  <c r="F92" i="28"/>
  <c r="F91" i="28"/>
  <c r="F90" i="28"/>
  <c r="F89" i="28"/>
  <c r="F88" i="28"/>
  <c r="F87" i="28"/>
  <c r="F86" i="28"/>
  <c r="F19" i="28"/>
  <c r="F16" i="28"/>
  <c r="F15" i="28"/>
  <c r="F14" i="28"/>
  <c r="F13" i="28"/>
  <c r="F12" i="28"/>
  <c r="F11" i="28"/>
  <c r="N85" i="28"/>
  <c r="N84" i="28"/>
  <c r="N83" i="28"/>
  <c r="N82" i="28"/>
  <c r="N81" i="28"/>
  <c r="N80" i="28"/>
  <c r="N79" i="28"/>
  <c r="N78" i="28"/>
  <c r="N77" i="28"/>
  <c r="N76" i="28"/>
  <c r="N75" i="28"/>
  <c r="N29" i="28"/>
  <c r="N28" i="28"/>
  <c r="N27" i="28"/>
  <c r="N110" i="28"/>
  <c r="J17" i="28"/>
  <c r="F66" i="28"/>
  <c r="J54" i="28"/>
  <c r="L72" i="28"/>
  <c r="H38" i="28"/>
  <c r="F39" i="28"/>
  <c r="H65" i="28"/>
  <c r="L49" i="28"/>
  <c r="N63" i="28"/>
  <c r="J60" i="28"/>
  <c r="L47" i="28"/>
  <c r="J53" i="28"/>
  <c r="J73" i="28"/>
  <c r="J61" i="28"/>
  <c r="J117" i="28"/>
  <c r="N108" i="28"/>
  <c r="L106" i="28"/>
  <c r="J104" i="28"/>
  <c r="H102" i="28"/>
  <c r="N98" i="28"/>
  <c r="L96" i="28"/>
  <c r="J94" i="28"/>
  <c r="H92" i="28"/>
  <c r="N88" i="28"/>
  <c r="L86" i="28"/>
  <c r="J16" i="28"/>
  <c r="H14" i="28"/>
  <c r="N10" i="28"/>
  <c r="J84" i="28"/>
  <c r="H82" i="28"/>
  <c r="F80" i="28"/>
  <c r="L76" i="28"/>
  <c r="J29" i="28"/>
  <c r="H27" i="28"/>
  <c r="F32" i="28"/>
  <c r="F27" i="28"/>
  <c r="F111" i="28"/>
  <c r="H109" i="28"/>
  <c r="N17" i="28"/>
  <c r="F74" i="28"/>
  <c r="J62" i="28"/>
  <c r="N38" i="28"/>
  <c r="H54" i="28"/>
  <c r="F43" i="28"/>
  <c r="H69" i="28"/>
  <c r="L53" i="28"/>
  <c r="N71" i="28"/>
  <c r="L38" i="28"/>
  <c r="L63" i="28"/>
  <c r="L51" i="28"/>
  <c r="L39" i="28"/>
  <c r="L43" i="28"/>
  <c r="N119" i="28"/>
  <c r="L118" i="28"/>
  <c r="L107" i="28"/>
  <c r="J105" i="28"/>
  <c r="H103" i="28"/>
  <c r="N99" i="28"/>
  <c r="L97" i="28"/>
  <c r="J95" i="28"/>
  <c r="H93" i="28"/>
  <c r="N89" i="28"/>
  <c r="L87" i="28"/>
  <c r="J19" i="28"/>
  <c r="H15" i="28"/>
  <c r="N11" i="28"/>
  <c r="J85" i="28"/>
  <c r="H83" i="28"/>
  <c r="F81" i="28"/>
  <c r="L77" i="28"/>
  <c r="J75" i="28"/>
  <c r="H28" i="28"/>
  <c r="N25" i="28"/>
  <c r="L24" i="28"/>
  <c r="F22" i="28"/>
  <c r="N20" i="28"/>
  <c r="L35" i="28"/>
  <c r="F33" i="28"/>
  <c r="N30" i="28"/>
  <c r="H113" i="28"/>
  <c r="L113" i="28"/>
  <c r="F18" i="28"/>
  <c r="H36" i="28"/>
  <c r="J66" i="28"/>
  <c r="N46" i="28"/>
  <c r="H66" i="28"/>
  <c r="F51" i="28"/>
  <c r="J39" i="28"/>
  <c r="L57" i="28"/>
  <c r="F36" i="28"/>
  <c r="L46" i="28"/>
  <c r="N48" i="28"/>
  <c r="N41" i="28"/>
  <c r="L55" i="28"/>
  <c r="N37" i="28"/>
  <c r="H117" i="28"/>
  <c r="L108" i="28"/>
  <c r="J106" i="28"/>
  <c r="H104" i="28"/>
  <c r="N100" i="28"/>
  <c r="L98" i="28"/>
  <c r="J96" i="28"/>
  <c r="H94" i="28"/>
  <c r="N90" i="28"/>
  <c r="L88" i="28"/>
  <c r="J86" i="28"/>
  <c r="H16" i="28"/>
  <c r="N12" i="28"/>
  <c r="L10" i="28"/>
  <c r="H84" i="28"/>
  <c r="F82" i="28"/>
  <c r="L78" i="28"/>
  <c r="J76" i="28"/>
  <c r="H29" i="28"/>
  <c r="N31" i="28"/>
  <c r="L109" i="28"/>
  <c r="J112" i="28"/>
  <c r="H18" i="28"/>
  <c r="H44" i="28"/>
  <c r="J70" i="28"/>
  <c r="N54" i="28"/>
  <c r="H74" i="28"/>
  <c r="F59" i="28"/>
  <c r="J47" i="28"/>
  <c r="L61" i="28"/>
  <c r="F48" i="28"/>
  <c r="L50" i="28"/>
  <c r="N56" i="28"/>
  <c r="N49" i="28"/>
  <c r="N36" i="28"/>
  <c r="N53" i="28"/>
  <c r="L119" i="28"/>
  <c r="J107" i="28"/>
  <c r="H105" i="28"/>
  <c r="N101" i="28"/>
  <c r="L99" i="28"/>
  <c r="J97" i="28"/>
  <c r="H95" i="28"/>
  <c r="N91" i="28"/>
  <c r="L89" i="28"/>
  <c r="J87" i="28"/>
  <c r="H19" i="28"/>
  <c r="N13" i="28"/>
  <c r="L11" i="28"/>
  <c r="H85" i="28"/>
  <c r="F83" i="28"/>
  <c r="L79" i="28"/>
  <c r="J77" i="28"/>
  <c r="H75" i="28"/>
  <c r="F28" i="28"/>
  <c r="N26" i="28"/>
  <c r="L25" i="28"/>
  <c r="F23" i="28"/>
  <c r="N21" i="28"/>
  <c r="L20" i="28"/>
  <c r="F34" i="28"/>
  <c r="N32" i="28"/>
  <c r="L30" i="28"/>
  <c r="H114" i="28"/>
  <c r="L114" i="28"/>
  <c r="L18" i="28"/>
  <c r="H56" i="28"/>
  <c r="J74" i="28"/>
  <c r="N62" i="28"/>
  <c r="J40" i="28"/>
  <c r="F63" i="28"/>
  <c r="J51" i="28"/>
  <c r="L69" i="28"/>
  <c r="F68" i="28"/>
  <c r="L66" i="28"/>
  <c r="N72" i="28"/>
  <c r="N57" i="28"/>
  <c r="N44" i="28"/>
  <c r="N61" i="28"/>
  <c r="H118" i="28"/>
  <c r="J108" i="28"/>
  <c r="H106" i="28"/>
  <c r="N102" i="28"/>
  <c r="L100" i="28"/>
  <c r="J98" i="28"/>
  <c r="H96" i="28"/>
  <c r="N92" i="28"/>
  <c r="L90" i="28"/>
  <c r="J88" i="28"/>
  <c r="H86" i="28"/>
  <c r="N14" i="28"/>
  <c r="L12" i="28"/>
  <c r="J10" i="28"/>
  <c r="F84" i="28"/>
  <c r="L80" i="28"/>
  <c r="J78" i="28"/>
  <c r="H76" i="28"/>
  <c r="F29" i="28"/>
  <c r="L31" i="28"/>
  <c r="L110" i="28"/>
  <c r="H112" i="28"/>
  <c r="N18" i="28"/>
  <c r="H60" i="28"/>
  <c r="L40" i="28"/>
  <c r="N70" i="28"/>
  <c r="J48" i="28"/>
  <c r="F71" i="28"/>
  <c r="J55" i="28"/>
  <c r="L73" i="28"/>
  <c r="H42" i="28"/>
  <c r="F37" i="28"/>
  <c r="F57" i="28"/>
  <c r="N65" i="28"/>
  <c r="N60" i="28"/>
  <c r="N69" i="28"/>
  <c r="J119" i="28"/>
  <c r="N116" i="28"/>
  <c r="J115" i="28"/>
  <c r="H107" i="28"/>
  <c r="N103" i="28"/>
  <c r="L101" i="28"/>
  <c r="J99" i="28"/>
  <c r="H97" i="28"/>
  <c r="N93" i="28"/>
  <c r="L91" i="28"/>
  <c r="J89" i="28"/>
  <c r="H87" i="28"/>
  <c r="N15" i="28"/>
  <c r="L13" i="28"/>
  <c r="J11" i="28"/>
  <c r="F85" i="28"/>
  <c r="L81" i="28"/>
  <c r="J79" i="28"/>
  <c r="H77" i="28"/>
  <c r="F75" i="28"/>
  <c r="L26" i="28"/>
  <c r="F24" i="28"/>
  <c r="N22" i="28"/>
  <c r="L21" i="28"/>
  <c r="F35" i="28"/>
  <c r="N33" i="28"/>
  <c r="L32" i="28"/>
  <c r="L111" i="28"/>
  <c r="J114" i="28"/>
  <c r="F42" i="28"/>
  <c r="H64" i="28"/>
  <c r="L44" i="28"/>
  <c r="N74" i="28"/>
  <c r="J72" i="28"/>
  <c r="H41" i="28"/>
  <c r="J59" i="28"/>
  <c r="N43" i="28"/>
  <c r="H50" i="28"/>
  <c r="F53" i="28"/>
  <c r="F73" i="28"/>
  <c r="F45" i="28"/>
  <c r="F49" i="28"/>
  <c r="H108" i="28"/>
  <c r="N104" i="28"/>
  <c r="L102" i="28"/>
  <c r="J100" i="28"/>
  <c r="H98" i="28"/>
  <c r="N94" i="28"/>
  <c r="L92" i="28"/>
  <c r="J90" i="28"/>
  <c r="H88" i="28"/>
  <c r="N16" i="28"/>
  <c r="L14" i="28"/>
  <c r="J12" i="28"/>
  <c r="H10" i="28"/>
  <c r="L82" i="28"/>
  <c r="J80" i="28"/>
  <c r="H78" i="28"/>
  <c r="F76" i="28"/>
  <c r="L27" i="28"/>
  <c r="H30" i="28"/>
  <c r="N113" i="28"/>
  <c r="H111" i="28"/>
  <c r="F54" i="28"/>
  <c r="H68" i="28"/>
  <c r="L56" i="28"/>
  <c r="F44" i="28"/>
  <c r="L42" i="28"/>
  <c r="H45" i="28"/>
  <c r="J67" i="28"/>
  <c r="N51" i="28"/>
  <c r="H62" i="28"/>
  <c r="H51" i="28"/>
  <c r="H39" i="28"/>
  <c r="F61" i="28"/>
  <c r="F65" i="28"/>
  <c r="F115" i="28"/>
  <c r="L116" i="28"/>
  <c r="H115" i="28"/>
  <c r="N105" i="28"/>
  <c r="L103" i="28"/>
  <c r="J101" i="28"/>
  <c r="H99" i="28"/>
  <c r="N95" i="28"/>
  <c r="L93" i="28"/>
  <c r="J91" i="28"/>
  <c r="H89" i="28"/>
  <c r="N19" i="28"/>
  <c r="L15" i="28"/>
  <c r="J13" i="28"/>
  <c r="H11" i="28"/>
  <c r="L83" i="28"/>
  <c r="J81" i="28"/>
  <c r="H79" i="28"/>
  <c r="F77" i="28"/>
  <c r="L28" i="28"/>
  <c r="F25" i="28"/>
  <c r="N23" i="28"/>
  <c r="L22" i="28"/>
  <c r="F20" i="28"/>
  <c r="N34" i="28"/>
  <c r="L33" i="28"/>
  <c r="H31" i="28"/>
  <c r="F114" i="28"/>
  <c r="J113" i="28"/>
  <c r="F58" i="28"/>
  <c r="J38" i="28"/>
  <c r="L64" i="28"/>
  <c r="F52" i="28"/>
  <c r="L58" i="28"/>
  <c r="H53" i="28"/>
  <c r="J71" i="28"/>
  <c r="N55" i="28"/>
  <c r="J36" i="28"/>
  <c r="J49" i="28"/>
  <c r="H55" i="28"/>
  <c r="H59" i="28"/>
  <c r="H47" i="28"/>
  <c r="F116" i="28"/>
  <c r="L117" i="28"/>
  <c r="N106" i="28"/>
  <c r="L104" i="28"/>
  <c r="J102" i="28"/>
  <c r="H100" i="28"/>
  <c r="N96" i="28"/>
  <c r="L94" i="28"/>
  <c r="J92" i="28"/>
  <c r="H90" i="28"/>
  <c r="N86" i="28"/>
  <c r="L16" i="28"/>
  <c r="J14" i="28"/>
  <c r="H12" i="28"/>
  <c r="L84" i="28"/>
  <c r="J82" i="28"/>
  <c r="H80" i="28"/>
  <c r="F78" i="28"/>
  <c r="L29" i="28"/>
  <c r="J27" i="28"/>
  <c r="H32" i="28"/>
  <c r="F30" i="28"/>
  <c r="L112" i="28"/>
  <c r="F17" i="28"/>
  <c r="F62" i="28"/>
  <c r="J42" i="28"/>
  <c r="L68" i="28"/>
  <c r="F72" i="28"/>
  <c r="L70" i="28"/>
  <c r="H57" i="28"/>
  <c r="L41" i="28"/>
  <c r="N59" i="28"/>
  <c r="J44" i="28"/>
  <c r="J65" i="28"/>
  <c r="J37" i="28"/>
  <c r="J57" i="28"/>
  <c r="H63" i="28"/>
  <c r="F118" i="28"/>
  <c r="N118" i="28"/>
  <c r="J116" i="28"/>
  <c r="N107" i="28"/>
  <c r="L105" i="28"/>
  <c r="J103" i="28"/>
  <c r="H101" i="28"/>
  <c r="N97" i="28"/>
  <c r="L95" i="28"/>
  <c r="J93" i="28"/>
  <c r="H91" i="28"/>
  <c r="N87" i="28"/>
  <c r="L19" i="28"/>
  <c r="J15" i="28"/>
  <c r="H13" i="28"/>
  <c r="L85" i="28"/>
  <c r="J83" i="28"/>
  <c r="H81" i="28"/>
  <c r="F79" i="28"/>
  <c r="L75" i="28"/>
  <c r="J28" i="28"/>
  <c r="F26" i="28"/>
  <c r="N24" i="28"/>
  <c r="L23" i="28"/>
  <c r="F21" i="28"/>
  <c r="N35" i="28"/>
  <c r="L34" i="28"/>
  <c r="F31" i="28"/>
  <c r="M62" i="19"/>
  <c r="N62" i="19"/>
  <c r="E64" i="18"/>
  <c r="H64" i="16"/>
  <c r="O63" i="16" s="1"/>
  <c r="F49" i="8"/>
  <c r="F77" i="8"/>
  <c r="F40" i="8"/>
  <c r="F87" i="8"/>
  <c r="F94" i="8"/>
  <c r="F93" i="8"/>
  <c r="F33" i="8"/>
  <c r="F47" i="8"/>
  <c r="F54" i="8"/>
  <c r="F62" i="8"/>
  <c r="F98" i="8"/>
  <c r="F124" i="8"/>
  <c r="F101" i="8"/>
  <c r="F71" i="8"/>
  <c r="F55" i="8"/>
  <c r="F50" i="8"/>
  <c r="F65" i="8"/>
  <c r="F104" i="8"/>
  <c r="F113" i="8"/>
  <c r="F112" i="8"/>
  <c r="F85" i="8"/>
  <c r="F92" i="8"/>
  <c r="F117" i="8"/>
  <c r="F100" i="8"/>
  <c r="F82" i="8"/>
  <c r="F89" i="8"/>
  <c r="F38" i="8"/>
  <c r="F116" i="8"/>
  <c r="F97" i="8"/>
  <c r="F96" i="8"/>
  <c r="F123" i="8"/>
  <c r="F32" i="8"/>
  <c r="F78" i="8"/>
  <c r="F118" i="8"/>
  <c r="F99" i="8"/>
  <c r="F84" i="8"/>
  <c r="F111" i="8"/>
  <c r="F64" i="8"/>
  <c r="F91" i="8"/>
  <c r="G28" i="8"/>
  <c r="F110" i="8"/>
  <c r="F34" i="8"/>
  <c r="F56" i="8"/>
  <c r="F69" i="8"/>
  <c r="F122" i="8"/>
  <c r="F79" i="8"/>
  <c r="F70" i="8"/>
  <c r="F57" i="8"/>
  <c r="F44" i="8"/>
  <c r="F66" i="8"/>
  <c r="F39" i="8"/>
  <c r="F73" i="8"/>
  <c r="F67" i="8"/>
  <c r="F90" i="8"/>
  <c r="F46" i="8"/>
  <c r="F48" i="8"/>
  <c r="F105" i="8"/>
  <c r="F51" i="8"/>
  <c r="F31" i="8"/>
  <c r="F109" i="8"/>
  <c r="F115" i="8"/>
  <c r="F95" i="8"/>
  <c r="F52" i="8"/>
  <c r="F30" i="8"/>
  <c r="F59" i="8"/>
  <c r="F83" i="8"/>
  <c r="F61" i="8"/>
  <c r="F121" i="8"/>
  <c r="F42" i="8"/>
  <c r="F72" i="8"/>
  <c r="F37" i="8"/>
  <c r="F45" i="8"/>
  <c r="F106" i="8"/>
  <c r="F60" i="8"/>
  <c r="F68" i="8"/>
  <c r="F41" i="8"/>
  <c r="F114" i="8"/>
  <c r="F63" i="8"/>
  <c r="F74" i="8"/>
  <c r="F120" i="8"/>
  <c r="F108" i="8"/>
  <c r="F86" i="8"/>
  <c r="F29" i="8"/>
  <c r="F119" i="8"/>
  <c r="F36" i="8"/>
  <c r="F107" i="8"/>
  <c r="F81" i="8"/>
  <c r="F75" i="8"/>
  <c r="F58" i="8"/>
  <c r="F102" i="8"/>
  <c r="F103" i="8"/>
  <c r="F35" i="8"/>
  <c r="F43" i="8"/>
  <c r="F53" i="8"/>
  <c r="F76" i="8"/>
  <c r="F88" i="8"/>
  <c r="F80" i="8"/>
  <c r="M64" i="17"/>
  <c r="M63" i="16"/>
  <c r="M64" i="16" s="1"/>
  <c r="N63" i="16"/>
  <c r="J64" i="19"/>
  <c r="D54" i="8"/>
  <c r="D73" i="8"/>
  <c r="D52" i="8"/>
  <c r="D135" i="8"/>
  <c r="D17" i="8"/>
  <c r="F17" i="8" s="1"/>
  <c r="M28" i="21"/>
  <c r="J28" i="16"/>
  <c r="O60" i="16" s="1"/>
  <c r="J28" i="18"/>
  <c r="O60" i="18" s="1"/>
  <c r="J28" i="2"/>
  <c r="O60" i="2" s="1"/>
  <c r="D49" i="8"/>
  <c r="D67" i="8"/>
  <c r="D57" i="8"/>
  <c r="D78" i="8"/>
  <c r="D62" i="8"/>
  <c r="D60" i="8"/>
  <c r="D50" i="8"/>
  <c r="H28" i="21"/>
  <c r="M60" i="21" s="1"/>
  <c r="D69" i="8"/>
  <c r="D94" i="8"/>
  <c r="D86" i="8"/>
  <c r="D44" i="8"/>
  <c r="D127" i="8"/>
  <c r="D56" i="8"/>
  <c r="D130" i="8"/>
  <c r="D114" i="8"/>
  <c r="D124" i="8"/>
  <c r="D112" i="8"/>
  <c r="D101" i="8"/>
  <c r="D65" i="8"/>
  <c r="D90" i="8"/>
  <c r="D93" i="8"/>
  <c r="D32" i="8"/>
  <c r="D75" i="8"/>
  <c r="D117" i="8"/>
  <c r="D95" i="8"/>
  <c r="D68" i="8"/>
  <c r="D91" i="8"/>
  <c r="D131" i="8"/>
  <c r="D61" i="8"/>
  <c r="D41" i="8"/>
  <c r="I18" i="8"/>
  <c r="F13" i="8"/>
  <c r="K5" i="8"/>
  <c r="D51" i="8"/>
  <c r="D76" i="8"/>
  <c r="D122" i="8"/>
  <c r="D16" i="8"/>
  <c r="D107" i="8"/>
  <c r="D59" i="8"/>
  <c r="D77" i="8"/>
  <c r="D96" i="8"/>
  <c r="D89" i="8"/>
  <c r="D123" i="8"/>
  <c r="D125" i="8"/>
  <c r="D45" i="8"/>
  <c r="D121" i="8"/>
  <c r="D33" i="8"/>
  <c r="D63" i="8"/>
  <c r="D37" i="8"/>
  <c r="D81" i="8"/>
  <c r="D132" i="8"/>
  <c r="D128" i="8"/>
  <c r="C25" i="8"/>
  <c r="J2" i="22" s="1"/>
  <c r="D82" i="8"/>
  <c r="D129" i="8"/>
  <c r="D35" i="8"/>
  <c r="D31" i="8"/>
  <c r="D74" i="8"/>
  <c r="D58" i="8"/>
  <c r="D46" i="8"/>
  <c r="D47" i="8"/>
  <c r="D15" i="8"/>
  <c r="D108" i="8"/>
  <c r="D79" i="8"/>
  <c r="D102" i="8"/>
  <c r="D43" i="8"/>
  <c r="D19" i="8"/>
  <c r="D48" i="8"/>
  <c r="D53" i="8"/>
  <c r="D70" i="8"/>
  <c r="D71" i="8"/>
  <c r="D34" i="8"/>
  <c r="D88" i="8"/>
  <c r="D126" i="8"/>
  <c r="D38" i="8"/>
  <c r="D100" i="8"/>
  <c r="D80" i="8"/>
  <c r="D14" i="8"/>
  <c r="D109" i="8"/>
  <c r="D99" i="8"/>
  <c r="D119" i="8"/>
  <c r="D111" i="8"/>
  <c r="D104" i="8"/>
  <c r="D106" i="8"/>
  <c r="K3" i="8"/>
  <c r="D42" i="8"/>
  <c r="D21" i="8"/>
  <c r="I21" i="8" s="1"/>
  <c r="D105" i="8"/>
  <c r="D72" i="8"/>
  <c r="D66" i="8"/>
  <c r="D118" i="8"/>
  <c r="D30" i="8"/>
  <c r="D133" i="8"/>
  <c r="D98" i="8"/>
  <c r="D40" i="8"/>
  <c r="D84" i="8"/>
  <c r="D55" i="8"/>
  <c r="D92" i="8"/>
  <c r="D103" i="8"/>
  <c r="E139" i="8"/>
  <c r="C139" i="8"/>
  <c r="J57" i="21"/>
  <c r="J64" i="21" s="1"/>
  <c r="E57" i="21"/>
  <c r="E64" i="21" s="1"/>
  <c r="K4" i="8"/>
  <c r="D39" i="8"/>
  <c r="D20" i="8"/>
  <c r="I20" i="8" s="1"/>
  <c r="D113" i="8"/>
  <c r="D116" i="8"/>
  <c r="D64" i="8"/>
  <c r="D115" i="8"/>
  <c r="D110" i="8"/>
  <c r="D120" i="8"/>
  <c r="D97" i="8"/>
  <c r="D83" i="8"/>
  <c r="N60" i="21"/>
  <c r="J28" i="21"/>
  <c r="O60" i="21" s="1"/>
  <c r="M61" i="21" l="1"/>
  <c r="D23" i="8"/>
  <c r="O63" i="15"/>
  <c r="O62" i="15"/>
  <c r="N63" i="14"/>
  <c r="M63" i="14"/>
  <c r="M64" i="14" s="1"/>
  <c r="M62" i="15"/>
  <c r="M64" i="15" s="1"/>
  <c r="E16" i="5" s="1"/>
  <c r="H64" i="14"/>
  <c r="O63" i="14" s="1"/>
  <c r="E17" i="5"/>
  <c r="N64" i="16"/>
  <c r="G94" i="8"/>
  <c r="G82" i="8"/>
  <c r="G83" i="8"/>
  <c r="G85" i="8"/>
  <c r="G80" i="8"/>
  <c r="G88" i="8"/>
  <c r="G79" i="8"/>
  <c r="G73" i="8"/>
  <c r="G101" i="8"/>
  <c r="G64" i="8"/>
  <c r="G44" i="8"/>
  <c r="G45" i="8"/>
  <c r="G47" i="8"/>
  <c r="G49" i="8"/>
  <c r="G35" i="8"/>
  <c r="G117" i="8"/>
  <c r="G118" i="8"/>
  <c r="G54" i="8"/>
  <c r="G76" i="8"/>
  <c r="G43" i="8"/>
  <c r="G30" i="8"/>
  <c r="G42" i="8"/>
  <c r="G41" i="8"/>
  <c r="G124" i="8"/>
  <c r="G36" i="8"/>
  <c r="G67" i="8"/>
  <c r="G90" i="8"/>
  <c r="G58" i="8"/>
  <c r="G48" i="8"/>
  <c r="G66" i="8"/>
  <c r="G91" i="8"/>
  <c r="G56" i="8"/>
  <c r="G65" i="8"/>
  <c r="G95" i="8"/>
  <c r="G113" i="8"/>
  <c r="G31" i="8"/>
  <c r="G29" i="8"/>
  <c r="G116" i="8"/>
  <c r="G75" i="8"/>
  <c r="G78" i="8"/>
  <c r="G52" i="8"/>
  <c r="G122" i="8"/>
  <c r="G115" i="8"/>
  <c r="G98" i="8"/>
  <c r="G40" i="8"/>
  <c r="G89" i="8"/>
  <c r="G61" i="8"/>
  <c r="G38" i="8"/>
  <c r="G77" i="8"/>
  <c r="G34" i="8"/>
  <c r="G84" i="8"/>
  <c r="G108" i="8"/>
  <c r="G70" i="8"/>
  <c r="G53" i="8"/>
  <c r="G92" i="8"/>
  <c r="G86" i="8"/>
  <c r="H28" i="8"/>
  <c r="G32" i="8"/>
  <c r="G99" i="8"/>
  <c r="G69" i="8"/>
  <c r="G111" i="8"/>
  <c r="G112" i="8"/>
  <c r="G104" i="8"/>
  <c r="G39" i="8"/>
  <c r="G109" i="8"/>
  <c r="G106" i="8"/>
  <c r="G50" i="8"/>
  <c r="G121" i="8"/>
  <c r="G110" i="8"/>
  <c r="G51" i="8"/>
  <c r="G120" i="8"/>
  <c r="G107" i="8"/>
  <c r="G60" i="8"/>
  <c r="G103" i="8"/>
  <c r="G97" i="8"/>
  <c r="G71" i="8"/>
  <c r="G62" i="8"/>
  <c r="G102" i="8"/>
  <c r="G119" i="8"/>
  <c r="G63" i="8"/>
  <c r="G123" i="8"/>
  <c r="G33" i="8"/>
  <c r="G68" i="8"/>
  <c r="G46" i="8"/>
  <c r="G87" i="8"/>
  <c r="G59" i="8"/>
  <c r="G55" i="8"/>
  <c r="G93" i="8"/>
  <c r="G100" i="8"/>
  <c r="G105" i="8"/>
  <c r="G37" i="8"/>
  <c r="G74" i="8"/>
  <c r="G72" i="8"/>
  <c r="G96" i="8"/>
  <c r="G114" i="8"/>
  <c r="G57" i="8"/>
  <c r="G81" i="8"/>
  <c r="J120" i="28"/>
  <c r="N120" i="28"/>
  <c r="D137" i="8"/>
  <c r="H7" i="8"/>
  <c r="I23" i="8"/>
  <c r="N63" i="18"/>
  <c r="M63" i="18"/>
  <c r="M64" i="18" s="1"/>
  <c r="H64" i="18"/>
  <c r="O63" i="18" s="1"/>
  <c r="N64" i="17"/>
  <c r="E18" i="5"/>
  <c r="H120" i="28"/>
  <c r="M64" i="20"/>
  <c r="M63" i="2"/>
  <c r="M64" i="2" s="1"/>
  <c r="N63" i="2"/>
  <c r="F120" i="28"/>
  <c r="F139" i="8"/>
  <c r="N64" i="15"/>
  <c r="M63" i="19"/>
  <c r="M64" i="19" s="1"/>
  <c r="N63" i="19"/>
  <c r="I22" i="8"/>
  <c r="D136" i="8"/>
  <c r="H6" i="8"/>
  <c r="H64" i="19"/>
  <c r="O63" i="19" s="1"/>
  <c r="L120" i="28"/>
  <c r="H64" i="2"/>
  <c r="O63" i="2" s="1"/>
  <c r="N2" i="22"/>
  <c r="J6" i="5"/>
  <c r="I17" i="8"/>
  <c r="L4" i="8"/>
  <c r="L3" i="8"/>
  <c r="K7" i="8"/>
  <c r="K6" i="8"/>
  <c r="L5" i="8"/>
  <c r="D24" i="8"/>
  <c r="E20" i="8" s="1"/>
  <c r="N63" i="21"/>
  <c r="M63" i="21"/>
  <c r="M64" i="21" s="1"/>
  <c r="H64" i="21"/>
  <c r="O63" i="21" s="1"/>
  <c r="H3" i="8"/>
  <c r="I15" i="8"/>
  <c r="F15" i="8"/>
  <c r="H4" i="8"/>
  <c r="H5" i="8"/>
  <c r="I14" i="8"/>
  <c r="F14" i="8"/>
  <c r="F19" i="8"/>
  <c r="I19" i="8"/>
  <c r="F16" i="8"/>
  <c r="I16" i="8"/>
  <c r="N64" i="14" l="1"/>
  <c r="E15" i="5"/>
  <c r="H70" i="8"/>
  <c r="I28" i="8"/>
  <c r="H39" i="8"/>
  <c r="H34" i="8"/>
  <c r="H35" i="8"/>
  <c r="H36" i="8"/>
  <c r="H96" i="8"/>
  <c r="H104" i="8"/>
  <c r="H57" i="8"/>
  <c r="H98" i="8"/>
  <c r="H62" i="8"/>
  <c r="H38" i="8"/>
  <c r="H32" i="8"/>
  <c r="H41" i="8"/>
  <c r="H59" i="8"/>
  <c r="H80" i="8"/>
  <c r="H97" i="8"/>
  <c r="H123" i="8"/>
  <c r="H108" i="8"/>
  <c r="H54" i="8"/>
  <c r="H50" i="8"/>
  <c r="H49" i="8"/>
  <c r="H55" i="8"/>
  <c r="H71" i="8"/>
  <c r="H111" i="8"/>
  <c r="H102" i="8"/>
  <c r="H43" i="8"/>
  <c r="H81" i="8"/>
  <c r="H103" i="8"/>
  <c r="H86" i="8"/>
  <c r="H87" i="8"/>
  <c r="H92" i="8"/>
  <c r="H100" i="8"/>
  <c r="H69" i="8"/>
  <c r="H99" i="8"/>
  <c r="H90" i="8"/>
  <c r="H42" i="8"/>
  <c r="H53" i="8"/>
  <c r="H85" i="8"/>
  <c r="H44" i="8"/>
  <c r="H47" i="8"/>
  <c r="H78" i="8"/>
  <c r="H101" i="8"/>
  <c r="H60" i="8"/>
  <c r="H94" i="8"/>
  <c r="H72" i="8"/>
  <c r="H91" i="8"/>
  <c r="H107" i="8"/>
  <c r="H29" i="8"/>
  <c r="H63" i="8"/>
  <c r="H76" i="8"/>
  <c r="H110" i="8"/>
  <c r="H93" i="8"/>
  <c r="H118" i="8"/>
  <c r="H51" i="8"/>
  <c r="H66" i="8"/>
  <c r="H84" i="8"/>
  <c r="H124" i="8"/>
  <c r="H105" i="8"/>
  <c r="H33" i="8"/>
  <c r="H109" i="8"/>
  <c r="H82" i="8"/>
  <c r="H113" i="8"/>
  <c r="H67" i="8"/>
  <c r="H121" i="8"/>
  <c r="H73" i="8"/>
  <c r="H46" i="8"/>
  <c r="H95" i="8"/>
  <c r="H77" i="8"/>
  <c r="H30" i="8"/>
  <c r="H83" i="8"/>
  <c r="H79" i="8"/>
  <c r="H37" i="8"/>
  <c r="H88" i="8"/>
  <c r="H89" i="8"/>
  <c r="H52" i="8"/>
  <c r="H115" i="8"/>
  <c r="H74" i="8"/>
  <c r="H68" i="8"/>
  <c r="H120" i="8"/>
  <c r="H117" i="8"/>
  <c r="H40" i="8"/>
  <c r="H114" i="8"/>
  <c r="H122" i="8"/>
  <c r="H48" i="8"/>
  <c r="H64" i="8"/>
  <c r="H31" i="8"/>
  <c r="H61" i="8"/>
  <c r="H56" i="8"/>
  <c r="H65" i="8"/>
  <c r="H116" i="8"/>
  <c r="H45" i="8"/>
  <c r="H58" i="8"/>
  <c r="H106" i="8"/>
  <c r="H112" i="8"/>
  <c r="H119" i="8"/>
  <c r="H75" i="8"/>
  <c r="G139" i="8"/>
  <c r="N64" i="19"/>
  <c r="E20" i="5"/>
  <c r="E21" i="5"/>
  <c r="N64" i="20"/>
  <c r="N64" i="18"/>
  <c r="E19" i="5"/>
  <c r="E14" i="5"/>
  <c r="N64" i="2"/>
  <c r="E19" i="8"/>
  <c r="E23" i="8"/>
  <c r="E14" i="8"/>
  <c r="F9" i="8" s="1"/>
  <c r="J5" i="5" s="1"/>
  <c r="M4" i="16" s="1"/>
  <c r="E17" i="8"/>
  <c r="E16" i="8"/>
  <c r="E15" i="8"/>
  <c r="E22" i="8"/>
  <c r="E18" i="8"/>
  <c r="N64" i="21"/>
  <c r="E22" i="5"/>
  <c r="E13" i="8"/>
  <c r="P2" i="22"/>
  <c r="I24" i="8"/>
  <c r="I25" i="8" s="1"/>
  <c r="E24" i="8"/>
  <c r="D138" i="8"/>
  <c r="D139" i="8" s="1"/>
  <c r="H8" i="8"/>
  <c r="I8" i="8" s="1"/>
  <c r="D25" i="8"/>
  <c r="L2" i="22" s="1"/>
  <c r="E21" i="8"/>
  <c r="E24" i="5" l="1"/>
  <c r="I107" i="8"/>
  <c r="I92" i="8"/>
  <c r="I81" i="8"/>
  <c r="I69" i="8"/>
  <c r="I68" i="8"/>
  <c r="I82" i="8"/>
  <c r="I83" i="8"/>
  <c r="I78" i="8"/>
  <c r="I54" i="8"/>
  <c r="I93" i="8"/>
  <c r="I99" i="8"/>
  <c r="I101" i="8"/>
  <c r="I98" i="8"/>
  <c r="I105" i="8"/>
  <c r="I86" i="8"/>
  <c r="I111" i="8"/>
  <c r="I48" i="8"/>
  <c r="I72" i="8"/>
  <c r="I116" i="8"/>
  <c r="I100" i="8"/>
  <c r="I108" i="8"/>
  <c r="I112" i="8"/>
  <c r="I102" i="8"/>
  <c r="I103" i="8"/>
  <c r="I124" i="8"/>
  <c r="I95" i="8"/>
  <c r="I88" i="8"/>
  <c r="I30" i="8"/>
  <c r="I47" i="8"/>
  <c r="I73" i="8"/>
  <c r="I60" i="8"/>
  <c r="I55" i="8"/>
  <c r="I114" i="8"/>
  <c r="I123" i="8"/>
  <c r="I37" i="8"/>
  <c r="I53" i="8"/>
  <c r="I79" i="8"/>
  <c r="I118" i="8"/>
  <c r="I91" i="8"/>
  <c r="I80" i="8"/>
  <c r="I31" i="8"/>
  <c r="I45" i="8"/>
  <c r="I66" i="8"/>
  <c r="I89" i="8"/>
  <c r="I43" i="8"/>
  <c r="I106" i="8"/>
  <c r="I110" i="8"/>
  <c r="I38" i="8"/>
  <c r="I50" i="8"/>
  <c r="I58" i="8"/>
  <c r="I96" i="8"/>
  <c r="I34" i="8"/>
  <c r="I109" i="8"/>
  <c r="I90" i="8"/>
  <c r="I33" i="8"/>
  <c r="I76" i="8"/>
  <c r="I119" i="8"/>
  <c r="I42" i="8"/>
  <c r="I46" i="8"/>
  <c r="I75" i="8"/>
  <c r="I29" i="8"/>
  <c r="I61" i="8"/>
  <c r="I35" i="8"/>
  <c r="I62" i="8"/>
  <c r="I40" i="8"/>
  <c r="I97" i="8"/>
  <c r="I39" i="8"/>
  <c r="I57" i="8"/>
  <c r="I84" i="8"/>
  <c r="I115" i="8"/>
  <c r="I87" i="8"/>
  <c r="I74" i="8"/>
  <c r="I121" i="8"/>
  <c r="I36" i="8"/>
  <c r="J28" i="8"/>
  <c r="I94" i="8"/>
  <c r="I85" i="8"/>
  <c r="I32" i="8"/>
  <c r="I113" i="8"/>
  <c r="I41" i="8"/>
  <c r="I59" i="8"/>
  <c r="I63" i="8"/>
  <c r="I49" i="8"/>
  <c r="I104" i="8"/>
  <c r="I64" i="8"/>
  <c r="I122" i="8"/>
  <c r="I77" i="8"/>
  <c r="I117" i="8"/>
  <c r="I51" i="8"/>
  <c r="I67" i="8"/>
  <c r="I56" i="8"/>
  <c r="I44" i="8"/>
  <c r="I120" i="8"/>
  <c r="I70" i="8"/>
  <c r="I71" i="8"/>
  <c r="I52" i="8"/>
  <c r="I65" i="8"/>
  <c r="H139" i="8"/>
  <c r="M4" i="2"/>
  <c r="S88" i="6"/>
  <c r="M4" i="21"/>
  <c r="M4" i="17"/>
  <c r="N4" i="14"/>
  <c r="M4" i="20"/>
  <c r="M4" i="15"/>
  <c r="M4" i="19"/>
  <c r="M4" i="18"/>
  <c r="I5" i="8"/>
  <c r="O97" i="6"/>
  <c r="E28" i="5"/>
  <c r="F28" i="5" s="1"/>
  <c r="J7" i="5"/>
  <c r="E30" i="5"/>
  <c r="D9" i="24"/>
  <c r="D11" i="24" s="1"/>
  <c r="I4" i="8"/>
  <c r="I7" i="8"/>
  <c r="I6" i="8"/>
  <c r="E25" i="5"/>
  <c r="F25" i="5" s="1"/>
  <c r="I3" i="8"/>
  <c r="J62" i="8" l="1"/>
  <c r="J31" i="8"/>
  <c r="J45" i="8"/>
  <c r="J120" i="8"/>
  <c r="J124" i="8"/>
  <c r="J50" i="8"/>
  <c r="J100" i="8"/>
  <c r="J51" i="8"/>
  <c r="J32" i="8"/>
  <c r="J93" i="8"/>
  <c r="J63" i="8"/>
  <c r="J54" i="8"/>
  <c r="J56" i="8"/>
  <c r="J49" i="8"/>
  <c r="J55" i="8"/>
  <c r="J119" i="8"/>
  <c r="J101" i="8"/>
  <c r="J85" i="8"/>
  <c r="J37" i="8"/>
  <c r="J89" i="8"/>
  <c r="J34" i="8"/>
  <c r="J35" i="8"/>
  <c r="J78" i="8"/>
  <c r="K28" i="8"/>
  <c r="J43" i="8"/>
  <c r="J36" i="8"/>
  <c r="J83" i="8"/>
  <c r="J114" i="8"/>
  <c r="J42" i="8"/>
  <c r="J60" i="8"/>
  <c r="J96" i="8"/>
  <c r="J59" i="8"/>
  <c r="J71" i="8"/>
  <c r="J53" i="8"/>
  <c r="J113" i="8"/>
  <c r="J52" i="8"/>
  <c r="J80" i="8"/>
  <c r="J72" i="8"/>
  <c r="J94" i="8"/>
  <c r="J39" i="8"/>
  <c r="J117" i="8"/>
  <c r="J122" i="8"/>
  <c r="J68" i="8"/>
  <c r="J66" i="8"/>
  <c r="J104" i="8"/>
  <c r="J97" i="8"/>
  <c r="J64" i="8"/>
  <c r="J106" i="8"/>
  <c r="J95" i="8"/>
  <c r="J111" i="8"/>
  <c r="J58" i="8"/>
  <c r="J109" i="8"/>
  <c r="J47" i="8"/>
  <c r="J87" i="8"/>
  <c r="J61" i="8"/>
  <c r="J82" i="8"/>
  <c r="J115" i="8"/>
  <c r="J84" i="8"/>
  <c r="J65" i="8"/>
  <c r="J116" i="8"/>
  <c r="J81" i="8"/>
  <c r="J98" i="8"/>
  <c r="J86" i="8"/>
  <c r="J118" i="8"/>
  <c r="J107" i="8"/>
  <c r="J30" i="8"/>
  <c r="J112" i="8"/>
  <c r="J79" i="8"/>
  <c r="J38" i="8"/>
  <c r="J33" i="8"/>
  <c r="J123" i="8"/>
  <c r="J44" i="8"/>
  <c r="J46" i="8"/>
  <c r="J70" i="8"/>
  <c r="J121" i="8"/>
  <c r="J29" i="8"/>
  <c r="J69" i="8"/>
  <c r="J40" i="8"/>
  <c r="J110" i="8"/>
  <c r="J67" i="8"/>
  <c r="J75" i="8"/>
  <c r="J77" i="8"/>
  <c r="J105" i="8"/>
  <c r="J90" i="8"/>
  <c r="J41" i="8"/>
  <c r="J102" i="8"/>
  <c r="J76" i="8"/>
  <c r="J57" i="8"/>
  <c r="J92" i="8"/>
  <c r="J108" i="8"/>
  <c r="J73" i="8"/>
  <c r="J88" i="8"/>
  <c r="J91" i="8"/>
  <c r="J103" i="8"/>
  <c r="J99" i="8"/>
  <c r="J48" i="8"/>
  <c r="J74" i="8"/>
  <c r="I139" i="8"/>
  <c r="E27" i="5"/>
  <c r="E29" i="5" s="1"/>
  <c r="D24" i="5"/>
  <c r="J139" i="8" l="1"/>
  <c r="K63" i="8"/>
  <c r="K121" i="8"/>
  <c r="K111" i="8"/>
  <c r="K90" i="8"/>
  <c r="K102" i="8"/>
  <c r="K47" i="8"/>
  <c r="K64" i="8"/>
  <c r="K96" i="8"/>
  <c r="K75" i="8"/>
  <c r="K124" i="8"/>
  <c r="K33" i="8"/>
  <c r="K119" i="8"/>
  <c r="K118" i="8"/>
  <c r="K65" i="8"/>
  <c r="K108" i="8"/>
  <c r="K50" i="8"/>
  <c r="K71" i="8"/>
  <c r="L28" i="8"/>
  <c r="K93" i="8"/>
  <c r="K98" i="8"/>
  <c r="K101" i="8"/>
  <c r="K117" i="8"/>
  <c r="K81" i="8"/>
  <c r="K34" i="8"/>
  <c r="K84" i="8"/>
  <c r="K35" i="8"/>
  <c r="K76" i="8"/>
  <c r="K41" i="8"/>
  <c r="K62" i="8"/>
  <c r="K79" i="8"/>
  <c r="K86" i="8"/>
  <c r="K43" i="8"/>
  <c r="K48" i="8"/>
  <c r="K123" i="8"/>
  <c r="K44" i="8"/>
  <c r="K67" i="8"/>
  <c r="K97" i="8"/>
  <c r="K31" i="8"/>
  <c r="K106" i="8"/>
  <c r="K83" i="8"/>
  <c r="K60" i="8"/>
  <c r="K103" i="8"/>
  <c r="K74" i="8"/>
  <c r="K114" i="8"/>
  <c r="K40" i="8"/>
  <c r="K113" i="8"/>
  <c r="K88" i="8"/>
  <c r="K94" i="8"/>
  <c r="K122" i="8"/>
  <c r="K87" i="8"/>
  <c r="K37" i="8"/>
  <c r="K49" i="8"/>
  <c r="K32" i="8"/>
  <c r="K110" i="8"/>
  <c r="K38" i="8"/>
  <c r="K29" i="8"/>
  <c r="K59" i="8"/>
  <c r="K51" i="8"/>
  <c r="K99" i="8"/>
  <c r="K92" i="8"/>
  <c r="K54" i="8"/>
  <c r="K73" i="8"/>
  <c r="K66" i="8"/>
  <c r="K42" i="8"/>
  <c r="K78" i="8"/>
  <c r="K112" i="8"/>
  <c r="K68" i="8"/>
  <c r="K80" i="8"/>
  <c r="K100" i="8"/>
  <c r="K109" i="8"/>
  <c r="K104" i="8"/>
  <c r="K95" i="8"/>
  <c r="K39" i="8"/>
  <c r="K58" i="8"/>
  <c r="K77" i="8"/>
  <c r="K53" i="8"/>
  <c r="K72" i="8"/>
  <c r="K69" i="8"/>
  <c r="K120" i="8"/>
  <c r="K82" i="8"/>
  <c r="K36" i="8"/>
  <c r="K45" i="8"/>
  <c r="K57" i="8"/>
  <c r="K52" i="8"/>
  <c r="K70" i="8"/>
  <c r="K61" i="8"/>
  <c r="K107" i="8"/>
  <c r="K30" i="8"/>
  <c r="K55" i="8"/>
  <c r="K46" i="8"/>
  <c r="K89" i="8"/>
  <c r="K105" i="8"/>
  <c r="K91" i="8"/>
  <c r="K116" i="8"/>
  <c r="K115" i="8"/>
  <c r="K85" i="8"/>
  <c r="K56" i="8"/>
  <c r="F24" i="5"/>
  <c r="S92" i="6"/>
  <c r="M3" i="18"/>
  <c r="D30" i="5"/>
  <c r="F30" i="5" s="1"/>
  <c r="M3" i="20"/>
  <c r="S91" i="6"/>
  <c r="S93" i="6"/>
  <c r="S90" i="6"/>
  <c r="F5" i="8"/>
  <c r="V2" i="22" s="1"/>
  <c r="S89" i="6"/>
  <c r="M3" i="15"/>
  <c r="D27" i="5"/>
  <c r="C9" i="24"/>
  <c r="C11" i="24" s="1"/>
  <c r="E11" i="24" s="1"/>
  <c r="F11" i="24" s="1"/>
  <c r="M3" i="21"/>
  <c r="M3" i="2"/>
  <c r="M3" i="16"/>
  <c r="D29" i="5"/>
  <c r="M3" i="19"/>
  <c r="M3" i="17"/>
  <c r="N3" i="14"/>
  <c r="L63" i="8" l="1"/>
  <c r="L35" i="8"/>
  <c r="L113" i="8"/>
  <c r="L109" i="8"/>
  <c r="L119" i="8"/>
  <c r="L106" i="8"/>
  <c r="L42" i="8"/>
  <c r="L50" i="8"/>
  <c r="L81" i="8"/>
  <c r="L118" i="8"/>
  <c r="L62" i="8"/>
  <c r="L46" i="8"/>
  <c r="L96" i="8"/>
  <c r="L36" i="8"/>
  <c r="L57" i="8"/>
  <c r="L87" i="8"/>
  <c r="L103" i="8"/>
  <c r="L77" i="8"/>
  <c r="L110" i="8"/>
  <c r="L105" i="8"/>
  <c r="L91" i="8"/>
  <c r="L117" i="8"/>
  <c r="L47" i="8"/>
  <c r="L86" i="8"/>
  <c r="L116" i="8"/>
  <c r="L104" i="8"/>
  <c r="L66" i="8"/>
  <c r="L59" i="8"/>
  <c r="L54" i="8"/>
  <c r="L111" i="8"/>
  <c r="L61" i="8"/>
  <c r="L108" i="8"/>
  <c r="L44" i="8"/>
  <c r="L95" i="8"/>
  <c r="L67" i="8"/>
  <c r="L58" i="8"/>
  <c r="L72" i="8"/>
  <c r="L37" i="8"/>
  <c r="L94" i="8"/>
  <c r="L68" i="8"/>
  <c r="L112" i="8"/>
  <c r="L76" i="8"/>
  <c r="L73" i="8"/>
  <c r="L97" i="8"/>
  <c r="L65" i="8"/>
  <c r="L88" i="8"/>
  <c r="L100" i="8"/>
  <c r="L48" i="8"/>
  <c r="L84" i="8"/>
  <c r="L70" i="8"/>
  <c r="L122" i="8"/>
  <c r="L83" i="8"/>
  <c r="L29" i="8"/>
  <c r="L30" i="8"/>
  <c r="L90" i="8"/>
  <c r="L82" i="8"/>
  <c r="L101" i="8"/>
  <c r="L60" i="8"/>
  <c r="L114" i="8"/>
  <c r="L115" i="8"/>
  <c r="L124" i="8"/>
  <c r="L79" i="8"/>
  <c r="L53" i="8"/>
  <c r="L31" i="8"/>
  <c r="L78" i="8"/>
  <c r="L93" i="8"/>
  <c r="L64" i="8"/>
  <c r="L56" i="8"/>
  <c r="L38" i="8"/>
  <c r="L92" i="8"/>
  <c r="L34" i="8"/>
  <c r="L41" i="8"/>
  <c r="L102" i="8"/>
  <c r="L69" i="8"/>
  <c r="L40" i="8"/>
  <c r="L107" i="8"/>
  <c r="L123" i="8"/>
  <c r="L49" i="8"/>
  <c r="L120" i="8"/>
  <c r="L74" i="8"/>
  <c r="L39" i="8"/>
  <c r="M28" i="8"/>
  <c r="L51" i="8"/>
  <c r="L52" i="8"/>
  <c r="L43" i="8"/>
  <c r="L75" i="8"/>
  <c r="L71" i="8"/>
  <c r="L33" i="8"/>
  <c r="L55" i="8"/>
  <c r="L80" i="8"/>
  <c r="L121" i="8"/>
  <c r="L32" i="8"/>
  <c r="L98" i="8"/>
  <c r="L85" i="8"/>
  <c r="L89" i="8"/>
  <c r="L99" i="8"/>
  <c r="L45" i="8"/>
  <c r="K139" i="8"/>
  <c r="G24" i="5"/>
  <c r="E9" i="24"/>
  <c r="F27" i="5"/>
  <c r="M53" i="8" l="1"/>
  <c r="M122" i="8"/>
  <c r="M106" i="8"/>
  <c r="M103" i="8"/>
  <c r="M91" i="8"/>
  <c r="M84" i="8"/>
  <c r="M82" i="8"/>
  <c r="M88" i="8"/>
  <c r="M38" i="8"/>
  <c r="M123" i="8"/>
  <c r="M56" i="8"/>
  <c r="M35" i="8"/>
  <c r="M118" i="8"/>
  <c r="M30" i="8"/>
  <c r="M29" i="8"/>
  <c r="M120" i="8"/>
  <c r="M109" i="8"/>
  <c r="M76" i="8"/>
  <c r="M99" i="8"/>
  <c r="M77" i="8"/>
  <c r="M81" i="8"/>
  <c r="M89" i="8"/>
  <c r="M114" i="8"/>
  <c r="M108" i="8"/>
  <c r="M31" i="8"/>
  <c r="M98" i="8"/>
  <c r="M51" i="8"/>
  <c r="M104" i="8"/>
  <c r="M37" i="8"/>
  <c r="M61" i="8"/>
  <c r="M71" i="8"/>
  <c r="M45" i="8"/>
  <c r="M34" i="8"/>
  <c r="M102" i="8"/>
  <c r="M62" i="8"/>
  <c r="M42" i="8"/>
  <c r="M59" i="8"/>
  <c r="M75" i="8"/>
  <c r="M97" i="8"/>
  <c r="M86" i="8"/>
  <c r="M73" i="8"/>
  <c r="M63" i="8"/>
  <c r="N28" i="8"/>
  <c r="M72" i="8"/>
  <c r="M85" i="8"/>
  <c r="M111" i="8"/>
  <c r="M49" i="8"/>
  <c r="M40" i="8"/>
  <c r="M60" i="8"/>
  <c r="M57" i="8"/>
  <c r="M80" i="8"/>
  <c r="M105" i="8"/>
  <c r="M33" i="8"/>
  <c r="M66" i="8"/>
  <c r="M79" i="8"/>
  <c r="M101" i="8"/>
  <c r="M119" i="8"/>
  <c r="M41" i="8"/>
  <c r="M116" i="8"/>
  <c r="M115" i="8"/>
  <c r="M39" i="8"/>
  <c r="M47" i="8"/>
  <c r="M94" i="8"/>
  <c r="M70" i="8"/>
  <c r="M46" i="8"/>
  <c r="M52" i="8"/>
  <c r="M43" i="8"/>
  <c r="M78" i="8"/>
  <c r="M74" i="8"/>
  <c r="M107" i="8"/>
  <c r="M93" i="8"/>
  <c r="M100" i="8"/>
  <c r="M36" i="8"/>
  <c r="M64" i="8"/>
  <c r="M95" i="8"/>
  <c r="M55" i="8"/>
  <c r="M48" i="8"/>
  <c r="M112" i="8"/>
  <c r="M68" i="8"/>
  <c r="M54" i="8"/>
  <c r="M69" i="8"/>
  <c r="M67" i="8"/>
  <c r="M58" i="8"/>
  <c r="M96" i="8"/>
  <c r="M92" i="8"/>
  <c r="M87" i="8"/>
  <c r="M124" i="8"/>
  <c r="M83" i="8"/>
  <c r="M65" i="8"/>
  <c r="M121" i="8"/>
  <c r="M113" i="8"/>
  <c r="M32" i="8"/>
  <c r="M90" i="8"/>
  <c r="M50" i="8"/>
  <c r="M117" i="8"/>
  <c r="M44" i="8"/>
  <c r="M110" i="8"/>
  <c r="L139" i="8"/>
  <c r="G27" i="5"/>
  <c r="F29" i="5"/>
  <c r="G29" i="5" s="1"/>
  <c r="F8" i="8" s="1"/>
  <c r="J3" i="2"/>
  <c r="J3" i="16"/>
  <c r="J3" i="5"/>
  <c r="S87" i="6" s="1"/>
  <c r="J3" i="19"/>
  <c r="K3" i="14"/>
  <c r="J3" i="17"/>
  <c r="J3" i="21"/>
  <c r="F9" i="24"/>
  <c r="J3" i="15"/>
  <c r="J3" i="18"/>
  <c r="F6" i="8"/>
  <c r="J3" i="20"/>
  <c r="N80" i="8" l="1"/>
  <c r="N60" i="8"/>
  <c r="N45" i="8"/>
  <c r="N30" i="8"/>
  <c r="N114" i="8"/>
  <c r="N102" i="8"/>
  <c r="N38" i="8"/>
  <c r="N55" i="8"/>
  <c r="N96" i="8"/>
  <c r="N94" i="8"/>
  <c r="N67" i="8"/>
  <c r="N70" i="8"/>
  <c r="N59" i="8"/>
  <c r="N53" i="8"/>
  <c r="N49" i="8"/>
  <c r="N43" i="8"/>
  <c r="N78" i="8"/>
  <c r="N95" i="8"/>
  <c r="N68" i="8"/>
  <c r="N103" i="8"/>
  <c r="N107" i="8"/>
  <c r="N111" i="8"/>
  <c r="N119" i="8"/>
  <c r="N121" i="8"/>
  <c r="N52" i="8"/>
  <c r="N105" i="8"/>
  <c r="N31" i="8"/>
  <c r="N124" i="8"/>
  <c r="N115" i="8"/>
  <c r="N47" i="8"/>
  <c r="N66" i="8"/>
  <c r="N118" i="8"/>
  <c r="N113" i="8"/>
  <c r="N32" i="8"/>
  <c r="N34" i="8"/>
  <c r="N51" i="8"/>
  <c r="N74" i="8"/>
  <c r="N81" i="8"/>
  <c r="N93" i="8"/>
  <c r="N57" i="8"/>
  <c r="N83" i="8"/>
  <c r="N42" i="8"/>
  <c r="N72" i="8"/>
  <c r="N73" i="8"/>
  <c r="N98" i="8"/>
  <c r="N122" i="8"/>
  <c r="N75" i="8"/>
  <c r="N36" i="8"/>
  <c r="N62" i="8"/>
  <c r="O28" i="8"/>
  <c r="N64" i="8"/>
  <c r="N92" i="8"/>
  <c r="N97" i="8"/>
  <c r="N41" i="8"/>
  <c r="N46" i="8"/>
  <c r="N84" i="8"/>
  <c r="N90" i="8"/>
  <c r="N54" i="8"/>
  <c r="N40" i="8"/>
  <c r="N85" i="8"/>
  <c r="N77" i="8"/>
  <c r="N76" i="8"/>
  <c r="N79" i="8"/>
  <c r="N106" i="8"/>
  <c r="N110" i="8"/>
  <c r="N120" i="8"/>
  <c r="N104" i="8"/>
  <c r="N123" i="8"/>
  <c r="N117" i="8"/>
  <c r="N33" i="8"/>
  <c r="N44" i="8"/>
  <c r="N88" i="8"/>
  <c r="N65" i="8"/>
  <c r="N69" i="8"/>
  <c r="N101" i="8"/>
  <c r="N86" i="8"/>
  <c r="N61" i="8"/>
  <c r="N112" i="8"/>
  <c r="N116" i="8"/>
  <c r="N63" i="8"/>
  <c r="N29" i="8"/>
  <c r="N56" i="8"/>
  <c r="N58" i="8"/>
  <c r="N39" i="8"/>
  <c r="N50" i="8"/>
  <c r="N82" i="8"/>
  <c r="N48" i="8"/>
  <c r="N109" i="8"/>
  <c r="N99" i="8"/>
  <c r="N71" i="8"/>
  <c r="N91" i="8"/>
  <c r="N89" i="8"/>
  <c r="N87" i="8"/>
  <c r="N108" i="8"/>
  <c r="N35" i="8"/>
  <c r="N37" i="8"/>
  <c r="N100" i="8"/>
  <c r="M139" i="8"/>
  <c r="O98" i="6"/>
  <c r="O101" i="6"/>
  <c r="O99" i="6"/>
  <c r="O114" i="6"/>
  <c r="O103" i="6"/>
  <c r="J4" i="19"/>
  <c r="J4" i="17"/>
  <c r="J4" i="20"/>
  <c r="F7" i="8"/>
  <c r="J4" i="15"/>
  <c r="J4" i="18"/>
  <c r="J4" i="5"/>
  <c r="J4" i="21"/>
  <c r="J4" i="2"/>
  <c r="J4" i="16"/>
  <c r="K4" i="14"/>
  <c r="D14" i="5"/>
  <c r="P60" i="2" s="1"/>
  <c r="Q60" i="2" s="1"/>
  <c r="P63" i="21"/>
  <c r="Q63" i="21" s="1"/>
  <c r="D22" i="5"/>
  <c r="F22" i="5" s="1"/>
  <c r="G22" i="5" s="1"/>
  <c r="P62" i="2"/>
  <c r="P60" i="18"/>
  <c r="D19" i="5"/>
  <c r="F19" i="5" s="1"/>
  <c r="G19" i="5" s="1"/>
  <c r="D17" i="5"/>
  <c r="F17" i="5" s="1"/>
  <c r="G17" i="5" s="1"/>
  <c r="D15" i="5"/>
  <c r="F15" i="5" s="1"/>
  <c r="G15" i="5" s="1"/>
  <c r="P61" i="20"/>
  <c r="P63" i="20"/>
  <c r="Q63" i="20" s="1"/>
  <c r="D21" i="5"/>
  <c r="F21" i="5" s="1"/>
  <c r="G21" i="5" s="1"/>
  <c r="P60" i="19"/>
  <c r="D20" i="5"/>
  <c r="F20" i="5" s="1"/>
  <c r="G20" i="5" s="1"/>
  <c r="P62" i="17"/>
  <c r="P63" i="17"/>
  <c r="Q63" i="17" s="1"/>
  <c r="D18" i="5"/>
  <c r="F18" i="5" s="1"/>
  <c r="G18" i="5" s="1"/>
  <c r="P60" i="15"/>
  <c r="Q60" i="15" s="1"/>
  <c r="P61" i="15"/>
  <c r="Q61" i="15" s="1"/>
  <c r="D16" i="5"/>
  <c r="F16" i="5" s="1"/>
  <c r="G16" i="5" s="1"/>
  <c r="Q62" i="17"/>
  <c r="Q61" i="20"/>
  <c r="Q62" i="2"/>
  <c r="P61" i="17" l="1"/>
  <c r="Q61" i="17" s="1"/>
  <c r="P62" i="14"/>
  <c r="Q62" i="14" s="1"/>
  <c r="P61" i="14"/>
  <c r="Q61" i="14" s="1"/>
  <c r="P62" i="19"/>
  <c r="Q62" i="19" s="1"/>
  <c r="P62" i="15"/>
  <c r="Q62" i="15" s="1"/>
  <c r="P61" i="19"/>
  <c r="Q61" i="19" s="1"/>
  <c r="P63" i="16"/>
  <c r="Q63" i="16" s="1"/>
  <c r="P60" i="16"/>
  <c r="P60" i="14"/>
  <c r="Q60" i="14" s="1"/>
  <c r="P63" i="18"/>
  <c r="Q63" i="18" s="1"/>
  <c r="P62" i="21"/>
  <c r="Q62" i="21" s="1"/>
  <c r="P62" i="18"/>
  <c r="Q62" i="18" s="1"/>
  <c r="P61" i="21"/>
  <c r="P62" i="20"/>
  <c r="Q62" i="20" s="1"/>
  <c r="P61" i="18"/>
  <c r="Q61" i="18" s="1"/>
  <c r="P60" i="21"/>
  <c r="Q60" i="21" s="1"/>
  <c r="F14" i="5"/>
  <c r="G14" i="5" s="1"/>
  <c r="Q60" i="18"/>
  <c r="P63" i="15"/>
  <c r="P60" i="17"/>
  <c r="P64" i="17" s="1"/>
  <c r="H3" i="17" s="1"/>
  <c r="P60" i="20"/>
  <c r="Q60" i="20" s="1"/>
  <c r="P63" i="2"/>
  <c r="Q63" i="2" s="1"/>
  <c r="P63" i="19"/>
  <c r="Q63" i="19" s="1"/>
  <c r="P62" i="16"/>
  <c r="Q62" i="16" s="1"/>
  <c r="P61" i="2"/>
  <c r="Q61" i="2" s="1"/>
  <c r="P63" i="14"/>
  <c r="Q63" i="14" s="1"/>
  <c r="P61" i="16"/>
  <c r="Q61" i="16" s="1"/>
  <c r="O95" i="8"/>
  <c r="O77" i="8"/>
  <c r="O59" i="8"/>
  <c r="O47" i="8"/>
  <c r="O31" i="8"/>
  <c r="O103" i="8"/>
  <c r="O55" i="8"/>
  <c r="O89" i="8"/>
  <c r="O120" i="8"/>
  <c r="O46" i="8"/>
  <c r="O87" i="8"/>
  <c r="O82" i="8"/>
  <c r="O111" i="8"/>
  <c r="O114" i="8"/>
  <c r="O109" i="8"/>
  <c r="O104" i="8"/>
  <c r="O96" i="8"/>
  <c r="O48" i="8"/>
  <c r="O115" i="8"/>
  <c r="O122" i="8"/>
  <c r="O100" i="8"/>
  <c r="O105" i="8"/>
  <c r="O116" i="8"/>
  <c r="O118" i="8"/>
  <c r="O34" i="8"/>
  <c r="O44" i="8"/>
  <c r="O40" i="8"/>
  <c r="O94" i="8"/>
  <c r="O123" i="8"/>
  <c r="O37" i="8"/>
  <c r="O35" i="8"/>
  <c r="O49" i="8"/>
  <c r="O50" i="8"/>
  <c r="O86" i="8"/>
  <c r="O107" i="8"/>
  <c r="O36" i="8"/>
  <c r="O45" i="8"/>
  <c r="O52" i="8"/>
  <c r="O54" i="8"/>
  <c r="O58" i="8"/>
  <c r="O112" i="8"/>
  <c r="O56" i="8"/>
  <c r="O43" i="8"/>
  <c r="O51" i="8"/>
  <c r="O65" i="8"/>
  <c r="O64" i="8"/>
  <c r="O78" i="8"/>
  <c r="O32" i="8"/>
  <c r="O68" i="8"/>
  <c r="O62" i="8"/>
  <c r="O99" i="8"/>
  <c r="O84" i="8"/>
  <c r="O106" i="8"/>
  <c r="O117" i="8"/>
  <c r="O63" i="8"/>
  <c r="O121" i="8"/>
  <c r="O90" i="8"/>
  <c r="O119" i="8"/>
  <c r="O53" i="8"/>
  <c r="O60" i="8"/>
  <c r="O71" i="8"/>
  <c r="O113" i="8"/>
  <c r="O85" i="8"/>
  <c r="O72" i="8"/>
  <c r="O66" i="8"/>
  <c r="O79" i="8"/>
  <c r="O38" i="8"/>
  <c r="O108" i="8"/>
  <c r="O39" i="8"/>
  <c r="O101" i="8"/>
  <c r="O88" i="8"/>
  <c r="O83" i="8"/>
  <c r="O61" i="8"/>
  <c r="O41" i="8"/>
  <c r="O102" i="8"/>
  <c r="O67" i="8"/>
  <c r="O29" i="8"/>
  <c r="O33" i="8"/>
  <c r="O73" i="8"/>
  <c r="O75" i="8"/>
  <c r="O81" i="8"/>
  <c r="O93" i="8"/>
  <c r="O74" i="8"/>
  <c r="O70" i="8"/>
  <c r="O76" i="8"/>
  <c r="O69" i="8"/>
  <c r="O124" i="8"/>
  <c r="O30" i="8"/>
  <c r="O92" i="8"/>
  <c r="O98" i="8"/>
  <c r="P28" i="8"/>
  <c r="O57" i="8"/>
  <c r="O97" i="8"/>
  <c r="O80" i="8"/>
  <c r="O91" i="8"/>
  <c r="O110" i="8"/>
  <c r="O42" i="8"/>
  <c r="Q60" i="19"/>
  <c r="N139" i="8"/>
  <c r="P64" i="20" l="1"/>
  <c r="P64" i="14"/>
  <c r="Q64" i="2"/>
  <c r="Q64" i="20"/>
  <c r="P64" i="21"/>
  <c r="Q61" i="21"/>
  <c r="Q64" i="21" s="1"/>
  <c r="O64" i="17"/>
  <c r="H4" i="17" s="1"/>
  <c r="Q63" i="15"/>
  <c r="Q64" i="15" s="1"/>
  <c r="P64" i="15"/>
  <c r="Q64" i="18"/>
  <c r="Q64" i="14"/>
  <c r="Q64" i="19"/>
  <c r="P64" i="18"/>
  <c r="P64" i="19"/>
  <c r="P64" i="16"/>
  <c r="Q60" i="16"/>
  <c r="Q64" i="16" s="1"/>
  <c r="Q60" i="17"/>
  <c r="Q64" i="17" s="1"/>
  <c r="P64" i="2"/>
  <c r="P61" i="8"/>
  <c r="P98" i="8"/>
  <c r="P86" i="8"/>
  <c r="P82" i="8"/>
  <c r="P108" i="8"/>
  <c r="P53" i="8"/>
  <c r="P99" i="8"/>
  <c r="P100" i="8"/>
  <c r="P43" i="8"/>
  <c r="P62" i="8"/>
  <c r="P96" i="8"/>
  <c r="P38" i="8"/>
  <c r="P34" i="8"/>
  <c r="P80" i="8"/>
  <c r="P35" i="8"/>
  <c r="P72" i="8"/>
  <c r="P39" i="8"/>
  <c r="P70" i="8"/>
  <c r="P71" i="8"/>
  <c r="P122" i="8"/>
  <c r="P120" i="8"/>
  <c r="P109" i="8"/>
  <c r="P68" i="8"/>
  <c r="P112" i="8"/>
  <c r="P83" i="8"/>
  <c r="P56" i="8"/>
  <c r="P93" i="8"/>
  <c r="P50" i="8"/>
  <c r="P47" i="8"/>
  <c r="P32" i="8"/>
  <c r="P113" i="8"/>
  <c r="P45" i="8"/>
  <c r="P49" i="8"/>
  <c r="P63" i="8"/>
  <c r="P51" i="8"/>
  <c r="P55" i="8"/>
  <c r="P66" i="8"/>
  <c r="P46" i="8"/>
  <c r="P110" i="8"/>
  <c r="P64" i="8"/>
  <c r="P75" i="8"/>
  <c r="P57" i="8"/>
  <c r="P58" i="8"/>
  <c r="P60" i="8"/>
  <c r="P105" i="8"/>
  <c r="P69" i="8"/>
  <c r="P124" i="8"/>
  <c r="P87" i="8"/>
  <c r="P123" i="8"/>
  <c r="P89" i="8"/>
  <c r="P74" i="8"/>
  <c r="P65" i="8"/>
  <c r="P54" i="8"/>
  <c r="P103" i="8"/>
  <c r="P84" i="8"/>
  <c r="P101" i="8"/>
  <c r="P104" i="8"/>
  <c r="P85" i="8"/>
  <c r="P116" i="8"/>
  <c r="P52" i="8"/>
  <c r="P107" i="8"/>
  <c r="P91" i="8"/>
  <c r="P115" i="8"/>
  <c r="Q28" i="8"/>
  <c r="P76" i="8"/>
  <c r="P92" i="8"/>
  <c r="P111" i="8"/>
  <c r="P37" i="8"/>
  <c r="P31" i="8"/>
  <c r="P78" i="8"/>
  <c r="P33" i="8"/>
  <c r="P114" i="8"/>
  <c r="P77" i="8"/>
  <c r="P88" i="8"/>
  <c r="P95" i="8"/>
  <c r="P48" i="8"/>
  <c r="P90" i="8"/>
  <c r="P97" i="8"/>
  <c r="P106" i="8"/>
  <c r="P36" i="8"/>
  <c r="P29" i="8"/>
  <c r="P41" i="8"/>
  <c r="P117" i="8"/>
  <c r="P40" i="8"/>
  <c r="P67" i="8"/>
  <c r="P30" i="8"/>
  <c r="P42" i="8"/>
  <c r="P119" i="8"/>
  <c r="P121" i="8"/>
  <c r="P59" i="8"/>
  <c r="P79" i="8"/>
  <c r="P73" i="8"/>
  <c r="P102" i="8"/>
  <c r="P118" i="8"/>
  <c r="P44" i="8"/>
  <c r="P81" i="8"/>
  <c r="P94" i="8"/>
  <c r="O139" i="8"/>
  <c r="O64" i="14" l="1"/>
  <c r="H4" i="14" s="1"/>
  <c r="H3" i="14"/>
  <c r="H3" i="20"/>
  <c r="O64" i="20"/>
  <c r="H4" i="20" s="1"/>
  <c r="O64" i="19"/>
  <c r="H4" i="19" s="1"/>
  <c r="H3" i="19"/>
  <c r="O64" i="18"/>
  <c r="H4" i="18" s="1"/>
  <c r="H3" i="18"/>
  <c r="O64" i="15"/>
  <c r="H4" i="15" s="1"/>
  <c r="H3" i="15"/>
  <c r="H3" i="2"/>
  <c r="O64" i="2"/>
  <c r="H4" i="2" s="1"/>
  <c r="H3" i="16"/>
  <c r="O64" i="16"/>
  <c r="H4" i="16" s="1"/>
  <c r="H3" i="21"/>
  <c r="O64" i="21"/>
  <c r="H4" i="21" s="1"/>
  <c r="Q63" i="8"/>
  <c r="Q112" i="8"/>
  <c r="Q91" i="8"/>
  <c r="Q87" i="8"/>
  <c r="Q67" i="8"/>
  <c r="Q52" i="8"/>
  <c r="Q34" i="8"/>
  <c r="Q38" i="8"/>
  <c r="Q96" i="8"/>
  <c r="Q42" i="8"/>
  <c r="Q32" i="8"/>
  <c r="Q36" i="8"/>
  <c r="Q39" i="8"/>
  <c r="Q41" i="8"/>
  <c r="Q48" i="8"/>
  <c r="Q118" i="8"/>
  <c r="Q102" i="8"/>
  <c r="Q110" i="8"/>
  <c r="Q59" i="8"/>
  <c r="Q103" i="8"/>
  <c r="Q114" i="8"/>
  <c r="Q121" i="8"/>
  <c r="Q123" i="8"/>
  <c r="Q43" i="8"/>
  <c r="Q92" i="8"/>
  <c r="R28" i="8"/>
  <c r="Q46" i="8"/>
  <c r="Q33" i="8"/>
  <c r="Q30" i="8"/>
  <c r="Q61" i="8"/>
  <c r="Q35" i="8"/>
  <c r="Q49" i="8"/>
  <c r="Q62" i="8"/>
  <c r="Q45" i="8"/>
  <c r="Q54" i="8"/>
  <c r="Q55" i="8"/>
  <c r="Q68" i="8"/>
  <c r="Q79" i="8"/>
  <c r="Q70" i="8"/>
  <c r="Q86" i="8"/>
  <c r="Q51" i="8"/>
  <c r="Q53" i="8"/>
  <c r="Q66" i="8"/>
  <c r="Q60" i="8"/>
  <c r="Q69" i="8"/>
  <c r="Q113" i="8"/>
  <c r="Q94" i="8"/>
  <c r="Q44" i="8"/>
  <c r="Q89" i="8"/>
  <c r="Q93" i="8"/>
  <c r="Q84" i="8"/>
  <c r="Q65" i="8"/>
  <c r="Q56" i="8"/>
  <c r="Q117" i="8"/>
  <c r="Q107" i="8"/>
  <c r="Q90" i="8"/>
  <c r="Q108" i="8"/>
  <c r="Q115" i="8"/>
  <c r="Q64" i="8"/>
  <c r="Q116" i="8"/>
  <c r="Q97" i="8"/>
  <c r="Q106" i="8"/>
  <c r="Q101" i="8"/>
  <c r="Q74" i="8"/>
  <c r="Q47" i="8"/>
  <c r="Q111" i="8"/>
  <c r="Q31" i="8"/>
  <c r="Q98" i="8"/>
  <c r="Q82" i="8"/>
  <c r="Q88" i="8"/>
  <c r="Q50" i="8"/>
  <c r="Q29" i="8"/>
  <c r="Q57" i="8"/>
  <c r="Q95" i="8"/>
  <c r="Q73" i="8"/>
  <c r="Q72" i="8"/>
  <c r="Q109" i="8"/>
  <c r="Q124" i="8"/>
  <c r="Q78" i="8"/>
  <c r="Q100" i="8"/>
  <c r="Q75" i="8"/>
  <c r="Q85" i="8"/>
  <c r="Q37" i="8"/>
  <c r="Q99" i="8"/>
  <c r="Q80" i="8"/>
  <c r="Q104" i="8"/>
  <c r="Q122" i="8"/>
  <c r="Q76" i="8"/>
  <c r="Q58" i="8"/>
  <c r="Q71" i="8"/>
  <c r="Q105" i="8"/>
  <c r="Q119" i="8"/>
  <c r="Q77" i="8"/>
  <c r="Q81" i="8"/>
  <c r="Q120" i="8"/>
  <c r="Q83" i="8"/>
  <c r="Q40" i="8"/>
  <c r="P139" i="8"/>
  <c r="S28" i="8" l="1"/>
  <c r="R36" i="8"/>
  <c r="R120" i="8"/>
  <c r="R110" i="8"/>
  <c r="R88" i="8"/>
  <c r="R66" i="8"/>
  <c r="R67" i="8"/>
  <c r="R102" i="8"/>
  <c r="R84" i="8"/>
  <c r="R81" i="8"/>
  <c r="R75" i="8"/>
  <c r="R70" i="8"/>
  <c r="R58" i="8"/>
  <c r="R51" i="8"/>
  <c r="R45" i="8"/>
  <c r="R38" i="8"/>
  <c r="R69" i="8"/>
  <c r="R119" i="8"/>
  <c r="R49" i="8"/>
  <c r="R63" i="8"/>
  <c r="R33" i="8"/>
  <c r="R50" i="8"/>
  <c r="R42" i="8"/>
  <c r="R53" i="8"/>
  <c r="R96" i="8"/>
  <c r="R55" i="8"/>
  <c r="R95" i="8"/>
  <c r="R62" i="8"/>
  <c r="R47" i="8"/>
  <c r="R32" i="8"/>
  <c r="R60" i="8"/>
  <c r="R59" i="8"/>
  <c r="R114" i="8"/>
  <c r="R73" i="8"/>
  <c r="R99" i="8"/>
  <c r="R56" i="8"/>
  <c r="R57" i="8"/>
  <c r="R72" i="8"/>
  <c r="R74" i="8"/>
  <c r="R71" i="8"/>
  <c r="R31" i="8"/>
  <c r="R104" i="8"/>
  <c r="R65" i="8"/>
  <c r="R103" i="8"/>
  <c r="R80" i="8"/>
  <c r="R105" i="8"/>
  <c r="R37" i="8"/>
  <c r="R54" i="8"/>
  <c r="R118" i="8"/>
  <c r="R87" i="8"/>
  <c r="R124" i="8"/>
  <c r="R76" i="8"/>
  <c r="R77" i="8"/>
  <c r="R123" i="8"/>
  <c r="R79" i="8"/>
  <c r="R48" i="8"/>
  <c r="R101" i="8"/>
  <c r="R29" i="8"/>
  <c r="R78" i="8"/>
  <c r="R97" i="8"/>
  <c r="R44" i="8"/>
  <c r="R116" i="8"/>
  <c r="R92" i="8"/>
  <c r="R100" i="8"/>
  <c r="R107" i="8"/>
  <c r="R91" i="8"/>
  <c r="R52" i="8"/>
  <c r="R61" i="8"/>
  <c r="R108" i="8"/>
  <c r="R93" i="8"/>
  <c r="R64" i="8"/>
  <c r="R89" i="8"/>
  <c r="R109" i="8"/>
  <c r="R43" i="8"/>
  <c r="R121" i="8"/>
  <c r="R115" i="8"/>
  <c r="R113" i="8"/>
  <c r="R40" i="8"/>
  <c r="R46" i="8"/>
  <c r="R39" i="8"/>
  <c r="R122" i="8"/>
  <c r="R30" i="8"/>
  <c r="R90" i="8"/>
  <c r="R68" i="8"/>
  <c r="R111" i="8"/>
  <c r="R85" i="8"/>
  <c r="R35" i="8"/>
  <c r="R98" i="8"/>
  <c r="R117" i="8"/>
  <c r="R106" i="8"/>
  <c r="R34" i="8"/>
  <c r="R86" i="8"/>
  <c r="R94" i="8"/>
  <c r="R41" i="8"/>
  <c r="R82" i="8"/>
  <c r="R83" i="8"/>
  <c r="R112" i="8"/>
  <c r="Q139" i="8"/>
  <c r="R139" i="8" l="1"/>
  <c r="S58" i="8"/>
  <c r="S56" i="8"/>
  <c r="S47" i="8"/>
  <c r="S66" i="8"/>
  <c r="S30" i="8"/>
  <c r="S93" i="8"/>
  <c r="S57" i="8"/>
  <c r="S119" i="8"/>
  <c r="S34" i="8"/>
  <c r="S59" i="8"/>
  <c r="S41" i="8"/>
  <c r="S37" i="8"/>
  <c r="S100" i="8"/>
  <c r="S107" i="8"/>
  <c r="S85" i="8"/>
  <c r="S69" i="8"/>
  <c r="S79" i="8"/>
  <c r="S32" i="8"/>
  <c r="S89" i="8"/>
  <c r="S62" i="8"/>
  <c r="S87" i="8"/>
  <c r="S80" i="8"/>
  <c r="S77" i="8"/>
  <c r="S70" i="8"/>
  <c r="S76" i="8"/>
  <c r="S50" i="8"/>
  <c r="S39" i="8"/>
  <c r="S99" i="8"/>
  <c r="S38" i="8"/>
  <c r="S95" i="8"/>
  <c r="S64" i="8"/>
  <c r="S78" i="8"/>
  <c r="S51" i="8"/>
  <c r="T28" i="8"/>
  <c r="S29" i="8"/>
  <c r="S114" i="8"/>
  <c r="S68" i="8"/>
  <c r="S92" i="8"/>
  <c r="S65" i="8"/>
  <c r="S60" i="8"/>
  <c r="S124" i="8"/>
  <c r="S98" i="8"/>
  <c r="S90" i="8"/>
  <c r="S67" i="8"/>
  <c r="S31" i="8"/>
  <c r="S54" i="8"/>
  <c r="S63" i="8"/>
  <c r="S35" i="8"/>
  <c r="S42" i="8"/>
  <c r="S121" i="8"/>
  <c r="S46" i="8"/>
  <c r="S86" i="8"/>
  <c r="S43" i="8"/>
  <c r="S102" i="8"/>
  <c r="S111" i="8"/>
  <c r="S91" i="8"/>
  <c r="S52" i="8"/>
  <c r="S53" i="8"/>
  <c r="S117" i="8"/>
  <c r="S71" i="8"/>
  <c r="S104" i="8"/>
  <c r="S55" i="8"/>
  <c r="S106" i="8"/>
  <c r="S74" i="8"/>
  <c r="S72" i="8"/>
  <c r="S105" i="8"/>
  <c r="S88" i="8"/>
  <c r="S33" i="8"/>
  <c r="S49" i="8"/>
  <c r="S109" i="8"/>
  <c r="S120" i="8"/>
  <c r="S101" i="8"/>
  <c r="S97" i="8"/>
  <c r="S84" i="8"/>
  <c r="S75" i="8"/>
  <c r="S36" i="8"/>
  <c r="S123" i="8"/>
  <c r="S96" i="8"/>
  <c r="S82" i="8"/>
  <c r="S110" i="8"/>
  <c r="S81" i="8"/>
  <c r="S122" i="8"/>
  <c r="S112" i="8"/>
  <c r="S118" i="8"/>
  <c r="S61" i="8"/>
  <c r="S83" i="8"/>
  <c r="S40" i="8"/>
  <c r="S108" i="8"/>
  <c r="S73" i="8"/>
  <c r="S113" i="8"/>
  <c r="S44" i="8"/>
  <c r="S48" i="8"/>
  <c r="S94" i="8"/>
  <c r="S116" i="8"/>
  <c r="S45" i="8"/>
  <c r="S115" i="8"/>
  <c r="S103" i="8"/>
  <c r="S139" i="8" l="1"/>
  <c r="T103" i="8"/>
  <c r="T114" i="8"/>
  <c r="T34" i="8"/>
  <c r="T45" i="8"/>
  <c r="T98" i="8"/>
  <c r="T107" i="8"/>
  <c r="T68" i="8"/>
  <c r="T74" i="8"/>
  <c r="T38" i="8"/>
  <c r="T55" i="8"/>
  <c r="T100" i="8"/>
  <c r="T101" i="8"/>
  <c r="T124" i="8"/>
  <c r="T49" i="8"/>
  <c r="T104" i="8"/>
  <c r="T111" i="8"/>
  <c r="T50" i="8"/>
  <c r="T29" i="8"/>
  <c r="T52" i="8"/>
  <c r="T46" i="8"/>
  <c r="T61" i="8"/>
  <c r="T56" i="8"/>
  <c r="T51" i="8"/>
  <c r="T92" i="8"/>
  <c r="T102" i="8"/>
  <c r="T72" i="8"/>
  <c r="T97" i="8"/>
  <c r="T75" i="8"/>
  <c r="T118" i="8"/>
  <c r="T123" i="8"/>
  <c r="T76" i="8"/>
  <c r="T35" i="8"/>
  <c r="T33" i="8"/>
  <c r="T69" i="8"/>
  <c r="T87" i="8"/>
  <c r="T86" i="8"/>
  <c r="T95" i="8"/>
  <c r="T85" i="8"/>
  <c r="T42" i="8"/>
  <c r="T99" i="8"/>
  <c r="T67" i="8"/>
  <c r="T48" i="8"/>
  <c r="T31" i="8"/>
  <c r="T57" i="8"/>
  <c r="T53" i="8"/>
  <c r="T39" i="8"/>
  <c r="T96" i="8"/>
  <c r="T83" i="8"/>
  <c r="U28" i="8"/>
  <c r="T106" i="8"/>
  <c r="T59" i="8"/>
  <c r="T89" i="8"/>
  <c r="T37" i="8"/>
  <c r="T71" i="8"/>
  <c r="T116" i="8"/>
  <c r="T117" i="8"/>
  <c r="T70" i="8"/>
  <c r="T88" i="8"/>
  <c r="T62" i="8"/>
  <c r="T119" i="8"/>
  <c r="T121" i="8"/>
  <c r="T94" i="8"/>
  <c r="T109" i="8"/>
  <c r="T63" i="8"/>
  <c r="T84" i="8"/>
  <c r="T65" i="8"/>
  <c r="T110" i="8"/>
  <c r="T43" i="8"/>
  <c r="T30" i="8"/>
  <c r="T47" i="8"/>
  <c r="T79" i="8"/>
  <c r="T90" i="8"/>
  <c r="T82" i="8"/>
  <c r="T80" i="8"/>
  <c r="T113" i="8"/>
  <c r="T66" i="8"/>
  <c r="T122" i="8"/>
  <c r="T115" i="8"/>
  <c r="T64" i="8"/>
  <c r="T77" i="8"/>
  <c r="T58" i="8"/>
  <c r="T120" i="8"/>
  <c r="T105" i="8"/>
  <c r="T32" i="8"/>
  <c r="T91" i="8"/>
  <c r="T81" i="8"/>
  <c r="T78" i="8"/>
  <c r="T44" i="8"/>
  <c r="T60" i="8"/>
  <c r="T40" i="8"/>
  <c r="T41" i="8"/>
  <c r="T54" i="8"/>
  <c r="T112" i="8"/>
  <c r="T108" i="8"/>
  <c r="T93" i="8"/>
  <c r="T36" i="8"/>
  <c r="T73" i="8"/>
  <c r="T139" i="8" l="1"/>
  <c r="U93" i="8"/>
  <c r="U124" i="8"/>
  <c r="U57" i="8"/>
  <c r="U88" i="8"/>
  <c r="U63" i="8"/>
  <c r="U54" i="8"/>
  <c r="U47" i="8"/>
  <c r="U97" i="8"/>
  <c r="U90" i="8"/>
  <c r="U43" i="8"/>
  <c r="U70" i="8"/>
  <c r="U106" i="8"/>
  <c r="U109" i="8"/>
  <c r="U105" i="8"/>
  <c r="U35" i="8"/>
  <c r="U95" i="8"/>
  <c r="U96" i="8"/>
  <c r="U49" i="8"/>
  <c r="U73" i="8"/>
  <c r="U34" i="8"/>
  <c r="U114" i="8"/>
  <c r="U118" i="8"/>
  <c r="U100" i="8"/>
  <c r="U60" i="8"/>
  <c r="U59" i="8"/>
  <c r="U115" i="8"/>
  <c r="U86" i="8"/>
  <c r="U65" i="8"/>
  <c r="U32" i="8"/>
  <c r="U81" i="8"/>
  <c r="U68" i="8"/>
  <c r="U64" i="8"/>
  <c r="U123" i="8"/>
  <c r="U77" i="8"/>
  <c r="U99" i="8"/>
  <c r="U92" i="8"/>
  <c r="U33" i="8"/>
  <c r="U119" i="8"/>
  <c r="U58" i="8"/>
  <c r="U111" i="8"/>
  <c r="U44" i="8"/>
  <c r="U113" i="8"/>
  <c r="U74" i="8"/>
  <c r="U102" i="8"/>
  <c r="U101" i="8"/>
  <c r="U46" i="8"/>
  <c r="U51" i="8"/>
  <c r="U112" i="8"/>
  <c r="U42" i="8"/>
  <c r="U39" i="8"/>
  <c r="U61" i="8"/>
  <c r="V28" i="8"/>
  <c r="U75" i="8"/>
  <c r="U40" i="8"/>
  <c r="U76" i="8"/>
  <c r="U110" i="8"/>
  <c r="U80" i="8"/>
  <c r="U50" i="8"/>
  <c r="U71" i="8"/>
  <c r="U117" i="8"/>
  <c r="U79" i="8"/>
  <c r="U29" i="8"/>
  <c r="U122" i="8"/>
  <c r="U48" i="8"/>
  <c r="U98" i="8"/>
  <c r="U55" i="8"/>
  <c r="U108" i="8"/>
  <c r="U85" i="8"/>
  <c r="U84" i="8"/>
  <c r="U38" i="8"/>
  <c r="U103" i="8"/>
  <c r="U56" i="8"/>
  <c r="U91" i="8"/>
  <c r="U82" i="8"/>
  <c r="U53" i="8"/>
  <c r="U36" i="8"/>
  <c r="U116" i="8"/>
  <c r="U72" i="8"/>
  <c r="U67" i="8"/>
  <c r="U104" i="8"/>
  <c r="U87" i="8"/>
  <c r="U66" i="8"/>
  <c r="U62" i="8"/>
  <c r="U52" i="8"/>
  <c r="U45" i="8"/>
  <c r="U121" i="8"/>
  <c r="U41" i="8"/>
  <c r="U89" i="8"/>
  <c r="U83" i="8"/>
  <c r="U78" i="8"/>
  <c r="U107" i="8"/>
  <c r="U31" i="8"/>
  <c r="U94" i="8"/>
  <c r="U37" i="8"/>
  <c r="U69" i="8"/>
  <c r="U120" i="8"/>
  <c r="U30" i="8"/>
  <c r="U139" i="8" l="1"/>
  <c r="V121" i="8"/>
  <c r="V56" i="8"/>
  <c r="V70" i="8"/>
  <c r="V74" i="8"/>
  <c r="V89" i="8"/>
  <c r="V50" i="8"/>
  <c r="V87" i="8"/>
  <c r="V83" i="8"/>
  <c r="V81" i="8"/>
  <c r="V92" i="8"/>
  <c r="V73" i="8"/>
  <c r="V66" i="8"/>
  <c r="W28" i="8"/>
  <c r="V112" i="8"/>
  <c r="V46" i="8"/>
  <c r="V78" i="8"/>
  <c r="V30" i="8"/>
  <c r="V62" i="8"/>
  <c r="V44" i="8"/>
  <c r="V67" i="8"/>
  <c r="V61" i="8"/>
  <c r="V29" i="8"/>
  <c r="V33" i="8"/>
  <c r="V51" i="8"/>
  <c r="V75" i="8"/>
  <c r="V80" i="8"/>
  <c r="V63" i="8"/>
  <c r="V99" i="8"/>
  <c r="V52" i="8"/>
  <c r="V41" i="8"/>
  <c r="V54" i="8"/>
  <c r="V37" i="8"/>
  <c r="V123" i="8"/>
  <c r="V109" i="8"/>
  <c r="V48" i="8"/>
  <c r="V64" i="8"/>
  <c r="V111" i="8"/>
  <c r="V86" i="8"/>
  <c r="V97" i="8"/>
  <c r="V65" i="8"/>
  <c r="V69" i="8"/>
  <c r="V118" i="8"/>
  <c r="V102" i="8"/>
  <c r="V58" i="8"/>
  <c r="V49" i="8"/>
  <c r="V88" i="8"/>
  <c r="V47" i="8"/>
  <c r="V36" i="8"/>
  <c r="V71" i="8"/>
  <c r="V55" i="8"/>
  <c r="V35" i="8"/>
  <c r="V104" i="8"/>
  <c r="V103" i="8"/>
  <c r="V82" i="8"/>
  <c r="V100" i="8"/>
  <c r="V32" i="8"/>
  <c r="V122" i="8"/>
  <c r="V40" i="8"/>
  <c r="V85" i="8"/>
  <c r="V93" i="8"/>
  <c r="V72" i="8"/>
  <c r="V116" i="8"/>
  <c r="V105" i="8"/>
  <c r="V79" i="8"/>
  <c r="V98" i="8"/>
  <c r="V31" i="8"/>
  <c r="V91" i="8"/>
  <c r="V77" i="8"/>
  <c r="V124" i="8"/>
  <c r="V120" i="8"/>
  <c r="V45" i="8"/>
  <c r="V38" i="8"/>
  <c r="V115" i="8"/>
  <c r="V39" i="8"/>
  <c r="V95" i="8"/>
  <c r="V42" i="8"/>
  <c r="V110" i="8"/>
  <c r="V114" i="8"/>
  <c r="V90" i="8"/>
  <c r="V94" i="8"/>
  <c r="V53" i="8"/>
  <c r="V84" i="8"/>
  <c r="V59" i="8"/>
  <c r="V113" i="8"/>
  <c r="V43" i="8"/>
  <c r="V68" i="8"/>
  <c r="V101" i="8"/>
  <c r="V107" i="8"/>
  <c r="V57" i="8"/>
  <c r="V117" i="8"/>
  <c r="V119" i="8"/>
  <c r="V106" i="8"/>
  <c r="V108" i="8"/>
  <c r="V34" i="8"/>
  <c r="V60" i="8"/>
  <c r="V96" i="8"/>
  <c r="V76" i="8"/>
  <c r="W122" i="8" l="1"/>
  <c r="W119" i="8"/>
  <c r="W48" i="8"/>
  <c r="W40" i="8"/>
  <c r="W67" i="8"/>
  <c r="W75" i="8"/>
  <c r="W117" i="8"/>
  <c r="W86" i="8"/>
  <c r="W73" i="8"/>
  <c r="W63" i="8"/>
  <c r="W94" i="8"/>
  <c r="W64" i="8"/>
  <c r="W97" i="8"/>
  <c r="W45" i="8"/>
  <c r="W50" i="8"/>
  <c r="W116" i="8"/>
  <c r="W77" i="8"/>
  <c r="W105" i="8"/>
  <c r="W104" i="8"/>
  <c r="W39" i="8"/>
  <c r="W92" i="8"/>
  <c r="W56" i="8"/>
  <c r="W57" i="8"/>
  <c r="W123" i="8"/>
  <c r="W78" i="8"/>
  <c r="W30" i="8"/>
  <c r="W37" i="8"/>
  <c r="W118" i="8"/>
  <c r="W52" i="8"/>
  <c r="W89" i="8"/>
  <c r="W91" i="8"/>
  <c r="W70" i="8"/>
  <c r="W55" i="8"/>
  <c r="W69" i="8"/>
  <c r="W101" i="8"/>
  <c r="W72" i="8"/>
  <c r="W99" i="8"/>
  <c r="W83" i="8"/>
  <c r="W121" i="8"/>
  <c r="W53" i="8"/>
  <c r="W108" i="8"/>
  <c r="W82" i="8"/>
  <c r="W81" i="8"/>
  <c r="W103" i="8"/>
  <c r="W115" i="8"/>
  <c r="W32" i="8"/>
  <c r="W76" i="8"/>
  <c r="W38" i="8"/>
  <c r="W35" i="8"/>
  <c r="W90" i="8"/>
  <c r="W59" i="8"/>
  <c r="X28" i="8"/>
  <c r="W93" i="8"/>
  <c r="W109" i="8"/>
  <c r="W65" i="8"/>
  <c r="W62" i="8"/>
  <c r="W110" i="8"/>
  <c r="W88" i="8"/>
  <c r="W46" i="8"/>
  <c r="W51" i="8"/>
  <c r="W43" i="8"/>
  <c r="W112" i="8"/>
  <c r="W95" i="8"/>
  <c r="W80" i="8"/>
  <c r="W29" i="8"/>
  <c r="W98" i="8"/>
  <c r="W31" i="8"/>
  <c r="W60" i="8"/>
  <c r="W36" i="8"/>
  <c r="W47" i="8"/>
  <c r="W100" i="8"/>
  <c r="W44" i="8"/>
  <c r="W84" i="8"/>
  <c r="W102" i="8"/>
  <c r="W79" i="8"/>
  <c r="W87" i="8"/>
  <c r="W107" i="8"/>
  <c r="W111" i="8"/>
  <c r="W54" i="8"/>
  <c r="W42" i="8"/>
  <c r="W49" i="8"/>
  <c r="W34" i="8"/>
  <c r="W113" i="8"/>
  <c r="W61" i="8"/>
  <c r="W74" i="8"/>
  <c r="W124" i="8"/>
  <c r="W41" i="8"/>
  <c r="W66" i="8"/>
  <c r="W33" i="8"/>
  <c r="W58" i="8"/>
  <c r="W71" i="8"/>
  <c r="W114" i="8"/>
  <c r="W85" i="8"/>
  <c r="W106" i="8"/>
  <c r="W68" i="8"/>
  <c r="W96" i="8"/>
  <c r="W120" i="8"/>
  <c r="V139" i="8"/>
  <c r="W139" i="8" l="1"/>
  <c r="X62" i="8"/>
  <c r="X90" i="8"/>
  <c r="X72" i="8"/>
  <c r="X83" i="8"/>
  <c r="X111" i="8"/>
  <c r="X41" i="8"/>
  <c r="X76" i="8"/>
  <c r="X89" i="8"/>
  <c r="X119" i="8"/>
  <c r="X33" i="8"/>
  <c r="X43" i="8"/>
  <c r="X100" i="8"/>
  <c r="X109" i="8"/>
  <c r="X50" i="8"/>
  <c r="X46" i="8"/>
  <c r="X73" i="8"/>
  <c r="X123" i="8"/>
  <c r="X34" i="8"/>
  <c r="X105" i="8"/>
  <c r="X37" i="8"/>
  <c r="X110" i="8"/>
  <c r="X64" i="8"/>
  <c r="X48" i="8"/>
  <c r="X88" i="8"/>
  <c r="X45" i="8"/>
  <c r="X60" i="8"/>
  <c r="X63" i="8"/>
  <c r="X102" i="8"/>
  <c r="X75" i="8"/>
  <c r="X51" i="8"/>
  <c r="X80" i="8"/>
  <c r="X114" i="8"/>
  <c r="X91" i="8"/>
  <c r="X55" i="8"/>
  <c r="X122" i="8"/>
  <c r="X40" i="8"/>
  <c r="X54" i="8"/>
  <c r="X71" i="8"/>
  <c r="X99" i="8"/>
  <c r="X42" i="8"/>
  <c r="X57" i="8"/>
  <c r="X116" i="8"/>
  <c r="X78" i="8"/>
  <c r="X70" i="8"/>
  <c r="X68" i="8"/>
  <c r="X56" i="8"/>
  <c r="X117" i="8"/>
  <c r="X29" i="8"/>
  <c r="X74" i="8"/>
  <c r="X106" i="8"/>
  <c r="X115" i="8"/>
  <c r="X85" i="8"/>
  <c r="X31" i="8"/>
  <c r="X49" i="8"/>
  <c r="X30" i="8"/>
  <c r="X47" i="8"/>
  <c r="X124" i="8"/>
  <c r="X95" i="8"/>
  <c r="X112" i="8"/>
  <c r="X32" i="8"/>
  <c r="X108" i="8"/>
  <c r="X77" i="8"/>
  <c r="X107" i="8"/>
  <c r="X39" i="8"/>
  <c r="Y28" i="8"/>
  <c r="X103" i="8"/>
  <c r="X82" i="8"/>
  <c r="X120" i="8"/>
  <c r="X79" i="8"/>
  <c r="X66" i="8"/>
  <c r="X84" i="8"/>
  <c r="X38" i="8"/>
  <c r="X98" i="8"/>
  <c r="X44" i="8"/>
  <c r="X92" i="8"/>
  <c r="X53" i="8"/>
  <c r="X59" i="8"/>
  <c r="X69" i="8"/>
  <c r="X35" i="8"/>
  <c r="X94" i="8"/>
  <c r="X118" i="8"/>
  <c r="X36" i="8"/>
  <c r="X96" i="8"/>
  <c r="X58" i="8"/>
  <c r="X67" i="8"/>
  <c r="X61" i="8"/>
  <c r="X65" i="8"/>
  <c r="X52" i="8"/>
  <c r="X87" i="8"/>
  <c r="X121" i="8"/>
  <c r="X101" i="8"/>
  <c r="X93" i="8"/>
  <c r="X86" i="8"/>
  <c r="X97" i="8"/>
  <c r="X104" i="8"/>
  <c r="X81" i="8"/>
  <c r="X113" i="8"/>
  <c r="X139" i="8" l="1"/>
  <c r="Y115" i="8"/>
  <c r="Y97" i="8"/>
  <c r="Y123" i="8"/>
  <c r="Y64" i="8"/>
  <c r="Y103" i="8"/>
  <c r="Y110" i="8"/>
  <c r="Y68" i="8"/>
  <c r="Y122" i="8"/>
  <c r="Y78" i="8"/>
  <c r="Y53" i="8"/>
  <c r="Y98" i="8"/>
  <c r="Y41" i="8"/>
  <c r="Y83" i="8"/>
  <c r="Y69" i="8"/>
  <c r="Y109" i="8"/>
  <c r="Y121" i="8"/>
  <c r="Y120" i="8"/>
  <c r="Y51" i="8"/>
  <c r="Y74" i="8"/>
  <c r="Y63" i="8"/>
  <c r="Y105" i="8"/>
  <c r="Y72" i="8"/>
  <c r="Y71" i="8"/>
  <c r="Y76" i="8"/>
  <c r="Y60" i="8"/>
  <c r="Y31" i="8"/>
  <c r="Y117" i="8"/>
  <c r="Y62" i="8"/>
  <c r="Y44" i="8"/>
  <c r="Y56" i="8"/>
  <c r="Y35" i="8"/>
  <c r="Y29" i="8"/>
  <c r="Z28" i="8"/>
  <c r="Y112" i="8"/>
  <c r="Y57" i="8"/>
  <c r="Y49" i="8"/>
  <c r="Y39" i="8"/>
  <c r="Y114" i="8"/>
  <c r="Y102" i="8"/>
  <c r="Y75" i="8"/>
  <c r="Y118" i="8"/>
  <c r="Y89" i="8"/>
  <c r="Y77" i="8"/>
  <c r="Y73" i="8"/>
  <c r="Y92" i="8"/>
  <c r="Y45" i="8"/>
  <c r="Y81" i="8"/>
  <c r="Y80" i="8"/>
  <c r="Y87" i="8"/>
  <c r="Y50" i="8"/>
  <c r="Y40" i="8"/>
  <c r="Y99" i="8"/>
  <c r="Y79" i="8"/>
  <c r="Y104" i="8"/>
  <c r="Y36" i="8"/>
  <c r="Y58" i="8"/>
  <c r="Y67" i="8"/>
  <c r="Y124" i="8"/>
  <c r="Y107" i="8"/>
  <c r="Y37" i="8"/>
  <c r="Y111" i="8"/>
  <c r="Y94" i="8"/>
  <c r="Y32" i="8"/>
  <c r="Y70" i="8"/>
  <c r="Y43" i="8"/>
  <c r="Y52" i="8"/>
  <c r="Y85" i="8"/>
  <c r="Y65" i="8"/>
  <c r="Y96" i="8"/>
  <c r="Y116" i="8"/>
  <c r="Y106" i="8"/>
  <c r="Y90" i="8"/>
  <c r="Y61" i="8"/>
  <c r="Y33" i="8"/>
  <c r="Y101" i="8"/>
  <c r="Y88" i="8"/>
  <c r="Y59" i="8"/>
  <c r="Y54" i="8"/>
  <c r="Y86" i="8"/>
  <c r="Y46" i="8"/>
  <c r="Y113" i="8"/>
  <c r="Y48" i="8"/>
  <c r="Y84" i="8"/>
  <c r="Y82" i="8"/>
  <c r="Y66" i="8"/>
  <c r="Y95" i="8"/>
  <c r="Y108" i="8"/>
  <c r="Y93" i="8"/>
  <c r="Y55" i="8"/>
  <c r="Y91" i="8"/>
  <c r="Y38" i="8"/>
  <c r="Y100" i="8"/>
  <c r="Y30" i="8"/>
  <c r="Y42" i="8"/>
  <c r="Y34" i="8"/>
  <c r="Y119" i="8"/>
  <c r="Y47" i="8"/>
  <c r="Z40" i="8" l="1"/>
  <c r="Z47" i="8"/>
  <c r="Z95" i="8"/>
  <c r="Z70" i="8"/>
  <c r="Z37" i="8"/>
  <c r="Z104" i="8"/>
  <c r="Z61" i="8"/>
  <c r="Z94" i="8"/>
  <c r="Z113" i="8"/>
  <c r="Z74" i="8"/>
  <c r="Z88" i="8"/>
  <c r="Z98" i="8"/>
  <c r="Z96" i="8"/>
  <c r="Z63" i="8"/>
  <c r="Z58" i="8"/>
  <c r="Z110" i="8"/>
  <c r="Z78" i="8"/>
  <c r="Z81" i="8"/>
  <c r="Z87" i="8"/>
  <c r="Z33" i="8"/>
  <c r="Z80" i="8"/>
  <c r="Z57" i="8"/>
  <c r="Z62" i="8"/>
  <c r="Z84" i="8"/>
  <c r="Z85" i="8"/>
  <c r="Z54" i="8"/>
  <c r="Z89" i="8"/>
  <c r="Z117" i="8"/>
  <c r="Z71" i="8"/>
  <c r="Z120" i="8"/>
  <c r="Z39" i="8"/>
  <c r="Z99" i="8"/>
  <c r="Z68" i="8"/>
  <c r="Z103" i="8"/>
  <c r="Z119" i="8"/>
  <c r="Z112" i="8"/>
  <c r="Z106" i="8"/>
  <c r="Z59" i="8"/>
  <c r="Z123" i="8"/>
  <c r="Z52" i="8"/>
  <c r="Z50" i="8"/>
  <c r="Z118" i="8"/>
  <c r="Z114" i="8"/>
  <c r="Z109" i="8"/>
  <c r="Z36" i="8"/>
  <c r="Z48" i="8"/>
  <c r="Z75" i="8"/>
  <c r="Z56" i="8"/>
  <c r="Z67" i="8"/>
  <c r="Z116" i="8"/>
  <c r="Z107" i="8"/>
  <c r="Z29" i="8"/>
  <c r="Z105" i="8"/>
  <c r="Z108" i="8"/>
  <c r="Z32" i="8"/>
  <c r="Z100" i="8"/>
  <c r="Z45" i="8"/>
  <c r="Z121" i="8"/>
  <c r="Z115" i="8"/>
  <c r="Z97" i="8"/>
  <c r="AA28" i="8"/>
  <c r="Z102" i="8"/>
  <c r="Z43" i="8"/>
  <c r="Z44" i="8"/>
  <c r="Z83" i="8"/>
  <c r="Z49" i="8"/>
  <c r="Z41" i="8"/>
  <c r="Z65" i="8"/>
  <c r="Z82" i="8"/>
  <c r="Z77" i="8"/>
  <c r="Z93" i="8"/>
  <c r="Z101" i="8"/>
  <c r="Z72" i="8"/>
  <c r="Z76" i="8"/>
  <c r="Z64" i="8"/>
  <c r="Z51" i="8"/>
  <c r="Z69" i="8"/>
  <c r="Z55" i="8"/>
  <c r="Z35" i="8"/>
  <c r="Z46" i="8"/>
  <c r="Z53" i="8"/>
  <c r="Z124" i="8"/>
  <c r="Z86" i="8"/>
  <c r="Z30" i="8"/>
  <c r="Z31" i="8"/>
  <c r="Z42" i="8"/>
  <c r="Z60" i="8"/>
  <c r="Z34" i="8"/>
  <c r="Z73" i="8"/>
  <c r="Z111" i="8"/>
  <c r="Z79" i="8"/>
  <c r="Z66" i="8"/>
  <c r="Z122" i="8"/>
  <c r="Z38" i="8"/>
  <c r="Z92" i="8"/>
  <c r="Z90" i="8"/>
  <c r="Z91" i="8"/>
  <c r="Y139" i="8"/>
  <c r="Z139" i="8" l="1"/>
  <c r="AA62" i="8"/>
  <c r="AA30" i="8"/>
  <c r="AA65" i="8"/>
  <c r="AA35" i="8"/>
  <c r="AA79" i="8"/>
  <c r="AA89" i="8"/>
  <c r="AA53" i="8"/>
  <c r="AA51" i="8"/>
  <c r="AA72" i="8"/>
  <c r="AA122" i="8"/>
  <c r="AA121" i="8"/>
  <c r="AA93" i="8"/>
  <c r="AA66" i="8"/>
  <c r="AA108" i="8"/>
  <c r="AA98" i="8"/>
  <c r="AA90" i="8"/>
  <c r="AA55" i="8"/>
  <c r="AA104" i="8"/>
  <c r="AA97" i="8"/>
  <c r="AA54" i="8"/>
  <c r="AA109" i="8"/>
  <c r="AA105" i="8"/>
  <c r="AA69" i="8"/>
  <c r="AA61" i="8"/>
  <c r="AA74" i="8"/>
  <c r="AA56" i="8"/>
  <c r="AA99" i="8"/>
  <c r="AA82" i="8"/>
  <c r="AA39" i="8"/>
  <c r="AA46" i="8"/>
  <c r="AA106" i="8"/>
  <c r="AA64" i="8"/>
  <c r="AA31" i="8"/>
  <c r="AA124" i="8"/>
  <c r="AA52" i="8"/>
  <c r="AA92" i="8"/>
  <c r="AA70" i="8"/>
  <c r="AA32" i="8"/>
  <c r="AA59" i="8"/>
  <c r="AA42" i="8"/>
  <c r="AA118" i="8"/>
  <c r="AA44" i="8"/>
  <c r="AA29" i="8"/>
  <c r="AA81" i="8"/>
  <c r="AA80" i="8"/>
  <c r="AA75" i="8"/>
  <c r="AA60" i="8"/>
  <c r="AA33" i="8"/>
  <c r="AA36" i="8"/>
  <c r="AA73" i="8"/>
  <c r="AA91" i="8"/>
  <c r="AB28" i="8"/>
  <c r="AA112" i="8"/>
  <c r="AA113" i="8"/>
  <c r="AA110" i="8"/>
  <c r="AA111" i="8"/>
  <c r="AA115" i="8"/>
  <c r="AA84" i="8"/>
  <c r="AA37" i="8"/>
  <c r="AA123" i="8"/>
  <c r="AA49" i="8"/>
  <c r="AA102" i="8"/>
  <c r="AA45" i="8"/>
  <c r="AA96" i="8"/>
  <c r="AA85" i="8"/>
  <c r="AA119" i="8"/>
  <c r="AA77" i="8"/>
  <c r="AA50" i="8"/>
  <c r="AA38" i="8"/>
  <c r="AA101" i="8"/>
  <c r="AA87" i="8"/>
  <c r="AA95" i="8"/>
  <c r="AA120" i="8"/>
  <c r="AA58" i="8"/>
  <c r="AA68" i="8"/>
  <c r="AA116" i="8"/>
  <c r="AA83" i="8"/>
  <c r="AA40" i="8"/>
  <c r="AA41" i="8"/>
  <c r="AA86" i="8"/>
  <c r="AA94" i="8"/>
  <c r="AA71" i="8"/>
  <c r="AA43" i="8"/>
  <c r="AA63" i="8"/>
  <c r="AA57" i="8"/>
  <c r="AA78" i="8"/>
  <c r="AA48" i="8"/>
  <c r="AA107" i="8"/>
  <c r="AA67" i="8"/>
  <c r="AA103" i="8"/>
  <c r="AA47" i="8"/>
  <c r="AA100" i="8"/>
  <c r="AA88" i="8"/>
  <c r="AA76" i="8"/>
  <c r="AA34" i="8"/>
  <c r="AA114" i="8"/>
  <c r="AA117" i="8"/>
  <c r="AA139" i="8" l="1"/>
  <c r="AB53" i="8"/>
  <c r="AB49" i="8"/>
  <c r="AB105" i="8"/>
  <c r="AB121" i="8"/>
  <c r="AB114" i="8"/>
  <c r="AB78" i="8"/>
  <c r="AB112" i="8"/>
  <c r="AB96" i="8"/>
  <c r="AB80" i="8"/>
  <c r="AB66" i="8"/>
  <c r="AB92" i="8"/>
  <c r="AB106" i="8"/>
  <c r="AB68" i="8"/>
  <c r="AB118" i="8"/>
  <c r="AB39" i="8"/>
  <c r="AB44" i="8"/>
  <c r="AB87" i="8"/>
  <c r="AB124" i="8"/>
  <c r="AB123" i="8"/>
  <c r="AB102" i="8"/>
  <c r="AB110" i="8"/>
  <c r="AB77" i="8"/>
  <c r="AB40" i="8"/>
  <c r="AB122" i="8"/>
  <c r="AB79" i="8"/>
  <c r="AB58" i="8"/>
  <c r="AB57" i="8"/>
  <c r="AB32" i="8"/>
  <c r="AB103" i="8"/>
  <c r="AB36" i="8"/>
  <c r="AB76" i="8"/>
  <c r="AB54" i="8"/>
  <c r="AB82" i="8"/>
  <c r="AB47" i="8"/>
  <c r="AB62" i="8"/>
  <c r="AB120" i="8"/>
  <c r="AB46" i="8"/>
  <c r="AB90" i="8"/>
  <c r="AB31" i="8"/>
  <c r="AB88" i="8"/>
  <c r="AB51" i="8"/>
  <c r="AB70" i="8"/>
  <c r="AB35" i="8"/>
  <c r="AB63" i="8"/>
  <c r="AB56" i="8"/>
  <c r="AB38" i="8"/>
  <c r="AB98" i="8"/>
  <c r="AB72" i="8"/>
  <c r="AB104" i="8"/>
  <c r="AB84" i="8"/>
  <c r="AB74" i="8"/>
  <c r="AB33" i="8"/>
  <c r="AB116" i="8"/>
  <c r="AB30" i="8"/>
  <c r="AB73" i="8"/>
  <c r="AB85" i="8"/>
  <c r="AB83" i="8"/>
  <c r="AB86" i="8"/>
  <c r="AB60" i="8"/>
  <c r="AB48" i="8"/>
  <c r="AB75" i="8"/>
  <c r="AB64" i="8"/>
  <c r="AB111" i="8"/>
  <c r="AB34" i="8"/>
  <c r="AB108" i="8"/>
  <c r="AB113" i="8"/>
  <c r="AB69" i="8"/>
  <c r="AB93" i="8"/>
  <c r="AB61" i="8"/>
  <c r="AB107" i="8"/>
  <c r="AB55" i="8"/>
  <c r="AB109" i="8"/>
  <c r="AB37" i="8"/>
  <c r="AB115" i="8"/>
  <c r="AC28" i="8"/>
  <c r="AB91" i="8"/>
  <c r="AB59" i="8"/>
  <c r="AB50" i="8"/>
  <c r="AB42" i="8"/>
  <c r="AB99" i="8"/>
  <c r="AB119" i="8"/>
  <c r="AB100" i="8"/>
  <c r="AB101" i="8"/>
  <c r="AB97" i="8"/>
  <c r="AB29" i="8"/>
  <c r="AB71" i="8"/>
  <c r="AB65" i="8"/>
  <c r="AB81" i="8"/>
  <c r="AB67" i="8"/>
  <c r="AB95" i="8"/>
  <c r="AB117" i="8"/>
  <c r="AB41" i="8"/>
  <c r="AB43" i="8"/>
  <c r="AB89" i="8"/>
  <c r="AB45" i="8"/>
  <c r="AB94" i="8"/>
  <c r="AB52" i="8"/>
  <c r="AB139" i="8" l="1"/>
  <c r="AC32" i="8"/>
  <c r="AC104" i="8"/>
  <c r="AC59" i="8"/>
  <c r="AC38" i="8"/>
  <c r="AC123" i="8"/>
  <c r="AC97" i="8"/>
  <c r="AC70" i="8"/>
  <c r="AC69" i="8"/>
  <c r="AC51" i="8"/>
  <c r="AC115" i="8"/>
  <c r="AC120" i="8"/>
  <c r="AC71" i="8"/>
  <c r="AC66" i="8"/>
  <c r="AC113" i="8"/>
  <c r="AC45" i="8"/>
  <c r="AC54" i="8"/>
  <c r="AC33" i="8"/>
  <c r="AC30" i="8"/>
  <c r="AC87" i="8"/>
  <c r="AC118" i="8"/>
  <c r="AC100" i="8"/>
  <c r="AC52" i="8"/>
  <c r="AC58" i="8"/>
  <c r="AC62" i="8"/>
  <c r="AC122" i="8"/>
  <c r="AC90" i="8"/>
  <c r="AC37" i="8"/>
  <c r="AC77" i="8"/>
  <c r="AC68" i="8"/>
  <c r="AC85" i="8"/>
  <c r="AC72" i="8"/>
  <c r="AC53" i="8"/>
  <c r="AC65" i="8"/>
  <c r="AC88" i="8"/>
  <c r="AC36" i="8"/>
  <c r="AC64" i="8"/>
  <c r="AC112" i="8"/>
  <c r="AC44" i="8"/>
  <c r="AC63" i="8"/>
  <c r="AC78" i="8"/>
  <c r="AC121" i="8"/>
  <c r="AC91" i="8"/>
  <c r="AC81" i="8"/>
  <c r="AC84" i="8"/>
  <c r="AC111" i="8"/>
  <c r="AD28" i="8"/>
  <c r="AC86" i="8"/>
  <c r="AC102" i="8"/>
  <c r="AC93" i="8"/>
  <c r="AC92" i="8"/>
  <c r="AC74" i="8"/>
  <c r="AC119" i="8"/>
  <c r="AC107" i="8"/>
  <c r="AC31" i="8"/>
  <c r="AC34" i="8"/>
  <c r="AC116" i="8"/>
  <c r="AC55" i="8"/>
  <c r="AC57" i="8"/>
  <c r="AC42" i="8"/>
  <c r="AC103" i="8"/>
  <c r="AC95" i="8"/>
  <c r="AC41" i="8"/>
  <c r="AC40" i="8"/>
  <c r="AC39" i="8"/>
  <c r="AC60" i="8"/>
  <c r="AC94" i="8"/>
  <c r="AC76" i="8"/>
  <c r="AC35" i="8"/>
  <c r="AC109" i="8"/>
  <c r="AC89" i="8"/>
  <c r="AC49" i="8"/>
  <c r="AC50" i="8"/>
  <c r="AC75" i="8"/>
  <c r="AC29" i="8"/>
  <c r="AC110" i="8"/>
  <c r="AC98" i="8"/>
  <c r="AC47" i="8"/>
  <c r="AC124" i="8"/>
  <c r="AC101" i="8"/>
  <c r="AC82" i="8"/>
  <c r="AC73" i="8"/>
  <c r="AC61" i="8"/>
  <c r="AC105" i="8"/>
  <c r="AC117" i="8"/>
  <c r="AC83" i="8"/>
  <c r="AC108" i="8"/>
  <c r="AC96" i="8"/>
  <c r="AC48" i="8"/>
  <c r="AC67" i="8"/>
  <c r="AC79" i="8"/>
  <c r="AC80" i="8"/>
  <c r="AC46" i="8"/>
  <c r="AC114" i="8"/>
  <c r="AC43" i="8"/>
  <c r="AC99" i="8"/>
  <c r="AC106" i="8"/>
  <c r="AC56" i="8"/>
  <c r="AD35" i="8" l="1"/>
  <c r="AD111" i="8"/>
  <c r="AD100" i="8"/>
  <c r="AD83" i="8"/>
  <c r="AD74" i="8"/>
  <c r="AD64" i="8"/>
  <c r="AD67" i="8"/>
  <c r="AD68" i="8"/>
  <c r="AD50" i="8"/>
  <c r="AD89" i="8"/>
  <c r="AD33" i="8"/>
  <c r="AD90" i="8"/>
  <c r="AD81" i="8"/>
  <c r="AD48" i="8"/>
  <c r="AD119" i="8"/>
  <c r="AD99" i="8"/>
  <c r="AD107" i="8"/>
  <c r="AD45" i="8"/>
  <c r="AD122" i="8"/>
  <c r="AD37" i="8"/>
  <c r="AD108" i="8"/>
  <c r="AD123" i="8"/>
  <c r="AD80" i="8"/>
  <c r="AD29" i="8"/>
  <c r="AD71" i="8"/>
  <c r="AD88" i="8"/>
  <c r="AD60" i="8"/>
  <c r="AD31" i="8"/>
  <c r="AD32" i="8"/>
  <c r="AD40" i="8"/>
  <c r="AD58" i="8"/>
  <c r="AD55" i="8"/>
  <c r="AD109" i="8"/>
  <c r="AD120" i="8"/>
  <c r="AD65" i="8"/>
  <c r="AD30" i="8"/>
  <c r="AD44" i="8"/>
  <c r="AD47" i="8"/>
  <c r="AD70" i="8"/>
  <c r="AD66" i="8"/>
  <c r="AD105" i="8"/>
  <c r="AD36" i="8"/>
  <c r="AD76" i="8"/>
  <c r="AD112" i="8"/>
  <c r="AD61" i="8"/>
  <c r="AD117" i="8"/>
  <c r="AD87" i="8"/>
  <c r="AD52" i="8"/>
  <c r="AD51" i="8"/>
  <c r="AD77" i="8"/>
  <c r="AD57" i="8"/>
  <c r="AD96" i="8"/>
  <c r="AD124" i="8"/>
  <c r="AD59" i="8"/>
  <c r="AD62" i="8"/>
  <c r="AD106" i="8"/>
  <c r="AD113" i="8"/>
  <c r="AD95" i="8"/>
  <c r="AD93" i="8"/>
  <c r="AD42" i="8"/>
  <c r="AD110" i="8"/>
  <c r="AD101" i="8"/>
  <c r="AD49" i="8"/>
  <c r="AD84" i="8"/>
  <c r="AD121" i="8"/>
  <c r="AD97" i="8"/>
  <c r="AD82" i="8"/>
  <c r="AD34" i="8"/>
  <c r="AD78" i="8"/>
  <c r="AD114" i="8"/>
  <c r="AD102" i="8"/>
  <c r="AD56" i="8"/>
  <c r="AD94" i="8"/>
  <c r="AD115" i="8"/>
  <c r="AD54" i="8"/>
  <c r="AD118" i="8"/>
  <c r="AD98" i="8"/>
  <c r="AD85" i="8"/>
  <c r="AE28" i="8"/>
  <c r="AD79" i="8"/>
  <c r="AD39" i="8"/>
  <c r="AD69" i="8"/>
  <c r="AD103" i="8"/>
  <c r="AD41" i="8"/>
  <c r="AD75" i="8"/>
  <c r="AD116" i="8"/>
  <c r="AD91" i="8"/>
  <c r="AD63" i="8"/>
  <c r="AD92" i="8"/>
  <c r="AD38" i="8"/>
  <c r="AD73" i="8"/>
  <c r="AD46" i="8"/>
  <c r="AD104" i="8"/>
  <c r="AD86" i="8"/>
  <c r="AD53" i="8"/>
  <c r="AD43" i="8"/>
  <c r="AD72" i="8"/>
  <c r="AC139" i="8"/>
  <c r="AE63" i="8" l="1"/>
  <c r="AE93" i="8"/>
  <c r="AE51" i="8"/>
  <c r="AE112" i="8"/>
  <c r="AE98" i="8"/>
  <c r="AE120" i="8"/>
  <c r="AE45" i="8"/>
  <c r="AE104" i="8"/>
  <c r="AE49" i="8"/>
  <c r="AE57" i="8"/>
  <c r="AE44" i="8"/>
  <c r="AE84" i="8"/>
  <c r="AE46" i="8"/>
  <c r="AE58" i="8"/>
  <c r="AE88" i="8"/>
  <c r="AE53" i="8"/>
  <c r="AE85" i="8"/>
  <c r="AE40" i="8"/>
  <c r="AE89" i="8"/>
  <c r="AE41" i="8"/>
  <c r="AE33" i="8"/>
  <c r="AE77" i="8"/>
  <c r="AE30" i="8"/>
  <c r="AE87" i="8"/>
  <c r="AE67" i="8"/>
  <c r="AE111" i="8"/>
  <c r="AE42" i="8"/>
  <c r="AE83" i="8"/>
  <c r="AE31" i="8"/>
  <c r="AE92" i="8"/>
  <c r="AE52" i="8"/>
  <c r="AE108" i="8"/>
  <c r="AE94" i="8"/>
  <c r="AE75" i="8"/>
  <c r="AE82" i="8"/>
  <c r="AE109" i="8"/>
  <c r="AE71" i="8"/>
  <c r="AE69" i="8"/>
  <c r="AE64" i="8"/>
  <c r="AE56" i="8"/>
  <c r="AE47" i="8"/>
  <c r="AE48" i="8"/>
  <c r="AE74" i="8"/>
  <c r="AE101" i="8"/>
  <c r="AE117" i="8"/>
  <c r="AE70" i="8"/>
  <c r="AE106" i="8"/>
  <c r="AE86" i="8"/>
  <c r="AE124" i="8"/>
  <c r="AE91" i="8"/>
  <c r="AE116" i="8"/>
  <c r="AE102" i="8"/>
  <c r="AE73" i="8"/>
  <c r="AE65" i="8"/>
  <c r="AF28" i="8"/>
  <c r="AE100" i="8"/>
  <c r="AE80" i="8"/>
  <c r="AE72" i="8"/>
  <c r="AE103" i="8"/>
  <c r="AE35" i="8"/>
  <c r="AE38" i="8"/>
  <c r="AE107" i="8"/>
  <c r="AE79" i="8"/>
  <c r="AE81" i="8"/>
  <c r="AE114" i="8"/>
  <c r="AE96" i="8"/>
  <c r="AE68" i="8"/>
  <c r="AE62" i="8"/>
  <c r="AE115" i="8"/>
  <c r="AE60" i="8"/>
  <c r="AE61" i="8"/>
  <c r="AE29" i="8"/>
  <c r="AE32" i="8"/>
  <c r="AE76" i="8"/>
  <c r="AE37" i="8"/>
  <c r="AE43" i="8"/>
  <c r="AE121" i="8"/>
  <c r="AE105" i="8"/>
  <c r="AE59" i="8"/>
  <c r="AE122" i="8"/>
  <c r="AE36" i="8"/>
  <c r="AE99" i="8"/>
  <c r="AE95" i="8"/>
  <c r="AE123" i="8"/>
  <c r="AE118" i="8"/>
  <c r="AE55" i="8"/>
  <c r="AE66" i="8"/>
  <c r="AE78" i="8"/>
  <c r="AE110" i="8"/>
  <c r="AE54" i="8"/>
  <c r="AE90" i="8"/>
  <c r="AE34" i="8"/>
  <c r="AE119" i="8"/>
  <c r="AE97" i="8"/>
  <c r="AE39" i="8"/>
  <c r="AE50" i="8"/>
  <c r="AE113" i="8"/>
  <c r="AD139" i="8"/>
  <c r="AF52" i="8" l="1"/>
  <c r="AF108" i="8"/>
  <c r="AF47" i="8"/>
  <c r="AF90" i="8"/>
  <c r="AF34" i="8"/>
  <c r="AF105" i="8"/>
  <c r="AF79" i="8"/>
  <c r="AF55" i="8"/>
  <c r="AF72" i="8"/>
  <c r="AF29" i="8"/>
  <c r="AF74" i="8"/>
  <c r="AF82" i="8"/>
  <c r="AF123" i="8"/>
  <c r="AF59" i="8"/>
  <c r="AF45" i="8"/>
  <c r="AF35" i="8"/>
  <c r="AG28" i="8"/>
  <c r="AF104" i="8"/>
  <c r="AF116" i="8"/>
  <c r="AF107" i="8"/>
  <c r="AF30" i="8"/>
  <c r="AF122" i="8"/>
  <c r="AF92" i="8"/>
  <c r="AF100" i="8"/>
  <c r="AF66" i="8"/>
  <c r="AF64" i="8"/>
  <c r="AF101" i="8"/>
  <c r="AF43" i="8"/>
  <c r="AF53" i="8"/>
  <c r="AF49" i="8"/>
  <c r="AF103" i="8"/>
  <c r="AF97" i="8"/>
  <c r="AF78" i="8"/>
  <c r="AF118" i="8"/>
  <c r="AF89" i="8"/>
  <c r="AF110" i="8"/>
  <c r="AF106" i="8"/>
  <c r="AF40" i="8"/>
  <c r="AF48" i="8"/>
  <c r="AF37" i="8"/>
  <c r="AF73" i="8"/>
  <c r="AF111" i="8"/>
  <c r="AF50" i="8"/>
  <c r="AF63" i="8"/>
  <c r="AF96" i="8"/>
  <c r="AF95" i="8"/>
  <c r="AF70" i="8"/>
  <c r="AF71" i="8"/>
  <c r="AF61" i="8"/>
  <c r="AF67" i="8"/>
  <c r="AF56" i="8"/>
  <c r="AF86" i="8"/>
  <c r="AF36" i="8"/>
  <c r="AF85" i="8"/>
  <c r="AF65" i="8"/>
  <c r="AF57" i="8"/>
  <c r="AF46" i="8"/>
  <c r="AF83" i="8"/>
  <c r="AF68" i="8"/>
  <c r="AF87" i="8"/>
  <c r="AF112" i="8"/>
  <c r="AF84" i="8"/>
  <c r="AF113" i="8"/>
  <c r="AF99" i="8"/>
  <c r="AF31" i="8"/>
  <c r="AF39" i="8"/>
  <c r="AF42" i="8"/>
  <c r="AF75" i="8"/>
  <c r="AF115" i="8"/>
  <c r="AF51" i="8"/>
  <c r="AF109" i="8"/>
  <c r="AF32" i="8"/>
  <c r="AF98" i="8"/>
  <c r="AF94" i="8"/>
  <c r="AF44" i="8"/>
  <c r="AF54" i="8"/>
  <c r="AF60" i="8"/>
  <c r="AF77" i="8"/>
  <c r="AF88" i="8"/>
  <c r="AF58" i="8"/>
  <c r="AF117" i="8"/>
  <c r="AF124" i="8"/>
  <c r="AF120" i="8"/>
  <c r="AF93" i="8"/>
  <c r="AF114" i="8"/>
  <c r="AF33" i="8"/>
  <c r="AF41" i="8"/>
  <c r="AF119" i="8"/>
  <c r="AF62" i="8"/>
  <c r="AF38" i="8"/>
  <c r="AF121" i="8"/>
  <c r="AF80" i="8"/>
  <c r="AF69" i="8"/>
  <c r="AF102" i="8"/>
  <c r="AF76" i="8"/>
  <c r="AF91" i="8"/>
  <c r="AF81" i="8"/>
  <c r="AE139" i="8"/>
  <c r="AF139" i="8" l="1"/>
  <c r="AG44" i="8"/>
  <c r="AG117" i="8"/>
  <c r="AG40" i="8"/>
  <c r="AG48" i="8"/>
  <c r="AG103" i="8"/>
  <c r="AG58" i="8"/>
  <c r="AG37" i="8"/>
  <c r="AG71" i="8"/>
  <c r="AG34" i="8"/>
  <c r="AG33" i="8"/>
  <c r="AG29" i="8"/>
  <c r="AG98" i="8"/>
  <c r="AG101" i="8"/>
  <c r="AG35" i="8"/>
  <c r="AG89" i="8"/>
  <c r="AG67" i="8"/>
  <c r="AG53" i="8"/>
  <c r="AG76" i="8"/>
  <c r="AG32" i="8"/>
  <c r="AG105" i="8"/>
  <c r="AG63" i="8"/>
  <c r="AG93" i="8"/>
  <c r="AG94" i="8"/>
  <c r="AG46" i="8"/>
  <c r="AG106" i="8"/>
  <c r="AG83" i="8"/>
  <c r="AG110" i="8"/>
  <c r="AG55" i="8"/>
  <c r="AG74" i="8"/>
  <c r="AG80" i="8"/>
  <c r="AG62" i="8"/>
  <c r="AG50" i="8"/>
  <c r="AG123" i="8"/>
  <c r="AG88" i="8"/>
  <c r="AG100" i="8"/>
  <c r="AG36" i="8"/>
  <c r="AG41" i="8"/>
  <c r="AG119" i="8"/>
  <c r="AG104" i="8"/>
  <c r="AG45" i="8"/>
  <c r="AG52" i="8"/>
  <c r="AG108" i="8"/>
  <c r="AG99" i="8"/>
  <c r="AG109" i="8"/>
  <c r="AG49" i="8"/>
  <c r="AH28" i="8"/>
  <c r="AG42" i="8"/>
  <c r="AG124" i="8"/>
  <c r="AG84" i="8"/>
  <c r="AG121" i="8"/>
  <c r="AG39" i="8"/>
  <c r="AG69" i="8"/>
  <c r="AG75" i="8"/>
  <c r="AG72" i="8"/>
  <c r="AG77" i="8"/>
  <c r="AG116" i="8"/>
  <c r="AG91" i="8"/>
  <c r="AG79" i="8"/>
  <c r="AG30" i="8"/>
  <c r="AG122" i="8"/>
  <c r="AG112" i="8"/>
  <c r="AG97" i="8"/>
  <c r="AG31" i="8"/>
  <c r="AG57" i="8"/>
  <c r="AG113" i="8"/>
  <c r="AG96" i="8"/>
  <c r="AG115" i="8"/>
  <c r="AG111" i="8"/>
  <c r="AG86" i="8"/>
  <c r="AG59" i="8"/>
  <c r="AG87" i="8"/>
  <c r="AG38" i="8"/>
  <c r="AG47" i="8"/>
  <c r="AG60" i="8"/>
  <c r="AG92" i="8"/>
  <c r="AG43" i="8"/>
  <c r="AG81" i="8"/>
  <c r="AG102" i="8"/>
  <c r="AG85" i="8"/>
  <c r="AG66" i="8"/>
  <c r="AG68" i="8"/>
  <c r="AG51" i="8"/>
  <c r="AG95" i="8"/>
  <c r="AG78" i="8"/>
  <c r="AG64" i="8"/>
  <c r="AG90" i="8"/>
  <c r="AG56" i="8"/>
  <c r="AG114" i="8"/>
  <c r="AG118" i="8"/>
  <c r="AG107" i="8"/>
  <c r="AG73" i="8"/>
  <c r="AG70" i="8"/>
  <c r="AG82" i="8"/>
  <c r="AG61" i="8"/>
  <c r="AG120" i="8"/>
  <c r="AG65" i="8"/>
  <c r="AG54" i="8"/>
  <c r="AH43" i="8" l="1"/>
  <c r="AH121" i="8"/>
  <c r="AH59" i="8"/>
  <c r="AH97" i="8"/>
  <c r="AH109" i="8"/>
  <c r="AH38" i="8"/>
  <c r="AH37" i="8"/>
  <c r="AH66" i="8"/>
  <c r="AH86" i="8"/>
  <c r="AH55" i="8"/>
  <c r="AH115" i="8"/>
  <c r="AH99" i="8"/>
  <c r="AH71" i="8"/>
  <c r="AH51" i="8"/>
  <c r="AH33" i="8"/>
  <c r="AH46" i="8"/>
  <c r="AH49" i="8"/>
  <c r="AH123" i="8"/>
  <c r="AH60" i="8"/>
  <c r="AH79" i="8"/>
  <c r="AH120" i="8"/>
  <c r="AH58" i="8"/>
  <c r="AH102" i="8"/>
  <c r="AH89" i="8"/>
  <c r="AH61" i="8"/>
  <c r="AH57" i="8"/>
  <c r="AH119" i="8"/>
  <c r="AH111" i="8"/>
  <c r="AH124" i="8"/>
  <c r="AH47" i="8"/>
  <c r="AH108" i="8"/>
  <c r="AH29" i="8"/>
  <c r="AH100" i="8"/>
  <c r="AH82" i="8"/>
  <c r="AH78" i="8"/>
  <c r="AH31" i="8"/>
  <c r="AH39" i="8"/>
  <c r="AH30" i="8"/>
  <c r="AH42" i="8"/>
  <c r="AH40" i="8"/>
  <c r="AH96" i="8"/>
  <c r="AH56" i="8"/>
  <c r="AH41" i="8"/>
  <c r="AH98" i="8"/>
  <c r="AH103" i="8"/>
  <c r="AH87" i="8"/>
  <c r="AH104" i="8"/>
  <c r="AH48" i="8"/>
  <c r="AH101" i="8"/>
  <c r="AH81" i="8"/>
  <c r="AH35" i="8"/>
  <c r="AH114" i="8"/>
  <c r="AH80" i="8"/>
  <c r="AH83" i="8"/>
  <c r="AH90" i="8"/>
  <c r="AH69" i="8"/>
  <c r="AH73" i="8"/>
  <c r="AH110" i="8"/>
  <c r="AH77" i="8"/>
  <c r="AH112" i="8"/>
  <c r="AH107" i="8"/>
  <c r="AH84" i="8"/>
  <c r="AH74" i="8"/>
  <c r="AH68" i="8"/>
  <c r="AH34" i="8"/>
  <c r="AH76" i="8"/>
  <c r="AH45" i="8"/>
  <c r="AH118" i="8"/>
  <c r="AH95" i="8"/>
  <c r="AH116" i="8"/>
  <c r="AH93" i="8"/>
  <c r="AH105" i="8"/>
  <c r="AH63" i="8"/>
  <c r="AH36" i="8"/>
  <c r="AH85" i="8"/>
  <c r="AH52" i="8"/>
  <c r="AH113" i="8"/>
  <c r="AH32" i="8"/>
  <c r="AH122" i="8"/>
  <c r="AH117" i="8"/>
  <c r="AH44" i="8"/>
  <c r="AI28" i="8"/>
  <c r="AH92" i="8"/>
  <c r="AH64" i="8"/>
  <c r="AH65" i="8"/>
  <c r="AH106" i="8"/>
  <c r="AH50" i="8"/>
  <c r="AH75" i="8"/>
  <c r="AH88" i="8"/>
  <c r="AH62" i="8"/>
  <c r="AH70" i="8"/>
  <c r="AH54" i="8"/>
  <c r="AH94" i="8"/>
  <c r="AH91" i="8"/>
  <c r="AH72" i="8"/>
  <c r="AH67" i="8"/>
  <c r="AH53" i="8"/>
  <c r="AG139" i="8"/>
  <c r="AI84" i="8" l="1"/>
  <c r="AI38" i="8"/>
  <c r="AI56" i="8"/>
  <c r="AI73" i="8"/>
  <c r="AI58" i="8"/>
  <c r="AI103" i="8"/>
  <c r="AI51" i="8"/>
  <c r="AI93" i="8"/>
  <c r="AI35" i="8"/>
  <c r="AI97" i="8"/>
  <c r="AI43" i="8"/>
  <c r="AI78" i="8"/>
  <c r="AI86" i="8"/>
  <c r="AI69" i="8"/>
  <c r="AI36" i="8"/>
  <c r="AI68" i="8"/>
  <c r="AI67" i="8"/>
  <c r="AI32" i="8"/>
  <c r="AI118" i="8"/>
  <c r="AI76" i="8"/>
  <c r="AI77" i="8"/>
  <c r="AI88" i="8"/>
  <c r="AI115" i="8"/>
  <c r="AI123" i="8"/>
  <c r="AI104" i="8"/>
  <c r="AI112" i="8"/>
  <c r="AI110" i="8"/>
  <c r="AJ28" i="8"/>
  <c r="AI109" i="8"/>
  <c r="AI82" i="8"/>
  <c r="AI114" i="8"/>
  <c r="AI79" i="8"/>
  <c r="AI57" i="8"/>
  <c r="AI113" i="8"/>
  <c r="AI42" i="8"/>
  <c r="AI39" i="8"/>
  <c r="AI85" i="8"/>
  <c r="AI96" i="8"/>
  <c r="AI98" i="8"/>
  <c r="AI40" i="8"/>
  <c r="AI64" i="8"/>
  <c r="AI119" i="8"/>
  <c r="AI48" i="8"/>
  <c r="AI31" i="8"/>
  <c r="AI44" i="8"/>
  <c r="AI70" i="8"/>
  <c r="AI45" i="8"/>
  <c r="AI46" i="8"/>
  <c r="AI83" i="8"/>
  <c r="AI106" i="8"/>
  <c r="AI50" i="8"/>
  <c r="AI75" i="8"/>
  <c r="AI80" i="8"/>
  <c r="AI105" i="8"/>
  <c r="AI71" i="8"/>
  <c r="AI47" i="8"/>
  <c r="AI116" i="8"/>
  <c r="AI117" i="8"/>
  <c r="AI30" i="8"/>
  <c r="AI120" i="8"/>
  <c r="AI29" i="8"/>
  <c r="AI52" i="8"/>
  <c r="AI63" i="8"/>
  <c r="AI41" i="8"/>
  <c r="AI81" i="8"/>
  <c r="AI89" i="8"/>
  <c r="AI99" i="8"/>
  <c r="AI62" i="8"/>
  <c r="AI74" i="8"/>
  <c r="AI72" i="8"/>
  <c r="AI92" i="8"/>
  <c r="AI54" i="8"/>
  <c r="AI107" i="8"/>
  <c r="AI124" i="8"/>
  <c r="AI102" i="8"/>
  <c r="AI95" i="8"/>
  <c r="AI121" i="8"/>
  <c r="AI111" i="8"/>
  <c r="AI100" i="8"/>
  <c r="AI108" i="8"/>
  <c r="AI90" i="8"/>
  <c r="AI122" i="8"/>
  <c r="AI87" i="8"/>
  <c r="AI53" i="8"/>
  <c r="AI55" i="8"/>
  <c r="AI49" i="8"/>
  <c r="AI94" i="8"/>
  <c r="AI91" i="8"/>
  <c r="AI60" i="8"/>
  <c r="AI66" i="8"/>
  <c r="AI33" i="8"/>
  <c r="AI101" i="8"/>
  <c r="AI65" i="8"/>
  <c r="AI61" i="8"/>
  <c r="AI37" i="8"/>
  <c r="AI34" i="8"/>
  <c r="AI59" i="8"/>
  <c r="AH139" i="8"/>
  <c r="AJ107" i="8" l="1"/>
  <c r="AJ82" i="8"/>
  <c r="AJ53" i="8"/>
  <c r="AJ57" i="8"/>
  <c r="AJ97" i="8"/>
  <c r="AJ90" i="8"/>
  <c r="AJ122" i="8"/>
  <c r="AJ38" i="8"/>
  <c r="AJ49" i="8"/>
  <c r="AJ106" i="8"/>
  <c r="AJ104" i="8"/>
  <c r="AJ101" i="8"/>
  <c r="AJ55" i="8"/>
  <c r="AJ77" i="8"/>
  <c r="AJ88" i="8"/>
  <c r="AJ92" i="8"/>
  <c r="AJ37" i="8"/>
  <c r="AJ54" i="8"/>
  <c r="AJ86" i="8"/>
  <c r="AJ116" i="8"/>
  <c r="AJ113" i="8"/>
  <c r="AJ60" i="8"/>
  <c r="AJ89" i="8"/>
  <c r="AJ123" i="8"/>
  <c r="AJ33" i="8"/>
  <c r="AJ47" i="8"/>
  <c r="AJ71" i="8"/>
  <c r="AJ87" i="8"/>
  <c r="AJ31" i="8"/>
  <c r="AJ115" i="8"/>
  <c r="AJ85" i="8"/>
  <c r="AJ111" i="8"/>
  <c r="AJ30" i="8"/>
  <c r="AJ46" i="8"/>
  <c r="AJ34" i="8"/>
  <c r="AJ102" i="8"/>
  <c r="AJ124" i="8"/>
  <c r="AJ62" i="8"/>
  <c r="AJ40" i="8"/>
  <c r="AJ118" i="8"/>
  <c r="AJ109" i="8"/>
  <c r="AJ121" i="8"/>
  <c r="AJ44" i="8"/>
  <c r="AJ95" i="8"/>
  <c r="AJ64" i="8"/>
  <c r="AJ48" i="8"/>
  <c r="AJ110" i="8"/>
  <c r="AJ100" i="8"/>
  <c r="AJ39" i="8"/>
  <c r="AJ58" i="8"/>
  <c r="AJ66" i="8"/>
  <c r="AJ78" i="8"/>
  <c r="AJ59" i="8"/>
  <c r="AK28" i="8"/>
  <c r="AJ81" i="8"/>
  <c r="AJ68" i="8"/>
  <c r="AJ32" i="8"/>
  <c r="AJ73" i="8"/>
  <c r="AJ117" i="8"/>
  <c r="AJ99" i="8"/>
  <c r="AJ98" i="8"/>
  <c r="AJ72" i="8"/>
  <c r="AJ63" i="8"/>
  <c r="AJ35" i="8"/>
  <c r="AJ29" i="8"/>
  <c r="AJ74" i="8"/>
  <c r="AJ80" i="8"/>
  <c r="AJ51" i="8"/>
  <c r="AJ43" i="8"/>
  <c r="AJ42" i="8"/>
  <c r="AJ69" i="8"/>
  <c r="AJ112" i="8"/>
  <c r="AJ91" i="8"/>
  <c r="AJ70" i="8"/>
  <c r="AJ79" i="8"/>
  <c r="AJ108" i="8"/>
  <c r="AJ120" i="8"/>
  <c r="AJ114" i="8"/>
  <c r="AJ83" i="8"/>
  <c r="AJ96" i="8"/>
  <c r="AJ52" i="8"/>
  <c r="AJ61" i="8"/>
  <c r="AJ67" i="8"/>
  <c r="AJ65" i="8"/>
  <c r="AJ103" i="8"/>
  <c r="AJ76" i="8"/>
  <c r="AJ93" i="8"/>
  <c r="AJ75" i="8"/>
  <c r="AJ94" i="8"/>
  <c r="AJ84" i="8"/>
  <c r="AJ105" i="8"/>
  <c r="AJ36" i="8"/>
  <c r="AJ50" i="8"/>
  <c r="AJ41" i="8"/>
  <c r="AJ45" i="8"/>
  <c r="AJ119" i="8"/>
  <c r="AJ56" i="8"/>
  <c r="AI139" i="8"/>
  <c r="AJ139" i="8" l="1"/>
  <c r="AK98" i="8"/>
  <c r="AK101" i="8"/>
  <c r="AK90" i="8"/>
  <c r="AK103" i="8"/>
  <c r="AK102" i="8"/>
  <c r="AK118" i="8"/>
  <c r="AK31" i="8"/>
  <c r="AK112" i="8"/>
  <c r="AK33" i="8"/>
  <c r="AK62" i="8"/>
  <c r="AK121" i="8"/>
  <c r="AK87" i="8"/>
  <c r="AK100" i="8"/>
  <c r="AK116" i="8"/>
  <c r="AK122" i="8"/>
  <c r="AK39" i="8"/>
  <c r="AK42" i="8"/>
  <c r="AK44" i="8"/>
  <c r="AK71" i="8"/>
  <c r="AK63" i="8"/>
  <c r="AK32" i="8"/>
  <c r="AK108" i="8"/>
  <c r="AK114" i="8"/>
  <c r="AK120" i="8"/>
  <c r="AK37" i="8"/>
  <c r="AK49" i="8"/>
  <c r="AK80" i="8"/>
  <c r="AK61" i="8"/>
  <c r="AK73" i="8"/>
  <c r="AK54" i="8"/>
  <c r="AK38" i="8"/>
  <c r="AK124" i="8"/>
  <c r="AK123" i="8"/>
  <c r="AK36" i="8"/>
  <c r="AK47" i="8"/>
  <c r="AK51" i="8"/>
  <c r="AK113" i="8"/>
  <c r="AK75" i="8"/>
  <c r="AK93" i="8"/>
  <c r="AK60" i="8"/>
  <c r="AK50" i="8"/>
  <c r="AK34" i="8"/>
  <c r="AK35" i="8"/>
  <c r="AK48" i="8"/>
  <c r="AK59" i="8"/>
  <c r="AK64" i="8"/>
  <c r="AK40" i="8"/>
  <c r="AK115" i="8"/>
  <c r="AK30" i="8"/>
  <c r="AK76" i="8"/>
  <c r="AK70" i="8"/>
  <c r="AK89" i="8"/>
  <c r="AK41" i="8"/>
  <c r="AK29" i="8"/>
  <c r="AK77" i="8"/>
  <c r="AK79" i="8"/>
  <c r="AK107" i="8"/>
  <c r="AK52" i="8"/>
  <c r="AK94" i="8"/>
  <c r="AK92" i="8"/>
  <c r="AK104" i="8"/>
  <c r="AK83" i="8"/>
  <c r="AK69" i="8"/>
  <c r="AK43" i="8"/>
  <c r="AK57" i="8"/>
  <c r="AK78" i="8"/>
  <c r="AL28" i="8"/>
  <c r="AK82" i="8"/>
  <c r="AK45" i="8"/>
  <c r="AK72" i="8"/>
  <c r="AK85" i="8"/>
  <c r="AK58" i="8"/>
  <c r="AK109" i="8"/>
  <c r="AK67" i="8"/>
  <c r="AK105" i="8"/>
  <c r="AK117" i="8"/>
  <c r="AK66" i="8"/>
  <c r="AK53" i="8"/>
  <c r="AK119" i="8"/>
  <c r="AK84" i="8"/>
  <c r="AK99" i="8"/>
  <c r="AK96" i="8"/>
  <c r="AK111" i="8"/>
  <c r="AK88" i="8"/>
  <c r="AK74" i="8"/>
  <c r="AK95" i="8"/>
  <c r="AK86" i="8"/>
  <c r="AK65" i="8"/>
  <c r="AK106" i="8"/>
  <c r="AK110" i="8"/>
  <c r="AK91" i="8"/>
  <c r="AK56" i="8"/>
  <c r="AK46" i="8"/>
  <c r="AK68" i="8"/>
  <c r="AK97" i="8"/>
  <c r="AK81" i="8"/>
  <c r="AK55" i="8"/>
  <c r="AL63" i="8" l="1"/>
  <c r="AL29" i="8"/>
  <c r="AL124" i="8"/>
  <c r="AL114" i="8"/>
  <c r="AL121" i="8"/>
  <c r="AL39" i="8"/>
  <c r="AL50" i="8"/>
  <c r="AL66" i="8"/>
  <c r="AL103" i="8"/>
  <c r="AL59" i="8"/>
  <c r="AL53" i="8"/>
  <c r="AL40" i="8"/>
  <c r="AL119" i="8"/>
  <c r="AL115" i="8"/>
  <c r="AL37" i="8"/>
  <c r="AL48" i="8"/>
  <c r="AL51" i="8"/>
  <c r="AL97" i="8"/>
  <c r="AL41" i="8"/>
  <c r="AM28" i="8"/>
  <c r="AL65" i="8"/>
  <c r="AL46" i="8"/>
  <c r="AL36" i="8"/>
  <c r="AL35" i="8"/>
  <c r="AL44" i="8"/>
  <c r="AL60" i="8"/>
  <c r="AL61" i="8"/>
  <c r="AL30" i="8"/>
  <c r="AL88" i="8"/>
  <c r="AL89" i="8"/>
  <c r="AL64" i="8"/>
  <c r="AL57" i="8"/>
  <c r="AL45" i="8"/>
  <c r="AL42" i="8"/>
  <c r="AL58" i="8"/>
  <c r="AL74" i="8"/>
  <c r="AL78" i="8"/>
  <c r="AL73" i="8"/>
  <c r="AL111" i="8"/>
  <c r="AL90" i="8"/>
  <c r="AL82" i="8"/>
  <c r="AL68" i="8"/>
  <c r="AL38" i="8"/>
  <c r="AL55" i="8"/>
  <c r="AL72" i="8"/>
  <c r="AL87" i="8"/>
  <c r="AL92" i="8"/>
  <c r="AL104" i="8"/>
  <c r="AL43" i="8"/>
  <c r="AL94" i="8"/>
  <c r="AL77" i="8"/>
  <c r="AL100" i="8"/>
  <c r="AL122" i="8"/>
  <c r="AL101" i="8"/>
  <c r="AL106" i="8"/>
  <c r="AL110" i="8"/>
  <c r="AL117" i="8"/>
  <c r="AL33" i="8"/>
  <c r="AL62" i="8"/>
  <c r="AL83" i="8"/>
  <c r="AL116" i="8"/>
  <c r="AL34" i="8"/>
  <c r="AL80" i="8"/>
  <c r="AL96" i="8"/>
  <c r="AL54" i="8"/>
  <c r="AL71" i="8"/>
  <c r="AL102" i="8"/>
  <c r="AL113" i="8"/>
  <c r="AL99" i="8"/>
  <c r="AL67" i="8"/>
  <c r="AL85" i="8"/>
  <c r="AL107" i="8"/>
  <c r="AL52" i="8"/>
  <c r="AL123" i="8"/>
  <c r="AL108" i="8"/>
  <c r="AL105" i="8"/>
  <c r="AL47" i="8"/>
  <c r="AL49" i="8"/>
  <c r="AL79" i="8"/>
  <c r="AL56" i="8"/>
  <c r="AL112" i="8"/>
  <c r="AL86" i="8"/>
  <c r="AL120" i="8"/>
  <c r="AL93" i="8"/>
  <c r="AL81" i="8"/>
  <c r="AL118" i="8"/>
  <c r="AL91" i="8"/>
  <c r="AL84" i="8"/>
  <c r="AL31" i="8"/>
  <c r="AL76" i="8"/>
  <c r="AL69" i="8"/>
  <c r="AL98" i="8"/>
  <c r="AL32" i="8"/>
  <c r="AL70" i="8"/>
  <c r="AL95" i="8"/>
  <c r="AL109" i="8"/>
  <c r="AL75" i="8"/>
  <c r="AK139" i="8"/>
  <c r="AM53" i="8" l="1"/>
  <c r="AM35" i="8"/>
  <c r="AM123" i="8"/>
  <c r="AM124" i="8"/>
  <c r="AM37" i="8"/>
  <c r="AM44" i="8"/>
  <c r="AM51" i="8"/>
  <c r="AM80" i="8"/>
  <c r="AM59" i="8"/>
  <c r="AM77" i="8"/>
  <c r="AM61" i="8"/>
  <c r="AM50" i="8"/>
  <c r="AM33" i="8"/>
  <c r="AM36" i="8"/>
  <c r="AM49" i="8"/>
  <c r="AM60" i="8"/>
  <c r="AM64" i="8"/>
  <c r="AM114" i="8"/>
  <c r="AM90" i="8"/>
  <c r="AM70" i="8"/>
  <c r="AM75" i="8"/>
  <c r="AM55" i="8"/>
  <c r="AM41" i="8"/>
  <c r="AM47" i="8"/>
  <c r="AM58" i="8"/>
  <c r="AM73" i="8"/>
  <c r="AM74" i="8"/>
  <c r="AM45" i="8"/>
  <c r="AM29" i="8"/>
  <c r="AM76" i="8"/>
  <c r="AM78" i="8"/>
  <c r="AM67" i="8"/>
  <c r="AM48" i="8"/>
  <c r="AM56" i="8"/>
  <c r="AM71" i="8"/>
  <c r="AM85" i="8"/>
  <c r="AM82" i="8"/>
  <c r="AM57" i="8"/>
  <c r="AM68" i="8"/>
  <c r="AM39" i="8"/>
  <c r="AM86" i="8"/>
  <c r="AM72" i="8"/>
  <c r="AM54" i="8"/>
  <c r="AM69" i="8"/>
  <c r="AM83" i="8"/>
  <c r="AM97" i="8"/>
  <c r="AM94" i="8"/>
  <c r="AM84" i="8"/>
  <c r="AM96" i="8"/>
  <c r="AM42" i="8"/>
  <c r="AM98" i="8"/>
  <c r="AM99" i="8"/>
  <c r="AM101" i="8"/>
  <c r="AM88" i="8"/>
  <c r="AM62" i="8"/>
  <c r="AM112" i="8"/>
  <c r="AM113" i="8"/>
  <c r="AM40" i="8"/>
  <c r="AM120" i="8"/>
  <c r="AM63" i="8"/>
  <c r="AM111" i="8"/>
  <c r="AM119" i="8"/>
  <c r="AM46" i="8"/>
  <c r="AN28" i="8"/>
  <c r="AM92" i="8"/>
  <c r="AM66" i="8"/>
  <c r="AM95" i="8"/>
  <c r="AM103" i="8"/>
  <c r="AM30" i="8"/>
  <c r="AM106" i="8"/>
  <c r="AM79" i="8"/>
  <c r="AM102" i="8"/>
  <c r="AM118" i="8"/>
  <c r="AM108" i="8"/>
  <c r="AM31" i="8"/>
  <c r="AM109" i="8"/>
  <c r="AM38" i="8"/>
  <c r="AM52" i="8"/>
  <c r="AM34" i="8"/>
  <c r="AM91" i="8"/>
  <c r="AM105" i="8"/>
  <c r="AM117" i="8"/>
  <c r="AM121" i="8"/>
  <c r="AM115" i="8"/>
  <c r="AM104" i="8"/>
  <c r="AM122" i="8"/>
  <c r="AM107" i="8"/>
  <c r="AM93" i="8"/>
  <c r="AM43" i="8"/>
  <c r="AM87" i="8"/>
  <c r="AM89" i="8"/>
  <c r="AM100" i="8"/>
  <c r="AM81" i="8"/>
  <c r="AM32" i="8"/>
  <c r="AM110" i="8"/>
  <c r="AM116" i="8"/>
  <c r="AM65" i="8"/>
  <c r="AL139" i="8"/>
  <c r="AM139" i="8" l="1"/>
  <c r="AN68" i="8"/>
  <c r="AN93" i="8"/>
  <c r="AN78" i="8"/>
  <c r="AN71" i="8"/>
  <c r="AN83" i="8"/>
  <c r="AN98" i="8"/>
  <c r="AN95" i="8"/>
  <c r="AN74" i="8"/>
  <c r="AN73" i="8"/>
  <c r="AN52" i="8"/>
  <c r="AN50" i="8"/>
  <c r="AN94" i="8"/>
  <c r="AN70" i="8"/>
  <c r="AN108" i="8"/>
  <c r="AN57" i="8"/>
  <c r="AN88" i="8"/>
  <c r="AN103" i="8"/>
  <c r="AN97" i="8"/>
  <c r="AN80" i="8"/>
  <c r="AN66" i="8"/>
  <c r="AN75" i="8"/>
  <c r="AN29" i="8"/>
  <c r="AN40" i="8"/>
  <c r="AN37" i="8"/>
  <c r="AN65" i="8"/>
  <c r="AN117" i="8"/>
  <c r="AN96" i="8"/>
  <c r="AN105" i="8"/>
  <c r="AN101" i="8"/>
  <c r="AN79" i="8"/>
  <c r="AN109" i="8"/>
  <c r="AN51" i="8"/>
  <c r="AN84" i="8"/>
  <c r="AN77" i="8"/>
  <c r="AN120" i="8"/>
  <c r="AN119" i="8"/>
  <c r="AN100" i="8"/>
  <c r="AN107" i="8"/>
  <c r="AN89" i="8"/>
  <c r="AN112" i="8"/>
  <c r="AN87" i="8"/>
  <c r="AN46" i="8"/>
  <c r="AN62" i="8"/>
  <c r="AN45" i="8"/>
  <c r="AN35" i="8"/>
  <c r="AN85" i="8"/>
  <c r="AN43" i="8"/>
  <c r="AN58" i="8"/>
  <c r="AN54" i="8"/>
  <c r="AN56" i="8"/>
  <c r="AN41" i="8"/>
  <c r="AN113" i="8"/>
  <c r="AN82" i="8"/>
  <c r="AN116" i="8"/>
  <c r="AN64" i="8"/>
  <c r="AN69" i="8"/>
  <c r="AN49" i="8"/>
  <c r="AN110" i="8"/>
  <c r="AN104" i="8"/>
  <c r="AN60" i="8"/>
  <c r="AN86" i="8"/>
  <c r="AN124" i="8"/>
  <c r="AN59" i="8"/>
  <c r="AN118" i="8"/>
  <c r="AN30" i="8"/>
  <c r="AN115" i="8"/>
  <c r="AN99" i="8"/>
  <c r="AN34" i="8"/>
  <c r="AN102" i="8"/>
  <c r="AN31" i="8"/>
  <c r="AN61" i="8"/>
  <c r="AN72" i="8"/>
  <c r="AN55" i="8"/>
  <c r="AN33" i="8"/>
  <c r="AN81" i="8"/>
  <c r="AN36" i="8"/>
  <c r="AN90" i="8"/>
  <c r="AN106" i="8"/>
  <c r="AN123" i="8"/>
  <c r="AN76" i="8"/>
  <c r="AN63" i="8"/>
  <c r="AN114" i="8"/>
  <c r="AN92" i="8"/>
  <c r="AN53" i="8"/>
  <c r="AN44" i="8"/>
  <c r="AN67" i="8"/>
  <c r="AN42" i="8"/>
  <c r="AN48" i="8"/>
  <c r="AN47" i="8"/>
  <c r="AN121" i="8"/>
  <c r="AO28" i="8"/>
  <c r="AN38" i="8"/>
  <c r="AN111" i="8"/>
  <c r="AN39" i="8"/>
  <c r="AN122" i="8"/>
  <c r="AN91" i="8"/>
  <c r="AN32" i="8"/>
  <c r="AN139" i="8" l="1"/>
  <c r="AO95" i="8"/>
  <c r="AO82" i="8"/>
  <c r="AO68" i="8"/>
  <c r="AO49" i="8"/>
  <c r="AO35" i="8"/>
  <c r="AO114" i="8"/>
  <c r="AO87" i="8"/>
  <c r="AO119" i="8"/>
  <c r="AO108" i="8"/>
  <c r="AO109" i="8"/>
  <c r="AO92" i="8"/>
  <c r="AO73" i="8"/>
  <c r="AO59" i="8"/>
  <c r="AO42" i="8"/>
  <c r="AO121" i="8"/>
  <c r="AO116" i="8"/>
  <c r="AO44" i="8"/>
  <c r="AO57" i="8"/>
  <c r="AO102" i="8"/>
  <c r="AO97" i="8"/>
  <c r="AO84" i="8"/>
  <c r="AO65" i="8"/>
  <c r="AP28" i="8"/>
  <c r="AO29" i="8"/>
  <c r="AO36" i="8"/>
  <c r="AO54" i="8"/>
  <c r="AO104" i="8"/>
  <c r="AO63" i="8"/>
  <c r="AO118" i="8"/>
  <c r="AO111" i="8"/>
  <c r="AO94" i="8"/>
  <c r="AO76" i="8"/>
  <c r="AO52" i="8"/>
  <c r="AO37" i="8"/>
  <c r="AO67" i="8"/>
  <c r="AO80" i="8"/>
  <c r="AO79" i="8"/>
  <c r="AO31" i="8"/>
  <c r="AO47" i="8"/>
  <c r="AO101" i="8"/>
  <c r="AO48" i="8"/>
  <c r="AO78" i="8"/>
  <c r="AO64" i="8"/>
  <c r="AO40" i="8"/>
  <c r="AO56" i="8"/>
  <c r="AO100" i="8"/>
  <c r="AO70" i="8"/>
  <c r="AO93" i="8"/>
  <c r="AO30" i="8"/>
  <c r="AO45" i="8"/>
  <c r="AO99" i="8"/>
  <c r="AO115" i="8"/>
  <c r="AO88" i="8"/>
  <c r="AO98" i="8"/>
  <c r="AO77" i="8"/>
  <c r="AO53" i="8"/>
  <c r="AO113" i="8"/>
  <c r="AO124" i="8"/>
  <c r="AO112" i="8"/>
  <c r="AO123" i="8"/>
  <c r="AO83" i="8"/>
  <c r="AO62" i="8"/>
  <c r="AO60" i="8"/>
  <c r="AO110" i="8"/>
  <c r="AO58" i="8"/>
  <c r="AO39" i="8"/>
  <c r="AO46" i="8"/>
  <c r="AO69" i="8"/>
  <c r="AO122" i="8"/>
  <c r="AO43" i="8"/>
  <c r="AO85" i="8"/>
  <c r="AO117" i="8"/>
  <c r="AO61" i="8"/>
  <c r="AO41" i="8"/>
  <c r="AO89" i="8"/>
  <c r="AO120" i="8"/>
  <c r="AO38" i="8"/>
  <c r="AO34" i="8"/>
  <c r="AO51" i="8"/>
  <c r="AO55" i="8"/>
  <c r="AO86" i="8"/>
  <c r="AO103" i="8"/>
  <c r="AO90" i="8"/>
  <c r="AO75" i="8"/>
  <c r="AO32" i="8"/>
  <c r="AO106" i="8"/>
  <c r="AO33" i="8"/>
  <c r="AO96" i="8"/>
  <c r="AO74" i="8"/>
  <c r="AO91" i="8"/>
  <c r="AO66" i="8"/>
  <c r="AO107" i="8"/>
  <c r="AO81" i="8"/>
  <c r="AO71" i="8"/>
  <c r="AO72" i="8"/>
  <c r="AO105" i="8"/>
  <c r="AO50" i="8"/>
  <c r="AO139" i="8" l="1"/>
  <c r="AP114" i="8"/>
  <c r="AP106" i="8"/>
  <c r="AP85" i="8"/>
  <c r="AP70" i="8"/>
  <c r="AP52" i="8"/>
  <c r="AP38" i="8"/>
  <c r="AP115" i="8"/>
  <c r="AP63" i="8"/>
  <c r="AP119" i="8"/>
  <c r="AP99" i="8"/>
  <c r="AP96" i="8"/>
  <c r="AP78" i="8"/>
  <c r="AP59" i="8"/>
  <c r="AP62" i="8"/>
  <c r="AP33" i="8"/>
  <c r="AP116" i="8"/>
  <c r="AP108" i="8"/>
  <c r="AP69" i="8"/>
  <c r="AP67" i="8"/>
  <c r="AP54" i="8"/>
  <c r="AP41" i="8"/>
  <c r="AP123" i="8"/>
  <c r="AP103" i="8"/>
  <c r="AP98" i="8"/>
  <c r="AP77" i="8"/>
  <c r="AP48" i="8"/>
  <c r="AP66" i="8"/>
  <c r="AP120" i="8"/>
  <c r="AP44" i="8"/>
  <c r="AP60" i="8"/>
  <c r="AP90" i="8"/>
  <c r="AP40" i="8"/>
  <c r="AP55" i="8"/>
  <c r="AP76" i="8"/>
  <c r="AP111" i="8"/>
  <c r="AP53" i="8"/>
  <c r="AP79" i="8"/>
  <c r="AP105" i="8"/>
  <c r="AP102" i="8"/>
  <c r="AP68" i="8"/>
  <c r="AP118" i="8"/>
  <c r="AP36" i="8"/>
  <c r="AP75" i="8"/>
  <c r="AP97" i="8"/>
  <c r="AP35" i="8"/>
  <c r="AP100" i="8"/>
  <c r="AP73" i="8"/>
  <c r="AP121" i="8"/>
  <c r="AP47" i="8"/>
  <c r="AP112" i="8"/>
  <c r="AP30" i="8"/>
  <c r="AP51" i="8"/>
  <c r="AP95" i="8"/>
  <c r="AP64" i="8"/>
  <c r="AP83" i="8"/>
  <c r="AP34" i="8"/>
  <c r="AP88" i="8"/>
  <c r="AP107" i="8"/>
  <c r="AQ28" i="8"/>
  <c r="AP122" i="8"/>
  <c r="AP113" i="8"/>
  <c r="AP92" i="8"/>
  <c r="AP43" i="8"/>
  <c r="AP57" i="8"/>
  <c r="AP109" i="8"/>
  <c r="AP81" i="8"/>
  <c r="AP93" i="8"/>
  <c r="AP61" i="8"/>
  <c r="AP91" i="8"/>
  <c r="AP89" i="8"/>
  <c r="AP72" i="8"/>
  <c r="AP94" i="8"/>
  <c r="AP117" i="8"/>
  <c r="AP74" i="8"/>
  <c r="AP31" i="8"/>
  <c r="AP29" i="8"/>
  <c r="AP124" i="8"/>
  <c r="AP50" i="8"/>
  <c r="AP37" i="8"/>
  <c r="AP39" i="8"/>
  <c r="AP42" i="8"/>
  <c r="AP46" i="8"/>
  <c r="AP82" i="8"/>
  <c r="AP86" i="8"/>
  <c r="AP104" i="8"/>
  <c r="AP32" i="8"/>
  <c r="AP56" i="8"/>
  <c r="AP80" i="8"/>
  <c r="AP45" i="8"/>
  <c r="AP49" i="8"/>
  <c r="AP110" i="8"/>
  <c r="AP58" i="8"/>
  <c r="AP101" i="8"/>
  <c r="AP84" i="8"/>
  <c r="AP65" i="8"/>
  <c r="AP71" i="8"/>
  <c r="AP87" i="8"/>
  <c r="AQ70" i="8" l="1"/>
  <c r="AQ54" i="8"/>
  <c r="AQ42" i="8"/>
  <c r="AQ121" i="8"/>
  <c r="AQ107" i="8"/>
  <c r="AQ90" i="8"/>
  <c r="AQ37" i="8"/>
  <c r="AQ79" i="8"/>
  <c r="AQ31" i="8"/>
  <c r="AR28" i="8"/>
  <c r="AQ83" i="8"/>
  <c r="AQ66" i="8"/>
  <c r="AQ44" i="8"/>
  <c r="AQ33" i="8"/>
  <c r="AQ114" i="8"/>
  <c r="AQ104" i="8"/>
  <c r="AQ71" i="8"/>
  <c r="AQ92" i="8"/>
  <c r="AQ82" i="8"/>
  <c r="AQ58" i="8"/>
  <c r="AQ89" i="8"/>
  <c r="AQ72" i="8"/>
  <c r="AQ55" i="8"/>
  <c r="AQ41" i="8"/>
  <c r="AQ123" i="8"/>
  <c r="AQ99" i="8"/>
  <c r="AQ97" i="8"/>
  <c r="AQ118" i="8"/>
  <c r="AQ47" i="8"/>
  <c r="AQ61" i="8"/>
  <c r="AQ94" i="8"/>
  <c r="AQ85" i="8"/>
  <c r="AQ67" i="8"/>
  <c r="AQ46" i="8"/>
  <c r="AQ36" i="8"/>
  <c r="AQ120" i="8"/>
  <c r="AQ103" i="8"/>
  <c r="AQ45" i="8"/>
  <c r="AQ102" i="8"/>
  <c r="AQ108" i="8"/>
  <c r="AQ91" i="8"/>
  <c r="AQ74" i="8"/>
  <c r="AQ57" i="8"/>
  <c r="AQ43" i="8"/>
  <c r="AQ30" i="8"/>
  <c r="AQ38" i="8"/>
  <c r="AQ53" i="8"/>
  <c r="AQ48" i="8"/>
  <c r="AQ62" i="8"/>
  <c r="AQ124" i="8"/>
  <c r="AQ93" i="8"/>
  <c r="AQ59" i="8"/>
  <c r="AQ88" i="8"/>
  <c r="AQ122" i="8"/>
  <c r="AQ32" i="8"/>
  <c r="AQ98" i="8"/>
  <c r="AQ73" i="8"/>
  <c r="AQ116" i="8"/>
  <c r="AQ106" i="8"/>
  <c r="AQ35" i="8"/>
  <c r="AQ112" i="8"/>
  <c r="AQ76" i="8"/>
  <c r="AQ39" i="8"/>
  <c r="AQ111" i="8"/>
  <c r="AQ50" i="8"/>
  <c r="AQ113" i="8"/>
  <c r="AQ84" i="8"/>
  <c r="AQ51" i="8"/>
  <c r="AQ119" i="8"/>
  <c r="AQ63" i="8"/>
  <c r="AQ109" i="8"/>
  <c r="AQ68" i="8"/>
  <c r="AQ69" i="8"/>
  <c r="AQ80" i="8"/>
  <c r="AQ34" i="8"/>
  <c r="AQ115" i="8"/>
  <c r="AQ87" i="8"/>
  <c r="AQ75" i="8"/>
  <c r="AQ64" i="8"/>
  <c r="AQ81" i="8"/>
  <c r="AQ77" i="8"/>
  <c r="AQ101" i="8"/>
  <c r="AQ56" i="8"/>
  <c r="AQ95" i="8"/>
  <c r="AQ29" i="8"/>
  <c r="AQ96" i="8"/>
  <c r="AQ40" i="8"/>
  <c r="AQ86" i="8"/>
  <c r="AQ78" i="8"/>
  <c r="AQ60" i="8"/>
  <c r="AQ65" i="8"/>
  <c r="AQ105" i="8"/>
  <c r="AQ117" i="8"/>
  <c r="AQ100" i="8"/>
  <c r="AQ52" i="8"/>
  <c r="AQ49" i="8"/>
  <c r="AQ110" i="8"/>
  <c r="AP139" i="8"/>
  <c r="AR95" i="8" l="1"/>
  <c r="AR75" i="8"/>
  <c r="AR72" i="8"/>
  <c r="AR70" i="8"/>
  <c r="AR109" i="8"/>
  <c r="AR110" i="8"/>
  <c r="AR49" i="8"/>
  <c r="AR98" i="8"/>
  <c r="AR90" i="8"/>
  <c r="AR30" i="8"/>
  <c r="AR100" i="8"/>
  <c r="AR57" i="8"/>
  <c r="AR91" i="8"/>
  <c r="AR97" i="8"/>
  <c r="AR112" i="8"/>
  <c r="AR37" i="8"/>
  <c r="AR65" i="8"/>
  <c r="AR29" i="8"/>
  <c r="AR104" i="8"/>
  <c r="AR94" i="8"/>
  <c r="AR67" i="8"/>
  <c r="AR86" i="8"/>
  <c r="AR107" i="8"/>
  <c r="AR106" i="8"/>
  <c r="AR47" i="8"/>
  <c r="AR103" i="8"/>
  <c r="AR85" i="8"/>
  <c r="AR88" i="8"/>
  <c r="AR115" i="8"/>
  <c r="AR77" i="8"/>
  <c r="AR113" i="8"/>
  <c r="AR96" i="8"/>
  <c r="AR36" i="8"/>
  <c r="AR64" i="8"/>
  <c r="AR114" i="8"/>
  <c r="AR102" i="8"/>
  <c r="AR123" i="8"/>
  <c r="AR62" i="8"/>
  <c r="AR122" i="8"/>
  <c r="AR55" i="8"/>
  <c r="AR108" i="8"/>
  <c r="AR124" i="8"/>
  <c r="AR43" i="8"/>
  <c r="AR84" i="8"/>
  <c r="AR48" i="8"/>
  <c r="AR32" i="8"/>
  <c r="AR52" i="8"/>
  <c r="AR42" i="8"/>
  <c r="AR31" i="8"/>
  <c r="AR83" i="8"/>
  <c r="AR105" i="8"/>
  <c r="AR46" i="8"/>
  <c r="AR45" i="8"/>
  <c r="AR38" i="8"/>
  <c r="AR101" i="8"/>
  <c r="AR118" i="8"/>
  <c r="AR71" i="8"/>
  <c r="AR56" i="8"/>
  <c r="AR41" i="8"/>
  <c r="AR111" i="8"/>
  <c r="AR50" i="8"/>
  <c r="AR93" i="8"/>
  <c r="AR60" i="8"/>
  <c r="AR54" i="8"/>
  <c r="AR117" i="8"/>
  <c r="AR87" i="8"/>
  <c r="AR89" i="8"/>
  <c r="AR66" i="8"/>
  <c r="AR51" i="8"/>
  <c r="AR59" i="8"/>
  <c r="AR119" i="8"/>
  <c r="AR82" i="8"/>
  <c r="AR80" i="8"/>
  <c r="AR99" i="8"/>
  <c r="AR44" i="8"/>
  <c r="AR34" i="8"/>
  <c r="AR61" i="8"/>
  <c r="AR35" i="8"/>
  <c r="AR68" i="8"/>
  <c r="AR78" i="8"/>
  <c r="AR79" i="8"/>
  <c r="AR92" i="8"/>
  <c r="AR58" i="8"/>
  <c r="AR120" i="8"/>
  <c r="AR63" i="8"/>
  <c r="AR33" i="8"/>
  <c r="AS28" i="8"/>
  <c r="AR81" i="8"/>
  <c r="AR69" i="8"/>
  <c r="AR121" i="8"/>
  <c r="AR53" i="8"/>
  <c r="AR74" i="8"/>
  <c r="AR116" i="8"/>
  <c r="AR39" i="8"/>
  <c r="AR76" i="8"/>
  <c r="AR40" i="8"/>
  <c r="AR73" i="8"/>
  <c r="AQ139" i="8"/>
  <c r="AR139" i="8" l="1"/>
  <c r="AS95" i="8"/>
  <c r="AS75" i="8"/>
  <c r="AS110" i="8"/>
  <c r="AS116" i="8"/>
  <c r="AS122" i="8"/>
  <c r="AS37" i="8"/>
  <c r="AS32" i="8"/>
  <c r="AS61" i="8"/>
  <c r="AS30" i="8"/>
  <c r="AS109" i="8"/>
  <c r="AS85" i="8"/>
  <c r="AS123" i="8"/>
  <c r="AS124" i="8"/>
  <c r="AS35" i="8"/>
  <c r="AS46" i="8"/>
  <c r="AS49" i="8"/>
  <c r="AS77" i="8"/>
  <c r="AS78" i="8"/>
  <c r="AS98" i="8"/>
  <c r="AS91" i="8"/>
  <c r="AS33" i="8"/>
  <c r="AS34" i="8"/>
  <c r="AS44" i="8"/>
  <c r="AS65" i="8"/>
  <c r="AS73" i="8"/>
  <c r="AS111" i="8"/>
  <c r="AS38" i="8"/>
  <c r="AS62" i="8"/>
  <c r="AS120" i="8"/>
  <c r="AS105" i="8"/>
  <c r="AS43" i="8"/>
  <c r="AS42" i="8"/>
  <c r="AS59" i="8"/>
  <c r="AS83" i="8"/>
  <c r="AS89" i="8"/>
  <c r="AS118" i="8"/>
  <c r="AS81" i="8"/>
  <c r="AS63" i="8"/>
  <c r="AS31" i="8"/>
  <c r="AS114" i="8"/>
  <c r="AT28" i="8"/>
  <c r="AS57" i="8"/>
  <c r="AS69" i="8"/>
  <c r="AS104" i="8"/>
  <c r="AS115" i="8"/>
  <c r="AS48" i="8"/>
  <c r="AS41" i="8"/>
  <c r="AS45" i="8"/>
  <c r="AS70" i="8"/>
  <c r="AS87" i="8"/>
  <c r="AS67" i="8"/>
  <c r="AS97" i="8"/>
  <c r="AS54" i="8"/>
  <c r="AS79" i="8"/>
  <c r="AS107" i="8"/>
  <c r="AS93" i="8"/>
  <c r="AS99" i="8"/>
  <c r="AS60" i="8"/>
  <c r="AS94" i="8"/>
  <c r="AS112" i="8"/>
  <c r="AS117" i="8"/>
  <c r="AS113" i="8"/>
  <c r="AS74" i="8"/>
  <c r="AS100" i="8"/>
  <c r="AS102" i="8"/>
  <c r="AS36" i="8"/>
  <c r="AS50" i="8"/>
  <c r="AS71" i="8"/>
  <c r="AS80" i="8"/>
  <c r="AS96" i="8"/>
  <c r="AS66" i="8"/>
  <c r="AS64" i="8"/>
  <c r="AS101" i="8"/>
  <c r="AS106" i="8"/>
  <c r="AS53" i="8"/>
  <c r="AS39" i="8"/>
  <c r="AS55" i="8"/>
  <c r="AS72" i="8"/>
  <c r="AS52" i="8"/>
  <c r="AS58" i="8"/>
  <c r="AS84" i="8"/>
  <c r="AS119" i="8"/>
  <c r="AS82" i="8"/>
  <c r="AS103" i="8"/>
  <c r="AS121" i="8"/>
  <c r="AS56" i="8"/>
  <c r="AS29" i="8"/>
  <c r="AS88" i="8"/>
  <c r="AS76" i="8"/>
  <c r="AS51" i="8"/>
  <c r="AS90" i="8"/>
  <c r="AS40" i="8"/>
  <c r="AS92" i="8"/>
  <c r="AS68" i="8"/>
  <c r="AS47" i="8"/>
  <c r="AS86" i="8"/>
  <c r="AS108" i="8"/>
  <c r="AS139" i="8" l="1"/>
  <c r="AT62" i="8"/>
  <c r="AT119" i="8"/>
  <c r="AT122" i="8"/>
  <c r="AT124" i="8"/>
  <c r="AT91" i="8"/>
  <c r="AT110" i="8"/>
  <c r="AT45" i="8"/>
  <c r="AT36" i="8"/>
  <c r="AT115" i="8"/>
  <c r="AT93" i="8"/>
  <c r="AT63" i="8"/>
  <c r="AT33" i="8"/>
  <c r="AT123" i="8"/>
  <c r="AT30" i="8"/>
  <c r="AT109" i="8"/>
  <c r="AT107" i="8"/>
  <c r="AT70" i="8"/>
  <c r="AT55" i="8"/>
  <c r="AT40" i="8"/>
  <c r="AT42" i="8"/>
  <c r="AT54" i="8"/>
  <c r="AT41" i="8"/>
  <c r="AT37" i="8"/>
  <c r="AT39" i="8"/>
  <c r="AT29" i="8"/>
  <c r="AT105" i="8"/>
  <c r="AT92" i="8"/>
  <c r="AT80" i="8"/>
  <c r="AT68" i="8"/>
  <c r="AT99" i="8"/>
  <c r="AT56" i="8"/>
  <c r="AT46" i="8"/>
  <c r="AT49" i="8"/>
  <c r="AT44" i="8"/>
  <c r="AT38" i="8"/>
  <c r="AT32" i="8"/>
  <c r="AT97" i="8"/>
  <c r="AT86" i="8"/>
  <c r="AT120" i="8"/>
  <c r="AT77" i="8"/>
  <c r="AT71" i="8"/>
  <c r="AT60" i="8"/>
  <c r="AT59" i="8"/>
  <c r="AT51" i="8"/>
  <c r="AT48" i="8"/>
  <c r="AT43" i="8"/>
  <c r="AT121" i="8"/>
  <c r="AT114" i="8"/>
  <c r="AT73" i="8"/>
  <c r="AT118" i="8"/>
  <c r="AT82" i="8"/>
  <c r="AT69" i="8"/>
  <c r="AT67" i="8"/>
  <c r="AU28" i="8"/>
  <c r="AT58" i="8"/>
  <c r="AT94" i="8"/>
  <c r="AT81" i="8"/>
  <c r="AT90" i="8"/>
  <c r="AT66" i="8"/>
  <c r="AT104" i="8"/>
  <c r="AT100" i="8"/>
  <c r="AT95" i="8"/>
  <c r="AT84" i="8"/>
  <c r="AT101" i="8"/>
  <c r="AT108" i="8"/>
  <c r="AT117" i="8"/>
  <c r="AT112" i="8"/>
  <c r="AT102" i="8"/>
  <c r="AT98" i="8"/>
  <c r="AT76" i="8"/>
  <c r="AT78" i="8"/>
  <c r="AT34" i="8"/>
  <c r="AT116" i="8"/>
  <c r="AT85" i="8"/>
  <c r="AT35" i="8"/>
  <c r="AT72" i="8"/>
  <c r="AT50" i="8"/>
  <c r="AT57" i="8"/>
  <c r="AT74" i="8"/>
  <c r="AT47" i="8"/>
  <c r="AT64" i="8"/>
  <c r="AT53" i="8"/>
  <c r="AT106" i="8"/>
  <c r="AT87" i="8"/>
  <c r="AT75" i="8"/>
  <c r="AT52" i="8"/>
  <c r="AT113" i="8"/>
  <c r="AT31" i="8"/>
  <c r="AT79" i="8"/>
  <c r="AT88" i="8"/>
  <c r="AT96" i="8"/>
  <c r="AT89" i="8"/>
  <c r="AT65" i="8"/>
  <c r="AT111" i="8"/>
  <c r="AT103" i="8"/>
  <c r="AT61" i="8"/>
  <c r="AT83" i="8"/>
  <c r="AT139" i="8" l="1"/>
  <c r="AU56" i="8"/>
  <c r="AU39" i="8"/>
  <c r="AU34" i="8"/>
  <c r="AU33" i="8"/>
  <c r="AU123" i="8"/>
  <c r="AU121" i="8"/>
  <c r="AU102" i="8"/>
  <c r="AU105" i="8"/>
  <c r="AU70" i="8"/>
  <c r="AU51" i="8"/>
  <c r="AU61" i="8"/>
  <c r="AU48" i="8"/>
  <c r="AU41" i="8"/>
  <c r="AU43" i="8"/>
  <c r="AU36" i="8"/>
  <c r="AU37" i="8"/>
  <c r="AU122" i="8"/>
  <c r="AU29" i="8"/>
  <c r="AU30" i="8"/>
  <c r="AU52" i="8"/>
  <c r="AU66" i="8"/>
  <c r="AU53" i="8"/>
  <c r="AU54" i="8"/>
  <c r="AV28" i="8"/>
  <c r="AU45" i="8"/>
  <c r="AU47" i="8"/>
  <c r="AU42" i="8"/>
  <c r="AU46" i="8"/>
  <c r="AU78" i="8"/>
  <c r="AU100" i="8"/>
  <c r="AU83" i="8"/>
  <c r="AU64" i="8"/>
  <c r="AU67" i="8"/>
  <c r="AU55" i="8"/>
  <c r="AU58" i="8"/>
  <c r="AU59" i="8"/>
  <c r="AU73" i="8"/>
  <c r="AU60" i="8"/>
  <c r="AU31" i="8"/>
  <c r="AU57" i="8"/>
  <c r="AU89" i="8"/>
  <c r="AU72" i="8"/>
  <c r="AU74" i="8"/>
  <c r="AU69" i="8"/>
  <c r="AU71" i="8"/>
  <c r="AU85" i="8"/>
  <c r="AU86" i="8"/>
  <c r="AU81" i="8"/>
  <c r="AU93" i="8"/>
  <c r="AU109" i="8"/>
  <c r="AU88" i="8"/>
  <c r="AU82" i="8"/>
  <c r="AU120" i="8"/>
  <c r="AU116" i="8"/>
  <c r="AU104" i="8"/>
  <c r="AU92" i="8"/>
  <c r="AU40" i="8"/>
  <c r="AU35" i="8"/>
  <c r="AU62" i="8"/>
  <c r="AU115" i="8"/>
  <c r="AU108" i="8"/>
  <c r="AU65" i="8"/>
  <c r="AU68" i="8"/>
  <c r="AU63" i="8"/>
  <c r="AU124" i="8"/>
  <c r="AU111" i="8"/>
  <c r="AU87" i="8"/>
  <c r="AU118" i="8"/>
  <c r="AU107" i="8"/>
  <c r="AU106" i="8"/>
  <c r="AU94" i="8"/>
  <c r="AU49" i="8"/>
  <c r="AU50" i="8"/>
  <c r="AU119" i="8"/>
  <c r="AU91" i="8"/>
  <c r="AU77" i="8"/>
  <c r="AU98" i="8"/>
  <c r="AU96" i="8"/>
  <c r="AU79" i="8"/>
  <c r="AU38" i="8"/>
  <c r="AU110" i="8"/>
  <c r="AU84" i="8"/>
  <c r="AU95" i="8"/>
  <c r="AU97" i="8"/>
  <c r="AU112" i="8"/>
  <c r="AU113" i="8"/>
  <c r="AU80" i="8"/>
  <c r="AU101" i="8"/>
  <c r="AU75" i="8"/>
  <c r="AU44" i="8"/>
  <c r="AU32" i="8"/>
  <c r="AU76" i="8"/>
  <c r="AU103" i="8"/>
  <c r="AU90" i="8"/>
  <c r="AU114" i="8"/>
  <c r="AU99" i="8"/>
  <c r="AU117" i="8"/>
  <c r="AU139" i="8" l="1"/>
  <c r="AV72" i="8"/>
  <c r="AV71" i="8"/>
  <c r="AV73" i="8"/>
  <c r="AV58" i="8"/>
  <c r="AV51" i="8"/>
  <c r="AV49" i="8"/>
  <c r="AV121" i="8"/>
  <c r="AV124" i="8"/>
  <c r="AV79" i="8"/>
  <c r="AV90" i="8"/>
  <c r="AV76" i="8"/>
  <c r="AV78" i="8"/>
  <c r="AV83" i="8"/>
  <c r="AV68" i="8"/>
  <c r="AV64" i="8"/>
  <c r="AV57" i="8"/>
  <c r="AV37" i="8"/>
  <c r="AV46" i="8"/>
  <c r="AV112" i="8"/>
  <c r="AV115" i="8"/>
  <c r="AV97" i="8"/>
  <c r="AV95" i="8"/>
  <c r="AV99" i="8"/>
  <c r="AV86" i="8"/>
  <c r="AV74" i="8"/>
  <c r="AV81" i="8"/>
  <c r="AV66" i="8"/>
  <c r="AV54" i="8"/>
  <c r="AV91" i="8"/>
  <c r="AV92" i="8"/>
  <c r="AV103" i="8"/>
  <c r="AV105" i="8"/>
  <c r="AV107" i="8"/>
  <c r="AV101" i="8"/>
  <c r="AV75" i="8"/>
  <c r="AV96" i="8"/>
  <c r="AV80" i="8"/>
  <c r="AV77" i="8"/>
  <c r="AV35" i="8"/>
  <c r="AV82" i="8"/>
  <c r="AV100" i="8"/>
  <c r="AV102" i="8"/>
  <c r="AV109" i="8"/>
  <c r="AV84" i="8"/>
  <c r="AV119" i="8"/>
  <c r="AV113" i="8"/>
  <c r="AV87" i="8"/>
  <c r="AV93" i="8"/>
  <c r="AV63" i="8"/>
  <c r="AV116" i="8"/>
  <c r="AV122" i="8"/>
  <c r="AW28" i="8"/>
  <c r="AV32" i="8"/>
  <c r="AV62" i="8"/>
  <c r="AV33" i="8"/>
  <c r="AV30" i="8"/>
  <c r="AV59" i="8"/>
  <c r="AV43" i="8"/>
  <c r="AV53" i="8"/>
  <c r="AV41" i="8"/>
  <c r="AV40" i="8"/>
  <c r="AV70" i="8"/>
  <c r="AV69" i="8"/>
  <c r="AV60" i="8"/>
  <c r="AV55" i="8"/>
  <c r="AV47" i="8"/>
  <c r="AV98" i="8"/>
  <c r="AV118" i="8"/>
  <c r="AV34" i="8"/>
  <c r="AV38" i="8"/>
  <c r="AV108" i="8"/>
  <c r="AV65" i="8"/>
  <c r="AV50" i="8"/>
  <c r="AV61" i="8"/>
  <c r="AV42" i="8"/>
  <c r="AV67" i="8"/>
  <c r="AV123" i="8"/>
  <c r="AV36" i="8"/>
  <c r="AV94" i="8"/>
  <c r="AV114" i="8"/>
  <c r="AV29" i="8"/>
  <c r="AV44" i="8"/>
  <c r="AV45" i="8"/>
  <c r="AV89" i="8"/>
  <c r="AV117" i="8"/>
  <c r="AV111" i="8"/>
  <c r="AV48" i="8"/>
  <c r="AV110" i="8"/>
  <c r="AV88" i="8"/>
  <c r="AV56" i="8"/>
  <c r="AV120" i="8"/>
  <c r="AV39" i="8"/>
  <c r="AV104" i="8"/>
  <c r="AV106" i="8"/>
  <c r="AV31" i="8"/>
  <c r="AV52" i="8"/>
  <c r="AV85" i="8"/>
  <c r="AV139" i="8" l="1"/>
  <c r="AW80" i="8"/>
  <c r="AW60" i="8"/>
  <c r="AW50" i="8"/>
  <c r="AW31" i="8"/>
  <c r="AW104" i="8"/>
  <c r="AX28" i="8"/>
  <c r="AW113" i="8"/>
  <c r="AW84" i="8"/>
  <c r="AW124" i="8"/>
  <c r="AW46" i="8"/>
  <c r="AW85" i="8"/>
  <c r="AW67" i="8"/>
  <c r="AW53" i="8"/>
  <c r="AW41" i="8"/>
  <c r="AW118" i="8"/>
  <c r="AW51" i="8"/>
  <c r="AW122" i="8"/>
  <c r="AW99" i="8"/>
  <c r="AW86" i="8"/>
  <c r="AW44" i="8"/>
  <c r="AW91" i="8"/>
  <c r="AW77" i="8"/>
  <c r="AW58" i="8"/>
  <c r="AW49" i="8"/>
  <c r="AW33" i="8"/>
  <c r="AW72" i="8"/>
  <c r="AW36" i="8"/>
  <c r="AW106" i="8"/>
  <c r="AW30" i="8"/>
  <c r="AW105" i="8"/>
  <c r="AW87" i="8"/>
  <c r="AW69" i="8"/>
  <c r="AW55" i="8"/>
  <c r="AW43" i="8"/>
  <c r="AW83" i="8"/>
  <c r="AW59" i="8"/>
  <c r="AW34" i="8"/>
  <c r="AW96" i="8"/>
  <c r="AW114" i="8"/>
  <c r="AW93" i="8"/>
  <c r="AW81" i="8"/>
  <c r="AW66" i="8"/>
  <c r="AW45" i="8"/>
  <c r="AW103" i="8"/>
  <c r="AW75" i="8"/>
  <c r="AW47" i="8"/>
  <c r="AW35" i="8"/>
  <c r="AW62" i="8"/>
  <c r="AW116" i="8"/>
  <c r="AW82" i="8"/>
  <c r="AW37" i="8"/>
  <c r="AW112" i="8"/>
  <c r="AW54" i="8"/>
  <c r="AW121" i="8"/>
  <c r="AW90" i="8"/>
  <c r="AW56" i="8"/>
  <c r="AW76" i="8"/>
  <c r="AW64" i="8"/>
  <c r="AW32" i="8"/>
  <c r="AW97" i="8"/>
  <c r="AW73" i="8"/>
  <c r="AW110" i="8"/>
  <c r="AW74" i="8"/>
  <c r="AW40" i="8"/>
  <c r="AW111" i="8"/>
  <c r="AW92" i="8"/>
  <c r="AW78" i="8"/>
  <c r="AW38" i="8"/>
  <c r="AW109" i="8"/>
  <c r="AW98" i="8"/>
  <c r="AW120" i="8"/>
  <c r="AW89" i="8"/>
  <c r="AW123" i="8"/>
  <c r="AW68" i="8"/>
  <c r="AW63" i="8"/>
  <c r="AW71" i="8"/>
  <c r="AW65" i="8"/>
  <c r="AW119" i="8"/>
  <c r="AW70" i="8"/>
  <c r="AW61" i="8"/>
  <c r="AW29" i="8"/>
  <c r="AW79" i="8"/>
  <c r="AW57" i="8"/>
  <c r="AW48" i="8"/>
  <c r="AW115" i="8"/>
  <c r="AW101" i="8"/>
  <c r="AW88" i="8"/>
  <c r="AW94" i="8"/>
  <c r="AW42" i="8"/>
  <c r="AW108" i="8"/>
  <c r="AW52" i="8"/>
  <c r="AW107" i="8"/>
  <c r="AW100" i="8"/>
  <c r="AW39" i="8"/>
  <c r="AW117" i="8"/>
  <c r="AW102" i="8"/>
  <c r="AW95" i="8"/>
  <c r="AX112" i="8" l="1"/>
  <c r="AX92" i="8"/>
  <c r="AX69" i="8"/>
  <c r="AX55" i="8"/>
  <c r="AX38" i="8"/>
  <c r="AX110" i="8"/>
  <c r="AX78" i="8"/>
  <c r="AX40" i="8"/>
  <c r="AX122" i="8"/>
  <c r="AX113" i="8"/>
  <c r="AX97" i="8"/>
  <c r="AX81" i="8"/>
  <c r="AX64" i="8"/>
  <c r="AX50" i="8"/>
  <c r="AX89" i="8"/>
  <c r="AX100" i="8"/>
  <c r="AX58" i="8"/>
  <c r="AX71" i="8"/>
  <c r="AX63" i="8"/>
  <c r="AX115" i="8"/>
  <c r="AX93" i="8"/>
  <c r="AX94" i="8"/>
  <c r="AX75" i="8"/>
  <c r="AX70" i="8"/>
  <c r="AX39" i="8"/>
  <c r="AX103" i="8"/>
  <c r="AX106" i="8"/>
  <c r="AX107" i="8"/>
  <c r="AX62" i="8"/>
  <c r="AX32" i="8"/>
  <c r="AX114" i="8"/>
  <c r="AX101" i="8"/>
  <c r="AX82" i="8"/>
  <c r="AX87" i="8"/>
  <c r="AX56" i="8"/>
  <c r="AX117" i="8"/>
  <c r="AX42" i="8"/>
  <c r="AX86" i="8"/>
  <c r="AX52" i="8"/>
  <c r="AX37" i="8"/>
  <c r="AX121" i="8"/>
  <c r="AX84" i="8"/>
  <c r="AX96" i="8"/>
  <c r="AX108" i="8"/>
  <c r="AX76" i="8"/>
  <c r="AX47" i="8"/>
  <c r="AX60" i="8"/>
  <c r="AX79" i="8"/>
  <c r="AX74" i="8"/>
  <c r="AX41" i="8"/>
  <c r="AX95" i="8"/>
  <c r="AX99" i="8"/>
  <c r="AY28" i="8"/>
  <c r="AX73" i="8"/>
  <c r="AX46" i="8"/>
  <c r="AX118" i="8"/>
  <c r="AX111" i="8"/>
  <c r="AX68" i="8"/>
  <c r="AX90" i="8"/>
  <c r="AX54" i="8"/>
  <c r="AX123" i="8"/>
  <c r="AX45" i="8"/>
  <c r="AX109" i="8"/>
  <c r="AX91" i="8"/>
  <c r="AX61" i="8"/>
  <c r="AX33" i="8"/>
  <c r="AX57" i="8"/>
  <c r="AX80" i="8"/>
  <c r="AX65" i="8"/>
  <c r="AX31" i="8"/>
  <c r="AX51" i="8"/>
  <c r="AX104" i="8"/>
  <c r="AX34" i="8"/>
  <c r="AX77" i="8"/>
  <c r="AX88" i="8"/>
  <c r="AX29" i="8"/>
  <c r="AX98" i="8"/>
  <c r="AX116" i="8"/>
  <c r="AX66" i="8"/>
  <c r="AX119" i="8"/>
  <c r="AX85" i="8"/>
  <c r="AX43" i="8"/>
  <c r="AX120" i="8"/>
  <c r="AX44" i="8"/>
  <c r="AX124" i="8"/>
  <c r="AX83" i="8"/>
  <c r="AX105" i="8"/>
  <c r="AX30" i="8"/>
  <c r="AX59" i="8"/>
  <c r="AX49" i="8"/>
  <c r="AX53" i="8"/>
  <c r="AX67" i="8"/>
  <c r="AX102" i="8"/>
  <c r="AX48" i="8"/>
  <c r="AX36" i="8"/>
  <c r="AX72" i="8"/>
  <c r="AX35" i="8"/>
  <c r="AW139" i="8"/>
  <c r="AX139" i="8" l="1"/>
  <c r="AY99" i="8"/>
  <c r="AY94" i="8"/>
  <c r="AY80" i="8"/>
  <c r="AY67" i="8"/>
  <c r="AY48" i="8"/>
  <c r="AY102" i="8"/>
  <c r="AY77" i="8"/>
  <c r="AY50" i="8"/>
  <c r="AY69" i="8"/>
  <c r="AY63" i="8"/>
  <c r="AY122" i="8"/>
  <c r="AY106" i="8"/>
  <c r="AY89" i="8"/>
  <c r="AY74" i="8"/>
  <c r="AY71" i="8"/>
  <c r="AY120" i="8"/>
  <c r="AY95" i="8"/>
  <c r="AY62" i="8"/>
  <c r="AY30" i="8"/>
  <c r="AY105" i="8"/>
  <c r="AY96" i="8"/>
  <c r="AY83" i="8"/>
  <c r="AY52" i="8"/>
  <c r="AY40" i="8"/>
  <c r="AY124" i="8"/>
  <c r="AY108" i="8"/>
  <c r="AY91" i="8"/>
  <c r="AY101" i="8"/>
  <c r="AY54" i="8"/>
  <c r="AY119" i="8"/>
  <c r="AY90" i="8"/>
  <c r="AY116" i="8"/>
  <c r="AY61" i="8"/>
  <c r="AY49" i="8"/>
  <c r="AY31" i="8"/>
  <c r="AY109" i="8"/>
  <c r="AY98" i="8"/>
  <c r="AY118" i="8"/>
  <c r="AY66" i="8"/>
  <c r="AY44" i="8"/>
  <c r="AY113" i="8"/>
  <c r="AY38" i="8"/>
  <c r="AY85" i="8"/>
  <c r="AY60" i="8"/>
  <c r="AY84" i="8"/>
  <c r="AY56" i="8"/>
  <c r="AY117" i="8"/>
  <c r="AY68" i="8"/>
  <c r="AY100" i="8"/>
  <c r="AY111" i="8"/>
  <c r="AY92" i="8"/>
  <c r="AY59" i="8"/>
  <c r="AY34" i="8"/>
  <c r="AY93" i="8"/>
  <c r="AY114" i="8"/>
  <c r="AY115" i="8"/>
  <c r="AY104" i="8"/>
  <c r="AY72" i="8"/>
  <c r="AY42" i="8"/>
  <c r="AY112" i="8"/>
  <c r="AY33" i="8"/>
  <c r="AY87" i="8"/>
  <c r="AY70" i="8"/>
  <c r="AY39" i="8"/>
  <c r="AZ28" i="8"/>
  <c r="AY57" i="8"/>
  <c r="AY45" i="8"/>
  <c r="AY79" i="8"/>
  <c r="AY55" i="8"/>
  <c r="AY43" i="8"/>
  <c r="AY75" i="8"/>
  <c r="AY110" i="8"/>
  <c r="AY64" i="8"/>
  <c r="AY53" i="8"/>
  <c r="AY78" i="8"/>
  <c r="AY88" i="8"/>
  <c r="AY65" i="8"/>
  <c r="AY37" i="8"/>
  <c r="AY36" i="8"/>
  <c r="AY76" i="8"/>
  <c r="AY51" i="8"/>
  <c r="AY58" i="8"/>
  <c r="AY103" i="8"/>
  <c r="AY121" i="8"/>
  <c r="AY123" i="8"/>
  <c r="AY107" i="8"/>
  <c r="AY97" i="8"/>
  <c r="AY47" i="8"/>
  <c r="AY86" i="8"/>
  <c r="AY29" i="8"/>
  <c r="AY35" i="8"/>
  <c r="AY81" i="8"/>
  <c r="AY46" i="8"/>
  <c r="AY41" i="8"/>
  <c r="AY32" i="8"/>
  <c r="AY73" i="8"/>
  <c r="AY82" i="8"/>
  <c r="AZ63" i="8" l="1"/>
  <c r="AZ30" i="8"/>
  <c r="AZ115" i="8"/>
  <c r="AZ103" i="8"/>
  <c r="AZ83" i="8"/>
  <c r="AZ85" i="8"/>
  <c r="AZ38" i="8"/>
  <c r="AZ102" i="8"/>
  <c r="AZ114" i="8"/>
  <c r="AZ108" i="8"/>
  <c r="AZ73" i="8"/>
  <c r="AZ54" i="8"/>
  <c r="AZ32" i="8"/>
  <c r="AZ118" i="8"/>
  <c r="AZ51" i="8"/>
  <c r="AZ64" i="8"/>
  <c r="AZ66" i="8"/>
  <c r="AZ60" i="8"/>
  <c r="AZ69" i="8"/>
  <c r="AZ55" i="8"/>
  <c r="AZ44" i="8"/>
  <c r="AZ86" i="8"/>
  <c r="AZ61" i="8"/>
  <c r="AZ58" i="8"/>
  <c r="AZ65" i="8"/>
  <c r="AZ70" i="8"/>
  <c r="AZ72" i="8"/>
  <c r="AZ75" i="8"/>
  <c r="AZ76" i="8"/>
  <c r="AZ80" i="8"/>
  <c r="AZ91" i="8"/>
  <c r="AZ93" i="8"/>
  <c r="AZ95" i="8"/>
  <c r="AZ112" i="8"/>
  <c r="AZ124" i="8"/>
  <c r="AZ34" i="8"/>
  <c r="AZ122" i="8"/>
  <c r="AZ71" i="8"/>
  <c r="AZ57" i="8"/>
  <c r="AZ41" i="8"/>
  <c r="AZ48" i="8"/>
  <c r="AZ45" i="8"/>
  <c r="AZ119" i="8"/>
  <c r="AZ113" i="8"/>
  <c r="AZ67" i="8"/>
  <c r="AZ46" i="8"/>
  <c r="AZ62" i="8"/>
  <c r="AZ53" i="8"/>
  <c r="AZ33" i="8"/>
  <c r="AZ110" i="8"/>
  <c r="AZ82" i="8"/>
  <c r="AZ59" i="8"/>
  <c r="AZ94" i="8"/>
  <c r="AZ78" i="8"/>
  <c r="AZ42" i="8"/>
  <c r="AZ77" i="8"/>
  <c r="AZ107" i="8"/>
  <c r="AZ109" i="8"/>
  <c r="AZ88" i="8"/>
  <c r="AZ117" i="8"/>
  <c r="AZ49" i="8"/>
  <c r="AZ99" i="8"/>
  <c r="AZ121" i="8"/>
  <c r="AZ123" i="8"/>
  <c r="AZ106" i="8"/>
  <c r="AZ39" i="8"/>
  <c r="AZ111" i="8"/>
  <c r="AZ98" i="8"/>
  <c r="AZ35" i="8"/>
  <c r="AZ81" i="8"/>
  <c r="AZ100" i="8"/>
  <c r="AZ97" i="8"/>
  <c r="BA28" i="8"/>
  <c r="AZ79" i="8"/>
  <c r="AZ29" i="8"/>
  <c r="AZ56" i="8"/>
  <c r="AZ120" i="8"/>
  <c r="AZ105" i="8"/>
  <c r="AZ74" i="8"/>
  <c r="AZ90" i="8"/>
  <c r="AZ84" i="8"/>
  <c r="AZ92" i="8"/>
  <c r="AZ36" i="8"/>
  <c r="AZ37" i="8"/>
  <c r="AZ87" i="8"/>
  <c r="AZ50" i="8"/>
  <c r="AZ89" i="8"/>
  <c r="AZ68" i="8"/>
  <c r="AZ40" i="8"/>
  <c r="AZ96" i="8"/>
  <c r="AZ31" i="8"/>
  <c r="AZ116" i="8"/>
  <c r="AZ47" i="8"/>
  <c r="AZ43" i="8"/>
  <c r="AZ101" i="8"/>
  <c r="AZ104" i="8"/>
  <c r="AZ52" i="8"/>
  <c r="AY139" i="8"/>
  <c r="AZ139" i="8" l="1"/>
  <c r="BA74" i="8"/>
  <c r="BA54" i="8"/>
  <c r="BA38" i="8"/>
  <c r="BA120" i="8"/>
  <c r="BA111" i="8"/>
  <c r="BA116" i="8"/>
  <c r="BA107" i="8"/>
  <c r="BA97" i="8"/>
  <c r="BA92" i="8"/>
  <c r="BA117" i="8"/>
  <c r="BA94" i="8"/>
  <c r="BA66" i="8"/>
  <c r="BA67" i="8"/>
  <c r="BA87" i="8"/>
  <c r="BA79" i="8"/>
  <c r="BA69" i="8"/>
  <c r="BA64" i="8"/>
  <c r="BA58" i="8"/>
  <c r="BA88" i="8"/>
  <c r="BA109" i="8"/>
  <c r="BA108" i="8"/>
  <c r="BA72" i="8"/>
  <c r="BA57" i="8"/>
  <c r="BA45" i="8"/>
  <c r="BA44" i="8"/>
  <c r="BA85" i="8"/>
  <c r="BA95" i="8"/>
  <c r="BA104" i="8"/>
  <c r="BA124" i="8"/>
  <c r="BA83" i="8"/>
  <c r="BA78" i="8"/>
  <c r="BA68" i="8"/>
  <c r="BA46" i="8"/>
  <c r="BA93" i="8"/>
  <c r="BA102" i="8"/>
  <c r="BA31" i="8"/>
  <c r="BA33" i="8"/>
  <c r="BA103" i="8"/>
  <c r="BA96" i="8"/>
  <c r="BA114" i="8"/>
  <c r="BB28" i="8"/>
  <c r="BA105" i="8"/>
  <c r="BA123" i="8"/>
  <c r="BA40" i="8"/>
  <c r="BA41" i="8"/>
  <c r="BA119" i="8"/>
  <c r="BA106" i="8"/>
  <c r="BA80" i="8"/>
  <c r="BA59" i="8"/>
  <c r="BA121" i="8"/>
  <c r="BA32" i="8"/>
  <c r="BA47" i="8"/>
  <c r="BA49" i="8"/>
  <c r="BA37" i="8"/>
  <c r="BA118" i="8"/>
  <c r="BA115" i="8"/>
  <c r="BA61" i="8"/>
  <c r="BA62" i="8"/>
  <c r="BA48" i="8"/>
  <c r="BA71" i="8"/>
  <c r="BA73" i="8"/>
  <c r="BA100" i="8"/>
  <c r="BA113" i="8"/>
  <c r="BA101" i="8"/>
  <c r="BA30" i="8"/>
  <c r="BA39" i="8"/>
  <c r="BA99" i="8"/>
  <c r="BA75" i="8"/>
  <c r="BA60" i="8"/>
  <c r="BA70" i="8"/>
  <c r="BA112" i="8"/>
  <c r="BA82" i="8"/>
  <c r="BA81" i="8"/>
  <c r="BA34" i="8"/>
  <c r="BA50" i="8"/>
  <c r="BA36" i="8"/>
  <c r="BA122" i="8"/>
  <c r="BA55" i="8"/>
  <c r="BA51" i="8"/>
  <c r="BA77" i="8"/>
  <c r="BA90" i="8"/>
  <c r="BA76" i="8"/>
  <c r="BA35" i="8"/>
  <c r="BA63" i="8"/>
  <c r="BA42" i="8"/>
  <c r="BA52" i="8"/>
  <c r="BA89" i="8"/>
  <c r="BA29" i="8"/>
  <c r="BA91" i="8"/>
  <c r="BA84" i="8"/>
  <c r="BA110" i="8"/>
  <c r="BA86" i="8"/>
  <c r="BA65" i="8"/>
  <c r="BA56" i="8"/>
  <c r="BA98" i="8"/>
  <c r="BA43" i="8"/>
  <c r="BA53" i="8"/>
  <c r="BA139" i="8" l="1"/>
  <c r="BB72" i="8"/>
  <c r="BB53" i="8"/>
  <c r="BB96" i="8"/>
  <c r="BB118" i="8"/>
  <c r="BB39" i="8"/>
  <c r="BB57" i="8"/>
  <c r="BB71" i="8"/>
  <c r="BB35" i="8"/>
  <c r="BB45" i="8"/>
  <c r="BB85" i="8"/>
  <c r="BB63" i="8"/>
  <c r="BB34" i="8"/>
  <c r="BB77" i="8"/>
  <c r="BB121" i="8"/>
  <c r="BB51" i="8"/>
  <c r="BB91" i="8"/>
  <c r="BB38" i="8"/>
  <c r="BB60" i="8"/>
  <c r="BB44" i="8"/>
  <c r="BB52" i="8"/>
  <c r="BB42" i="8"/>
  <c r="BB102" i="8"/>
  <c r="BB29" i="8"/>
  <c r="BB70" i="8"/>
  <c r="BB122" i="8"/>
  <c r="BB68" i="8"/>
  <c r="BB103" i="8"/>
  <c r="BB33" i="8"/>
  <c r="BB65" i="8"/>
  <c r="BB61" i="8"/>
  <c r="BB93" i="8"/>
  <c r="BB43" i="8"/>
  <c r="BB90" i="8"/>
  <c r="BB30" i="8"/>
  <c r="BB81" i="8"/>
  <c r="BB37" i="8"/>
  <c r="BB84" i="8"/>
  <c r="BB79" i="8"/>
  <c r="BB74" i="8"/>
  <c r="BB55" i="8"/>
  <c r="BB48" i="8"/>
  <c r="BB112" i="8"/>
  <c r="BB41" i="8"/>
  <c r="BB106" i="8"/>
  <c r="BB64" i="8"/>
  <c r="BB115" i="8"/>
  <c r="BB92" i="8"/>
  <c r="BB82" i="8"/>
  <c r="BB66" i="8"/>
  <c r="BB67" i="8"/>
  <c r="BB120" i="8"/>
  <c r="BC28" i="8"/>
  <c r="BB107" i="8"/>
  <c r="BB95" i="8"/>
  <c r="BB83" i="8"/>
  <c r="BB111" i="8"/>
  <c r="BB54" i="8"/>
  <c r="BB98" i="8"/>
  <c r="BB116" i="8"/>
  <c r="BB50" i="8"/>
  <c r="BB101" i="8"/>
  <c r="BB58" i="8"/>
  <c r="BB47" i="8"/>
  <c r="BB62" i="8"/>
  <c r="BB87" i="8"/>
  <c r="BB100" i="8"/>
  <c r="BB114" i="8"/>
  <c r="BB89" i="8"/>
  <c r="BB104" i="8"/>
  <c r="BB56" i="8"/>
  <c r="BB69" i="8"/>
  <c r="BB86" i="8"/>
  <c r="BB97" i="8"/>
  <c r="BB78" i="8"/>
  <c r="BB105" i="8"/>
  <c r="BB109" i="8"/>
  <c r="BB88" i="8"/>
  <c r="BB124" i="8"/>
  <c r="BB123" i="8"/>
  <c r="BB32" i="8"/>
  <c r="BB110" i="8"/>
  <c r="BB31" i="8"/>
  <c r="BB99" i="8"/>
  <c r="BB46" i="8"/>
  <c r="BB49" i="8"/>
  <c r="BB119" i="8"/>
  <c r="BB40" i="8"/>
  <c r="BB76" i="8"/>
  <c r="BB117" i="8"/>
  <c r="BB59" i="8"/>
  <c r="BB80" i="8"/>
  <c r="BB36" i="8"/>
  <c r="BB73" i="8"/>
  <c r="BB75" i="8"/>
  <c r="BB113" i="8"/>
  <c r="BB108" i="8"/>
  <c r="BB94" i="8"/>
  <c r="BB139" i="8" l="1"/>
  <c r="BC92" i="8"/>
  <c r="BC85" i="8"/>
  <c r="BC71" i="8"/>
  <c r="BC87" i="8"/>
  <c r="BC90" i="8"/>
  <c r="BC97" i="8"/>
  <c r="BC124" i="8"/>
  <c r="BC100" i="8"/>
  <c r="BC118" i="8"/>
  <c r="BC73" i="8"/>
  <c r="BC64" i="8"/>
  <c r="BC58" i="8"/>
  <c r="BC88" i="8"/>
  <c r="BC114" i="8"/>
  <c r="BC41" i="8"/>
  <c r="BC93" i="8"/>
  <c r="BC77" i="8"/>
  <c r="BC82" i="8"/>
  <c r="BC81" i="8"/>
  <c r="BC70" i="8"/>
  <c r="BC83" i="8"/>
  <c r="BC108" i="8"/>
  <c r="BC29" i="8"/>
  <c r="BC54" i="8"/>
  <c r="BC122" i="8"/>
  <c r="BC103" i="8"/>
  <c r="BC105" i="8"/>
  <c r="BC84" i="8"/>
  <c r="BC91" i="8"/>
  <c r="BC95" i="8"/>
  <c r="BC111" i="8"/>
  <c r="BC39" i="8"/>
  <c r="BC66" i="8"/>
  <c r="BC67" i="8"/>
  <c r="BC38" i="8"/>
  <c r="BC50" i="8"/>
  <c r="BC106" i="8"/>
  <c r="BC98" i="8"/>
  <c r="BC104" i="8"/>
  <c r="BC117" i="8"/>
  <c r="BD28" i="8"/>
  <c r="BC79" i="8"/>
  <c r="BC96" i="8"/>
  <c r="BC115" i="8"/>
  <c r="BC78" i="8"/>
  <c r="BC113" i="8"/>
  <c r="BC112" i="8"/>
  <c r="BC101" i="8"/>
  <c r="BC37" i="8"/>
  <c r="BC65" i="8"/>
  <c r="BC89" i="8"/>
  <c r="BC123" i="8"/>
  <c r="BC51" i="8"/>
  <c r="BC63" i="8"/>
  <c r="BC35" i="8"/>
  <c r="BC34" i="8"/>
  <c r="BC44" i="8"/>
  <c r="BC68" i="8"/>
  <c r="BC94" i="8"/>
  <c r="BC36" i="8"/>
  <c r="BC74" i="8"/>
  <c r="BC55" i="8"/>
  <c r="BC56" i="8"/>
  <c r="BC57" i="8"/>
  <c r="BC61" i="8"/>
  <c r="BC107" i="8"/>
  <c r="BC76" i="8"/>
  <c r="BC69" i="8"/>
  <c r="BC119" i="8"/>
  <c r="BC110" i="8"/>
  <c r="BC32" i="8"/>
  <c r="BC42" i="8"/>
  <c r="BC72" i="8"/>
  <c r="BC102" i="8"/>
  <c r="BC62" i="8"/>
  <c r="BC46" i="8"/>
  <c r="BC80" i="8"/>
  <c r="BC33" i="8"/>
  <c r="BC59" i="8"/>
  <c r="BC40" i="8"/>
  <c r="BC31" i="8"/>
  <c r="BC43" i="8"/>
  <c r="BC49" i="8"/>
  <c r="BC45" i="8"/>
  <c r="BC121" i="8"/>
  <c r="BC86" i="8"/>
  <c r="BC60" i="8"/>
  <c r="BC75" i="8"/>
  <c r="BC99" i="8"/>
  <c r="BC52" i="8"/>
  <c r="BC120" i="8"/>
  <c r="BC30" i="8"/>
  <c r="BC48" i="8"/>
  <c r="BC109" i="8"/>
  <c r="BC116" i="8"/>
  <c r="BC47" i="8"/>
  <c r="BC53" i="8"/>
  <c r="BC139" i="8" l="1"/>
  <c r="BD106" i="8"/>
  <c r="BD105" i="8"/>
  <c r="BD101" i="8"/>
  <c r="BD85" i="8"/>
  <c r="BD121" i="8"/>
  <c r="BD30" i="8"/>
  <c r="BD48" i="8"/>
  <c r="BD93" i="8"/>
  <c r="BD111" i="8"/>
  <c r="BD91" i="8"/>
  <c r="BD86" i="8"/>
  <c r="BD72" i="8"/>
  <c r="BD119" i="8"/>
  <c r="BD42" i="8"/>
  <c r="BD67" i="8"/>
  <c r="BD44" i="8"/>
  <c r="BD120" i="8"/>
  <c r="BD35" i="8"/>
  <c r="BD92" i="8"/>
  <c r="BD97" i="8"/>
  <c r="BD113" i="8"/>
  <c r="BD114" i="8"/>
  <c r="BE28" i="8"/>
  <c r="BD74" i="8"/>
  <c r="BD54" i="8"/>
  <c r="BD65" i="8"/>
  <c r="BD36" i="8"/>
  <c r="BD63" i="8"/>
  <c r="BD58" i="8"/>
  <c r="BD56" i="8"/>
  <c r="BD47" i="8"/>
  <c r="BD68" i="8"/>
  <c r="BD84" i="8"/>
  <c r="BD123" i="8"/>
  <c r="BD52" i="8"/>
  <c r="BD43" i="8"/>
  <c r="BD79" i="8"/>
  <c r="BD51" i="8"/>
  <c r="BD96" i="8"/>
  <c r="BD45" i="8"/>
  <c r="BD29" i="8"/>
  <c r="BD90" i="8"/>
  <c r="BD60" i="8"/>
  <c r="BD73" i="8"/>
  <c r="BD117" i="8"/>
  <c r="BD59" i="8"/>
  <c r="BD64" i="8"/>
  <c r="BD124" i="8"/>
  <c r="BD99" i="8"/>
  <c r="BD78" i="8"/>
  <c r="BD112" i="8"/>
  <c r="BD76" i="8"/>
  <c r="BD77" i="8"/>
  <c r="BD33" i="8"/>
  <c r="BD103" i="8"/>
  <c r="BD94" i="8"/>
  <c r="BD34" i="8"/>
  <c r="BD80" i="8"/>
  <c r="BD87" i="8"/>
  <c r="BD83" i="8"/>
  <c r="BD122" i="8"/>
  <c r="BD118" i="8"/>
  <c r="BD39" i="8"/>
  <c r="BD37" i="8"/>
  <c r="BD98" i="8"/>
  <c r="BD104" i="8"/>
  <c r="BD107" i="8"/>
  <c r="BD40" i="8"/>
  <c r="BD71" i="8"/>
  <c r="BD61" i="8"/>
  <c r="BD41" i="8"/>
  <c r="BD110" i="8"/>
  <c r="BD32" i="8"/>
  <c r="BD38" i="8"/>
  <c r="BD46" i="8"/>
  <c r="BD49" i="8"/>
  <c r="BD57" i="8"/>
  <c r="BD62" i="8"/>
  <c r="BD70" i="8"/>
  <c r="BD116" i="8"/>
  <c r="BD31" i="8"/>
  <c r="BD82" i="8"/>
  <c r="BD102" i="8"/>
  <c r="BD75" i="8"/>
  <c r="BD53" i="8"/>
  <c r="BD66" i="8"/>
  <c r="BD81" i="8"/>
  <c r="BD55" i="8"/>
  <c r="BD115" i="8"/>
  <c r="BD108" i="8"/>
  <c r="BD88" i="8"/>
  <c r="BD95" i="8"/>
  <c r="BD109" i="8"/>
  <c r="BD69" i="8"/>
  <c r="BD50" i="8"/>
  <c r="BD100" i="8"/>
  <c r="BD89" i="8"/>
  <c r="BE62" i="8" l="1"/>
  <c r="BE29" i="8"/>
  <c r="BE106" i="8"/>
  <c r="BE102" i="8"/>
  <c r="BE104" i="8"/>
  <c r="BE40" i="8"/>
  <c r="BE55" i="8"/>
  <c r="BE99" i="8"/>
  <c r="BE112" i="8"/>
  <c r="BE56" i="8"/>
  <c r="BE105" i="8"/>
  <c r="BE97" i="8"/>
  <c r="BE103" i="8"/>
  <c r="BE38" i="8"/>
  <c r="BE57" i="8"/>
  <c r="BE90" i="8"/>
  <c r="BE34" i="8"/>
  <c r="BE44" i="8"/>
  <c r="BE116" i="8"/>
  <c r="BE111" i="8"/>
  <c r="BE124" i="8"/>
  <c r="BE49" i="8"/>
  <c r="BE73" i="8"/>
  <c r="BE101" i="8"/>
  <c r="BE78" i="8"/>
  <c r="BE68" i="8"/>
  <c r="BE77" i="8"/>
  <c r="BE71" i="8"/>
  <c r="BE72" i="8"/>
  <c r="BE87" i="8"/>
  <c r="BE115" i="8"/>
  <c r="BE43" i="8"/>
  <c r="BE31" i="8"/>
  <c r="BE54" i="8"/>
  <c r="BE123" i="8"/>
  <c r="BE63" i="8"/>
  <c r="BE66" i="8"/>
  <c r="BE39" i="8"/>
  <c r="BE89" i="8"/>
  <c r="BE80" i="8"/>
  <c r="BE51" i="8"/>
  <c r="BE50" i="8"/>
  <c r="BE52" i="8"/>
  <c r="BE84" i="8"/>
  <c r="BE45" i="8"/>
  <c r="BE109" i="8"/>
  <c r="BE114" i="8"/>
  <c r="BE81" i="8"/>
  <c r="BE60" i="8"/>
  <c r="BE64" i="8"/>
  <c r="BE92" i="8"/>
  <c r="BE61" i="8"/>
  <c r="BE30" i="8"/>
  <c r="BE118" i="8"/>
  <c r="BE42" i="8"/>
  <c r="BE74" i="8"/>
  <c r="BE122" i="8"/>
  <c r="BE67" i="8"/>
  <c r="BF28" i="8"/>
  <c r="BE35" i="8"/>
  <c r="BE83" i="8"/>
  <c r="BE85" i="8"/>
  <c r="BE33" i="8"/>
  <c r="BE86" i="8"/>
  <c r="BE79" i="8"/>
  <c r="BE46" i="8"/>
  <c r="BE121" i="8"/>
  <c r="BE47" i="8"/>
  <c r="BE110" i="8"/>
  <c r="BE113" i="8"/>
  <c r="BE76" i="8"/>
  <c r="BE94" i="8"/>
  <c r="BE53" i="8"/>
  <c r="BE117" i="8"/>
  <c r="BE120" i="8"/>
  <c r="BE41" i="8"/>
  <c r="BE32" i="8"/>
  <c r="BE119" i="8"/>
  <c r="BE59" i="8"/>
  <c r="BE65" i="8"/>
  <c r="BE82" i="8"/>
  <c r="BE70" i="8"/>
  <c r="BE58" i="8"/>
  <c r="BE37" i="8"/>
  <c r="BE108" i="8"/>
  <c r="BE91" i="8"/>
  <c r="BE100" i="8"/>
  <c r="BE36" i="8"/>
  <c r="BE88" i="8"/>
  <c r="BE48" i="8"/>
  <c r="BE95" i="8"/>
  <c r="BE96" i="8"/>
  <c r="BE69" i="8"/>
  <c r="BE107" i="8"/>
  <c r="BE75" i="8"/>
  <c r="BE93" i="8"/>
  <c r="BE98" i="8"/>
  <c r="BD139" i="8"/>
  <c r="BF52" i="8" l="1"/>
  <c r="BF39" i="8"/>
  <c r="BF121" i="8"/>
  <c r="BF115" i="8"/>
  <c r="BF38" i="8"/>
  <c r="BF59" i="8"/>
  <c r="BF68" i="8"/>
  <c r="BF111" i="8"/>
  <c r="BF33" i="8"/>
  <c r="BF81" i="8"/>
  <c r="BF113" i="8"/>
  <c r="BF103" i="8"/>
  <c r="BF116" i="8"/>
  <c r="BF42" i="8"/>
  <c r="BF88" i="8"/>
  <c r="BF110" i="8"/>
  <c r="BF119" i="8"/>
  <c r="BF35" i="8"/>
  <c r="BF117" i="8"/>
  <c r="BF118" i="8"/>
  <c r="BF37" i="8"/>
  <c r="BF60" i="8"/>
  <c r="BF102" i="8"/>
  <c r="BF109" i="8"/>
  <c r="BF66" i="8"/>
  <c r="BF53" i="8"/>
  <c r="BF92" i="8"/>
  <c r="BF83" i="8"/>
  <c r="BF82" i="8"/>
  <c r="BF91" i="8"/>
  <c r="BF30" i="8"/>
  <c r="BF54" i="8"/>
  <c r="BF46" i="8"/>
  <c r="BF112" i="8"/>
  <c r="BF93" i="8"/>
  <c r="BF44" i="8"/>
  <c r="BF72" i="8"/>
  <c r="BF71" i="8"/>
  <c r="BF43" i="8"/>
  <c r="BF100" i="8"/>
  <c r="BF47" i="8"/>
  <c r="BF55" i="8"/>
  <c r="BF75" i="8"/>
  <c r="BF86" i="8"/>
  <c r="BG28" i="8"/>
  <c r="BF104" i="8"/>
  <c r="BF105" i="8"/>
  <c r="BF63" i="8"/>
  <c r="BF64" i="8"/>
  <c r="BF89" i="8"/>
  <c r="BF97" i="8"/>
  <c r="BF69" i="8"/>
  <c r="BF79" i="8"/>
  <c r="BF90" i="8"/>
  <c r="BF62" i="8"/>
  <c r="BF73" i="8"/>
  <c r="BF48" i="8"/>
  <c r="BF99" i="8"/>
  <c r="BF96" i="8"/>
  <c r="BF70" i="8"/>
  <c r="BF114" i="8"/>
  <c r="BF77" i="8"/>
  <c r="BF31" i="8"/>
  <c r="BF85" i="8"/>
  <c r="BF76" i="8"/>
  <c r="BF49" i="8"/>
  <c r="BF34" i="8"/>
  <c r="BF50" i="8"/>
  <c r="BF124" i="8"/>
  <c r="BF45" i="8"/>
  <c r="BF57" i="8"/>
  <c r="BF32" i="8"/>
  <c r="BF80" i="8"/>
  <c r="BF65" i="8"/>
  <c r="BF58" i="8"/>
  <c r="BF123" i="8"/>
  <c r="BF74" i="8"/>
  <c r="BF67" i="8"/>
  <c r="BF36" i="8"/>
  <c r="BF29" i="8"/>
  <c r="BF107" i="8"/>
  <c r="BF61" i="8"/>
  <c r="BF120" i="8"/>
  <c r="BF122" i="8"/>
  <c r="BF40" i="8"/>
  <c r="BF84" i="8"/>
  <c r="BF101" i="8"/>
  <c r="BF56" i="8"/>
  <c r="BF98" i="8"/>
  <c r="BF108" i="8"/>
  <c r="BF95" i="8"/>
  <c r="BF78" i="8"/>
  <c r="BF51" i="8"/>
  <c r="BF94" i="8"/>
  <c r="BF87" i="8"/>
  <c r="BF106" i="8"/>
  <c r="BF41" i="8"/>
  <c r="BE139" i="8"/>
  <c r="BF139" i="8" l="1"/>
  <c r="BG68" i="8"/>
  <c r="BG67" i="8"/>
  <c r="BG44" i="8"/>
  <c r="BG58" i="8"/>
  <c r="BG70" i="8"/>
  <c r="BG78" i="8"/>
  <c r="BG97" i="8"/>
  <c r="BG111" i="8"/>
  <c r="BG59" i="8"/>
  <c r="BG71" i="8"/>
  <c r="BG62" i="8"/>
  <c r="BG37" i="8"/>
  <c r="BG34" i="8"/>
  <c r="BG50" i="8"/>
  <c r="BG87" i="8"/>
  <c r="BG112" i="8"/>
  <c r="BG36" i="8"/>
  <c r="BG105" i="8"/>
  <c r="BG32" i="8"/>
  <c r="BG52" i="8"/>
  <c r="BG49" i="8"/>
  <c r="BG35" i="8"/>
  <c r="BG66" i="8"/>
  <c r="BG90" i="8"/>
  <c r="BG118" i="8"/>
  <c r="BG47" i="8"/>
  <c r="BG45" i="8"/>
  <c r="BG64" i="8"/>
  <c r="BG103" i="8"/>
  <c r="BG110" i="8"/>
  <c r="BG109" i="8"/>
  <c r="BG39" i="8"/>
  <c r="BG65" i="8"/>
  <c r="BG89" i="8"/>
  <c r="BG43" i="8"/>
  <c r="BG124" i="8"/>
  <c r="BG122" i="8"/>
  <c r="BG73" i="8"/>
  <c r="BG123" i="8"/>
  <c r="BG31" i="8"/>
  <c r="BG51" i="8"/>
  <c r="BG99" i="8"/>
  <c r="BG30" i="8"/>
  <c r="BG80" i="8"/>
  <c r="BG46" i="8"/>
  <c r="BG41" i="8"/>
  <c r="BG76" i="8"/>
  <c r="BG33" i="8"/>
  <c r="BG54" i="8"/>
  <c r="BG95" i="8"/>
  <c r="BG60" i="8"/>
  <c r="BG56" i="8"/>
  <c r="BG53" i="8"/>
  <c r="BG96" i="8"/>
  <c r="BG72" i="8"/>
  <c r="BG102" i="8"/>
  <c r="BG108" i="8"/>
  <c r="BG69" i="8"/>
  <c r="BG82" i="8"/>
  <c r="BG100" i="8"/>
  <c r="BG75" i="8"/>
  <c r="BG98" i="8"/>
  <c r="BG85" i="8"/>
  <c r="BG42" i="8"/>
  <c r="BG117" i="8"/>
  <c r="BG120" i="8"/>
  <c r="BG121" i="8"/>
  <c r="BG74" i="8"/>
  <c r="BG93" i="8"/>
  <c r="BG57" i="8"/>
  <c r="BG94" i="8"/>
  <c r="BG101" i="8"/>
  <c r="BG63" i="8"/>
  <c r="BG119" i="8"/>
  <c r="BG81" i="8"/>
  <c r="BG77" i="8"/>
  <c r="BG61" i="8"/>
  <c r="BG40" i="8"/>
  <c r="BG115" i="8"/>
  <c r="BG104" i="8"/>
  <c r="BG114" i="8"/>
  <c r="BG38" i="8"/>
  <c r="BG92" i="8"/>
  <c r="BG107" i="8"/>
  <c r="BG83" i="8"/>
  <c r="BG55" i="8"/>
  <c r="BG91" i="8"/>
  <c r="BG86" i="8"/>
  <c r="BG113" i="8"/>
  <c r="BG48" i="8"/>
  <c r="BG88" i="8"/>
  <c r="BG116" i="8"/>
  <c r="BG84" i="8"/>
  <c r="BG106" i="8"/>
  <c r="BG29" i="8"/>
  <c r="BH28" i="8"/>
  <c r="BG79" i="8"/>
  <c r="BH72" i="8" l="1"/>
  <c r="BH78" i="8"/>
  <c r="BH69" i="8"/>
  <c r="BH84" i="8"/>
  <c r="BH86" i="8"/>
  <c r="BH102" i="8"/>
  <c r="BH110" i="8"/>
  <c r="BH109" i="8"/>
  <c r="BH99" i="8"/>
  <c r="BH58" i="8"/>
  <c r="BH56" i="8"/>
  <c r="BH47" i="8"/>
  <c r="BH73" i="8"/>
  <c r="BH94" i="8"/>
  <c r="BH30" i="8"/>
  <c r="BH67" i="8"/>
  <c r="BH36" i="8"/>
  <c r="BH54" i="8"/>
  <c r="BH71" i="8"/>
  <c r="BH60" i="8"/>
  <c r="BH55" i="8"/>
  <c r="BH82" i="8"/>
  <c r="BH123" i="8"/>
  <c r="BH46" i="8"/>
  <c r="BH100" i="8"/>
  <c r="BH52" i="8"/>
  <c r="BH57" i="8"/>
  <c r="BH62" i="8"/>
  <c r="BH31" i="8"/>
  <c r="BH116" i="8"/>
  <c r="BH38" i="8"/>
  <c r="BH61" i="8"/>
  <c r="BH85" i="8"/>
  <c r="BH108" i="8"/>
  <c r="BH35" i="8"/>
  <c r="BH106" i="8"/>
  <c r="BH113" i="8"/>
  <c r="BH34" i="8"/>
  <c r="BH121" i="8"/>
  <c r="BH77" i="8"/>
  <c r="BH118" i="8"/>
  <c r="BH93" i="8"/>
  <c r="BH112" i="8"/>
  <c r="BH44" i="8"/>
  <c r="BH124" i="8"/>
  <c r="BH90" i="8"/>
  <c r="BH68" i="8"/>
  <c r="BH115" i="8"/>
  <c r="BH114" i="8"/>
  <c r="BH83" i="8"/>
  <c r="BH42" i="8"/>
  <c r="BH96" i="8"/>
  <c r="BH105" i="8"/>
  <c r="BH66" i="8"/>
  <c r="BH40" i="8"/>
  <c r="BH101" i="8"/>
  <c r="BH49" i="8"/>
  <c r="BH53" i="8"/>
  <c r="BH32" i="8"/>
  <c r="BH43" i="8"/>
  <c r="BH63" i="8"/>
  <c r="BH97" i="8"/>
  <c r="BH122" i="8"/>
  <c r="BH29" i="8"/>
  <c r="BH95" i="8"/>
  <c r="BH104" i="8"/>
  <c r="BH50" i="8"/>
  <c r="BH98" i="8"/>
  <c r="BI28" i="8"/>
  <c r="BH88" i="8"/>
  <c r="BH119" i="8"/>
  <c r="BH64" i="8"/>
  <c r="BH48" i="8"/>
  <c r="BH111" i="8"/>
  <c r="BH65" i="8"/>
  <c r="BH89" i="8"/>
  <c r="BH117" i="8"/>
  <c r="BH70" i="8"/>
  <c r="BH120" i="8"/>
  <c r="BH91" i="8"/>
  <c r="BH92" i="8"/>
  <c r="BH41" i="8"/>
  <c r="BH59" i="8"/>
  <c r="BH74" i="8"/>
  <c r="BH87" i="8"/>
  <c r="BH37" i="8"/>
  <c r="BH51" i="8"/>
  <c r="BH107" i="8"/>
  <c r="BH39" i="8"/>
  <c r="BH79" i="8"/>
  <c r="BH75" i="8"/>
  <c r="BH45" i="8"/>
  <c r="BH33" i="8"/>
  <c r="BH81" i="8"/>
  <c r="BH80" i="8"/>
  <c r="BH76" i="8"/>
  <c r="BH103" i="8"/>
  <c r="BG139" i="8"/>
  <c r="BI110" i="8" l="1"/>
  <c r="BI97" i="8"/>
  <c r="BI96" i="8"/>
  <c r="BI107" i="8"/>
  <c r="BI115" i="8"/>
  <c r="BI32" i="8"/>
  <c r="BI46" i="8"/>
  <c r="BI94" i="8"/>
  <c r="BI80" i="8"/>
  <c r="BI67" i="8"/>
  <c r="BI73" i="8"/>
  <c r="BI72" i="8"/>
  <c r="BI87" i="8"/>
  <c r="BI30" i="8"/>
  <c r="BI55" i="8"/>
  <c r="BI114" i="8"/>
  <c r="BI122" i="8"/>
  <c r="BI37" i="8"/>
  <c r="BI85" i="8"/>
  <c r="BI84" i="8"/>
  <c r="BI82" i="8"/>
  <c r="BI112" i="8"/>
  <c r="BI40" i="8"/>
  <c r="BI68" i="8"/>
  <c r="BI44" i="8"/>
  <c r="BI70" i="8"/>
  <c r="BI98" i="8"/>
  <c r="BI54" i="8"/>
  <c r="BI48" i="8"/>
  <c r="BI41" i="8"/>
  <c r="BI59" i="8"/>
  <c r="BI77" i="8"/>
  <c r="BI113" i="8"/>
  <c r="BI35" i="8"/>
  <c r="BI123" i="8"/>
  <c r="BI100" i="8"/>
  <c r="BI74" i="8"/>
  <c r="BI108" i="8"/>
  <c r="BI69" i="8"/>
  <c r="BI64" i="8"/>
  <c r="BI120" i="8"/>
  <c r="BI99" i="8"/>
  <c r="BI91" i="8"/>
  <c r="BI124" i="8"/>
  <c r="BI86" i="8"/>
  <c r="BI76" i="8"/>
  <c r="BI52" i="8"/>
  <c r="BI31" i="8"/>
  <c r="BI105" i="8"/>
  <c r="BI33" i="8"/>
  <c r="BI118" i="8"/>
  <c r="BI81" i="8"/>
  <c r="BI83" i="8"/>
  <c r="BI78" i="8"/>
  <c r="BI121" i="8"/>
  <c r="BI47" i="8"/>
  <c r="BI38" i="8"/>
  <c r="BI93" i="8"/>
  <c r="BI56" i="8"/>
  <c r="BI42" i="8"/>
  <c r="BI53" i="8"/>
  <c r="BI116" i="8"/>
  <c r="BI71" i="8"/>
  <c r="BI75" i="8"/>
  <c r="BI50" i="8"/>
  <c r="BI104" i="8"/>
  <c r="BI92" i="8"/>
  <c r="BI109" i="8"/>
  <c r="BI66" i="8"/>
  <c r="BI111" i="8"/>
  <c r="BJ28" i="8"/>
  <c r="BI95" i="8"/>
  <c r="BI57" i="8"/>
  <c r="BI117" i="8"/>
  <c r="BI79" i="8"/>
  <c r="BI103" i="8"/>
  <c r="BI43" i="8"/>
  <c r="BI34" i="8"/>
  <c r="BI60" i="8"/>
  <c r="BI45" i="8"/>
  <c r="BI106" i="8"/>
  <c r="BI63" i="8"/>
  <c r="BI101" i="8"/>
  <c r="BI29" i="8"/>
  <c r="BI88" i="8"/>
  <c r="BI36" i="8"/>
  <c r="BI119" i="8"/>
  <c r="BI65" i="8"/>
  <c r="BI58" i="8"/>
  <c r="BI102" i="8"/>
  <c r="BI51" i="8"/>
  <c r="BI49" i="8"/>
  <c r="BI90" i="8"/>
  <c r="BI62" i="8"/>
  <c r="BI39" i="8"/>
  <c r="BI61" i="8"/>
  <c r="BI89" i="8"/>
  <c r="BH139" i="8"/>
  <c r="BI139" i="8" l="1"/>
  <c r="BJ63" i="8"/>
  <c r="BJ29" i="8"/>
  <c r="BJ120" i="8"/>
  <c r="BJ118" i="8"/>
  <c r="BJ115" i="8"/>
  <c r="BJ41" i="8"/>
  <c r="BJ54" i="8"/>
  <c r="BJ110" i="8"/>
  <c r="BJ90" i="8"/>
  <c r="BJ67" i="8"/>
  <c r="BJ93" i="8"/>
  <c r="BJ98" i="8"/>
  <c r="BJ81" i="8"/>
  <c r="BJ122" i="8"/>
  <c r="BK28" i="8"/>
  <c r="BJ75" i="8"/>
  <c r="BJ103" i="8"/>
  <c r="BJ94" i="8"/>
  <c r="BJ117" i="8"/>
  <c r="BJ95" i="8"/>
  <c r="BJ104" i="8"/>
  <c r="BJ112" i="8"/>
  <c r="BJ38" i="8"/>
  <c r="BJ61" i="8"/>
  <c r="BJ96" i="8"/>
  <c r="BJ35" i="8"/>
  <c r="BJ123" i="8"/>
  <c r="BJ74" i="8"/>
  <c r="BJ68" i="8"/>
  <c r="BJ58" i="8"/>
  <c r="BJ83" i="8"/>
  <c r="BJ89" i="8"/>
  <c r="BJ32" i="8"/>
  <c r="BJ78" i="8"/>
  <c r="BJ116" i="8"/>
  <c r="BJ106" i="8"/>
  <c r="BJ52" i="8"/>
  <c r="BJ77" i="8"/>
  <c r="BJ46" i="8"/>
  <c r="BJ124" i="8"/>
  <c r="BJ111" i="8"/>
  <c r="BJ53" i="8"/>
  <c r="BJ65" i="8"/>
  <c r="BJ97" i="8"/>
  <c r="BJ60" i="8"/>
  <c r="BJ30" i="8"/>
  <c r="BJ121" i="8"/>
  <c r="BJ45" i="8"/>
  <c r="BJ79" i="8"/>
  <c r="BJ113" i="8"/>
  <c r="BJ59" i="8"/>
  <c r="BJ76" i="8"/>
  <c r="BJ31" i="8"/>
  <c r="BJ57" i="8"/>
  <c r="BJ92" i="8"/>
  <c r="BJ36" i="8"/>
  <c r="BJ85" i="8"/>
  <c r="BJ88" i="8"/>
  <c r="BJ47" i="8"/>
  <c r="BJ44" i="8"/>
  <c r="BJ39" i="8"/>
  <c r="BJ72" i="8"/>
  <c r="BJ56" i="8"/>
  <c r="BJ91" i="8"/>
  <c r="BJ51" i="8"/>
  <c r="BJ33" i="8"/>
  <c r="BJ55" i="8"/>
  <c r="BJ84" i="8"/>
  <c r="BJ107" i="8"/>
  <c r="BJ71" i="8"/>
  <c r="BJ87" i="8"/>
  <c r="BJ42" i="8"/>
  <c r="BJ43" i="8"/>
  <c r="BJ99" i="8"/>
  <c r="BJ119" i="8"/>
  <c r="BJ48" i="8"/>
  <c r="BJ101" i="8"/>
  <c r="BJ66" i="8"/>
  <c r="BJ62" i="8"/>
  <c r="BJ37" i="8"/>
  <c r="BJ108" i="8"/>
  <c r="BJ102" i="8"/>
  <c r="BJ109" i="8"/>
  <c r="BJ100" i="8"/>
  <c r="BJ86" i="8"/>
  <c r="BJ50" i="8"/>
  <c r="BJ69" i="8"/>
  <c r="BJ40" i="8"/>
  <c r="BJ114" i="8"/>
  <c r="BJ34" i="8"/>
  <c r="BJ105" i="8"/>
  <c r="BJ49" i="8"/>
  <c r="BJ73" i="8"/>
  <c r="BJ64" i="8"/>
  <c r="BJ80" i="8"/>
  <c r="BJ70" i="8"/>
  <c r="BJ82" i="8"/>
  <c r="BK52" i="8" l="1"/>
  <c r="BK40" i="8"/>
  <c r="BK119" i="8"/>
  <c r="BK121" i="8"/>
  <c r="BK37" i="8"/>
  <c r="BK65" i="8"/>
  <c r="BK69" i="8"/>
  <c r="BK122" i="8"/>
  <c r="BK77" i="8"/>
  <c r="BK45" i="8"/>
  <c r="BK106" i="8"/>
  <c r="BK98" i="8"/>
  <c r="BK104" i="8"/>
  <c r="BK117" i="8"/>
  <c r="BK72" i="8"/>
  <c r="BK89" i="8"/>
  <c r="BK123" i="8"/>
  <c r="BK101" i="8"/>
  <c r="BK97" i="8"/>
  <c r="BK112" i="8"/>
  <c r="BK103" i="8"/>
  <c r="BK44" i="8"/>
  <c r="BK80" i="8"/>
  <c r="BK99" i="8"/>
  <c r="BK71" i="8"/>
  <c r="BK51" i="8"/>
  <c r="BK81" i="8"/>
  <c r="BK70" i="8"/>
  <c r="BK73" i="8"/>
  <c r="BK88" i="8"/>
  <c r="BK114" i="8"/>
  <c r="BL28" i="8"/>
  <c r="BK93" i="8"/>
  <c r="BK109" i="8"/>
  <c r="BK55" i="8"/>
  <c r="BK54" i="8"/>
  <c r="BK95" i="8"/>
  <c r="BK76" i="8"/>
  <c r="BK56" i="8"/>
  <c r="BK32" i="8"/>
  <c r="BK46" i="8"/>
  <c r="BK62" i="8"/>
  <c r="BK64" i="8"/>
  <c r="BK38" i="8"/>
  <c r="BK90" i="8"/>
  <c r="BK79" i="8"/>
  <c r="BK74" i="8"/>
  <c r="BK78" i="8"/>
  <c r="BK63" i="8"/>
  <c r="BK85" i="8"/>
  <c r="BK48" i="8"/>
  <c r="BK110" i="8"/>
  <c r="BK115" i="8"/>
  <c r="BK102" i="8"/>
  <c r="BK86" i="8"/>
  <c r="BK59" i="8"/>
  <c r="BK91" i="8"/>
  <c r="BK60" i="8"/>
  <c r="BK29" i="8"/>
  <c r="BK124" i="8"/>
  <c r="BK33" i="8"/>
  <c r="BK92" i="8"/>
  <c r="BK42" i="8"/>
  <c r="BK108" i="8"/>
  <c r="BK105" i="8"/>
  <c r="BK61" i="8"/>
  <c r="BK118" i="8"/>
  <c r="BK30" i="8"/>
  <c r="BK57" i="8"/>
  <c r="BK96" i="8"/>
  <c r="BK49" i="8"/>
  <c r="BK66" i="8"/>
  <c r="BK100" i="8"/>
  <c r="BK107" i="8"/>
  <c r="BK39" i="8"/>
  <c r="BK35" i="8"/>
  <c r="BK34" i="8"/>
  <c r="BK94" i="8"/>
  <c r="BK113" i="8"/>
  <c r="BK83" i="8"/>
  <c r="BK41" i="8"/>
  <c r="BK82" i="8"/>
  <c r="BK31" i="8"/>
  <c r="BK75" i="8"/>
  <c r="BK36" i="8"/>
  <c r="BK84" i="8"/>
  <c r="BK47" i="8"/>
  <c r="BK120" i="8"/>
  <c r="BK67" i="8"/>
  <c r="BK50" i="8"/>
  <c r="BK53" i="8"/>
  <c r="BK68" i="8"/>
  <c r="BK87" i="8"/>
  <c r="BK116" i="8"/>
  <c r="BK43" i="8"/>
  <c r="BK58" i="8"/>
  <c r="BK111" i="8"/>
  <c r="BJ139" i="8"/>
  <c r="BK139" i="8" l="1"/>
  <c r="BL73" i="8"/>
  <c r="BL56" i="8"/>
  <c r="BL44" i="8"/>
  <c r="BL49" i="8"/>
  <c r="BL55" i="8"/>
  <c r="BL93" i="8"/>
  <c r="BL101" i="8"/>
  <c r="BL54" i="8"/>
  <c r="BL114" i="8"/>
  <c r="BL79" i="8"/>
  <c r="BL94" i="8"/>
  <c r="BL123" i="8"/>
  <c r="BL118" i="8"/>
  <c r="BL37" i="8"/>
  <c r="BL103" i="8"/>
  <c r="BL115" i="8"/>
  <c r="BL50" i="8"/>
  <c r="BL81" i="8"/>
  <c r="BL63" i="8"/>
  <c r="BL30" i="8"/>
  <c r="BL124" i="8"/>
  <c r="BL40" i="8"/>
  <c r="BL72" i="8"/>
  <c r="BL87" i="8"/>
  <c r="BL120" i="8"/>
  <c r="BL57" i="8"/>
  <c r="BL109" i="8"/>
  <c r="BL98" i="8"/>
  <c r="BL76" i="8"/>
  <c r="BL80" i="8"/>
  <c r="BL85" i="8"/>
  <c r="BL42" i="8"/>
  <c r="BL67" i="8"/>
  <c r="BL48" i="8"/>
  <c r="BL65" i="8"/>
  <c r="BL35" i="8"/>
  <c r="BL33" i="8"/>
  <c r="BL71" i="8"/>
  <c r="BL39" i="8"/>
  <c r="BL46" i="8"/>
  <c r="BL95" i="8"/>
  <c r="BL106" i="8"/>
  <c r="BL45" i="8"/>
  <c r="BL70" i="8"/>
  <c r="BL91" i="8"/>
  <c r="BM28" i="8"/>
  <c r="BL119" i="8"/>
  <c r="BL69" i="8"/>
  <c r="BL66" i="8"/>
  <c r="BL90" i="8"/>
  <c r="BL96" i="8"/>
  <c r="BL53" i="8"/>
  <c r="BL99" i="8"/>
  <c r="BL38" i="8"/>
  <c r="BL62" i="8"/>
  <c r="BL74" i="8"/>
  <c r="BL121" i="8"/>
  <c r="BL102" i="8"/>
  <c r="BL75" i="8"/>
  <c r="BL122" i="8"/>
  <c r="BL34" i="8"/>
  <c r="BL78" i="8"/>
  <c r="BL104" i="8"/>
  <c r="BL89" i="8"/>
  <c r="BL64" i="8"/>
  <c r="BL41" i="8"/>
  <c r="BL84" i="8"/>
  <c r="BL92" i="8"/>
  <c r="BL100" i="8"/>
  <c r="BL83" i="8"/>
  <c r="BL117" i="8"/>
  <c r="BL116" i="8"/>
  <c r="BL110" i="8"/>
  <c r="BL86" i="8"/>
  <c r="BL112" i="8"/>
  <c r="BL47" i="8"/>
  <c r="BL107" i="8"/>
  <c r="BL29" i="8"/>
  <c r="BL60" i="8"/>
  <c r="BL59" i="8"/>
  <c r="BL31" i="8"/>
  <c r="BL113" i="8"/>
  <c r="BL43" i="8"/>
  <c r="BL108" i="8"/>
  <c r="BL61" i="8"/>
  <c r="BL68" i="8"/>
  <c r="BL88" i="8"/>
  <c r="BL77" i="8"/>
  <c r="BL51" i="8"/>
  <c r="BL111" i="8"/>
  <c r="BL105" i="8"/>
  <c r="BL58" i="8"/>
  <c r="BL97" i="8"/>
  <c r="BL32" i="8"/>
  <c r="BL82" i="8"/>
  <c r="BL36" i="8"/>
  <c r="BL52" i="8"/>
  <c r="BL139" i="8" l="1"/>
  <c r="BM91" i="8"/>
  <c r="BM82" i="8"/>
  <c r="BM72" i="8"/>
  <c r="BM84" i="8"/>
  <c r="BM89" i="8"/>
  <c r="BM117" i="8"/>
  <c r="BM118" i="8"/>
  <c r="BM102" i="8"/>
  <c r="BM66" i="8"/>
  <c r="BM54" i="8"/>
  <c r="BM48" i="8"/>
  <c r="BM43" i="8"/>
  <c r="BM61" i="8"/>
  <c r="BM86" i="8"/>
  <c r="BM32" i="8"/>
  <c r="BM46" i="8"/>
  <c r="BM77" i="8"/>
  <c r="BM92" i="8"/>
  <c r="BM60" i="8"/>
  <c r="BM52" i="8"/>
  <c r="BM45" i="8"/>
  <c r="BM67" i="8"/>
  <c r="BM109" i="8"/>
  <c r="BM42" i="8"/>
  <c r="BM70" i="8"/>
  <c r="BM108" i="8"/>
  <c r="BM123" i="8"/>
  <c r="BM121" i="8"/>
  <c r="BM106" i="8"/>
  <c r="BM100" i="8"/>
  <c r="BM47" i="8"/>
  <c r="BM79" i="8"/>
  <c r="BM101" i="8"/>
  <c r="BM76" i="8"/>
  <c r="BM50" i="8"/>
  <c r="BM114" i="8"/>
  <c r="BM59" i="8"/>
  <c r="BM120" i="8"/>
  <c r="BM113" i="8"/>
  <c r="BM75" i="8"/>
  <c r="BM57" i="8"/>
  <c r="BM29" i="8"/>
  <c r="BM81" i="8"/>
  <c r="BM40" i="8"/>
  <c r="BN28" i="8"/>
  <c r="BM98" i="8"/>
  <c r="BM87" i="8"/>
  <c r="BM38" i="8"/>
  <c r="BM94" i="8"/>
  <c r="BM64" i="8"/>
  <c r="BM55" i="8"/>
  <c r="BM34" i="8"/>
  <c r="BM124" i="8"/>
  <c r="BM68" i="8"/>
  <c r="BM103" i="8"/>
  <c r="BM69" i="8"/>
  <c r="BM65" i="8"/>
  <c r="BM37" i="8"/>
  <c r="BM56" i="8"/>
  <c r="BM74" i="8"/>
  <c r="BM97" i="8"/>
  <c r="BM49" i="8"/>
  <c r="BM41" i="8"/>
  <c r="BM112" i="8"/>
  <c r="BM53" i="8"/>
  <c r="BM85" i="8"/>
  <c r="BM107" i="8"/>
  <c r="BM99" i="8"/>
  <c r="BM105" i="8"/>
  <c r="BM110" i="8"/>
  <c r="BM31" i="8"/>
  <c r="BM71" i="8"/>
  <c r="BM115" i="8"/>
  <c r="BM51" i="8"/>
  <c r="BM90" i="8"/>
  <c r="BM30" i="8"/>
  <c r="BM36" i="8"/>
  <c r="BM33" i="8"/>
  <c r="BM93" i="8"/>
  <c r="BM44" i="8"/>
  <c r="BM73" i="8"/>
  <c r="BM63" i="8"/>
  <c r="BM78" i="8"/>
  <c r="BM62" i="8"/>
  <c r="BM88" i="8"/>
  <c r="BM80" i="8"/>
  <c r="BM35" i="8"/>
  <c r="BM111" i="8"/>
  <c r="BM83" i="8"/>
  <c r="BM104" i="8"/>
  <c r="BM95" i="8"/>
  <c r="BM39" i="8"/>
  <c r="BM96" i="8"/>
  <c r="BM116" i="8"/>
  <c r="BM119" i="8"/>
  <c r="BM122" i="8"/>
  <c r="BM58" i="8"/>
  <c r="BM139" i="8" l="1"/>
  <c r="BN110" i="8"/>
  <c r="BN94" i="8"/>
  <c r="BN82" i="8"/>
  <c r="BN100" i="8"/>
  <c r="BN93" i="8"/>
  <c r="BN29" i="8"/>
  <c r="BN34" i="8"/>
  <c r="BN97" i="8"/>
  <c r="BN35" i="8"/>
  <c r="BN65" i="8"/>
  <c r="BN55" i="8"/>
  <c r="BN48" i="8"/>
  <c r="BN67" i="8"/>
  <c r="BN83" i="8"/>
  <c r="BN40" i="8"/>
  <c r="BN56" i="8"/>
  <c r="BN102" i="8"/>
  <c r="BN47" i="8"/>
  <c r="BN74" i="8"/>
  <c r="BN61" i="8"/>
  <c r="BN57" i="8"/>
  <c r="BN79" i="8"/>
  <c r="BN122" i="8"/>
  <c r="BO28" i="8"/>
  <c r="BN90" i="8"/>
  <c r="BN31" i="8"/>
  <c r="BN103" i="8"/>
  <c r="BN63" i="8"/>
  <c r="BN32" i="8"/>
  <c r="BN111" i="8"/>
  <c r="BN37" i="8"/>
  <c r="BN60" i="8"/>
  <c r="BN91" i="8"/>
  <c r="BN109" i="8"/>
  <c r="BN66" i="8"/>
  <c r="BN53" i="8"/>
  <c r="BN88" i="8"/>
  <c r="BN118" i="8"/>
  <c r="BN112" i="8"/>
  <c r="BN76" i="8"/>
  <c r="BN49" i="8"/>
  <c r="BN36" i="8"/>
  <c r="BN84" i="8"/>
  <c r="BN33" i="8"/>
  <c r="BN120" i="8"/>
  <c r="BN86" i="8"/>
  <c r="BN107" i="8"/>
  <c r="BN114" i="8"/>
  <c r="BN113" i="8"/>
  <c r="BN38" i="8"/>
  <c r="BN117" i="8"/>
  <c r="BN99" i="8"/>
  <c r="BN44" i="8"/>
  <c r="BN51" i="8"/>
  <c r="BN115" i="8"/>
  <c r="BN72" i="8"/>
  <c r="BN41" i="8"/>
  <c r="BN124" i="8"/>
  <c r="BN64" i="8"/>
  <c r="BN45" i="8"/>
  <c r="BN75" i="8"/>
  <c r="BN116" i="8"/>
  <c r="BN85" i="8"/>
  <c r="BN71" i="8"/>
  <c r="BN119" i="8"/>
  <c r="BN87" i="8"/>
  <c r="BN52" i="8"/>
  <c r="BN46" i="8"/>
  <c r="BN104" i="8"/>
  <c r="BN77" i="8"/>
  <c r="BN58" i="8"/>
  <c r="BN89" i="8"/>
  <c r="BN39" i="8"/>
  <c r="BN50" i="8"/>
  <c r="BN96" i="8"/>
  <c r="BN42" i="8"/>
  <c r="BN69" i="8"/>
  <c r="BN121" i="8"/>
  <c r="BN95" i="8"/>
  <c r="BN59" i="8"/>
  <c r="BN106" i="8"/>
  <c r="BN101" i="8"/>
  <c r="BN78" i="8"/>
  <c r="BN98" i="8"/>
  <c r="BN80" i="8"/>
  <c r="BN108" i="8"/>
  <c r="BN81" i="8"/>
  <c r="BN123" i="8"/>
  <c r="BN105" i="8"/>
  <c r="BN30" i="8"/>
  <c r="BN54" i="8"/>
  <c r="BN68" i="8"/>
  <c r="BN70" i="8"/>
  <c r="BN43" i="8"/>
  <c r="BN92" i="8"/>
  <c r="BN62" i="8"/>
  <c r="BN73" i="8"/>
  <c r="BO62" i="8" l="1"/>
  <c r="BO73" i="8"/>
  <c r="BO58" i="8"/>
  <c r="BO124" i="8"/>
  <c r="BO43" i="8"/>
  <c r="BO79" i="8"/>
  <c r="BO101" i="8"/>
  <c r="BO103" i="8"/>
  <c r="BO118" i="8"/>
  <c r="BO30" i="8"/>
  <c r="BO55" i="8"/>
  <c r="BO121" i="8"/>
  <c r="BO94" i="8"/>
  <c r="BO120" i="8"/>
  <c r="BO53" i="8"/>
  <c r="BO115" i="8"/>
  <c r="BO46" i="8"/>
  <c r="BP28" i="8"/>
  <c r="BO92" i="8"/>
  <c r="BO67" i="8"/>
  <c r="BO34" i="8"/>
  <c r="BO106" i="8"/>
  <c r="BO32" i="8"/>
  <c r="BO89" i="8"/>
  <c r="BO123" i="8"/>
  <c r="BO87" i="8"/>
  <c r="BO70" i="8"/>
  <c r="BO71" i="8"/>
  <c r="BO61" i="8"/>
  <c r="BO98" i="8"/>
  <c r="BO69" i="8"/>
  <c r="BO82" i="8"/>
  <c r="BO122" i="8"/>
  <c r="BO54" i="8"/>
  <c r="BO102" i="8"/>
  <c r="BO75" i="8"/>
  <c r="BO48" i="8"/>
  <c r="BO72" i="8"/>
  <c r="BO97" i="8"/>
  <c r="BO76" i="8"/>
  <c r="BO90" i="8"/>
  <c r="BO68" i="8"/>
  <c r="BO60" i="8"/>
  <c r="BO96" i="8"/>
  <c r="BO111" i="8"/>
  <c r="BO95" i="8"/>
  <c r="BO119" i="8"/>
  <c r="BO74" i="8"/>
  <c r="BO65" i="8"/>
  <c r="BO99" i="8"/>
  <c r="BO117" i="8"/>
  <c r="BO109" i="8"/>
  <c r="BO108" i="8"/>
  <c r="BO83" i="8"/>
  <c r="BO56" i="8"/>
  <c r="BO51" i="8"/>
  <c r="BO36" i="8"/>
  <c r="BO40" i="8"/>
  <c r="BO35" i="8"/>
  <c r="BO91" i="8"/>
  <c r="BO105" i="8"/>
  <c r="BO100" i="8"/>
  <c r="BO93" i="8"/>
  <c r="BO78" i="8"/>
  <c r="BO29" i="8"/>
  <c r="BO63" i="8"/>
  <c r="BO37" i="8"/>
  <c r="BO49" i="8"/>
  <c r="BO39" i="8"/>
  <c r="BO52" i="8"/>
  <c r="BO44" i="8"/>
  <c r="BO59" i="8"/>
  <c r="BO85" i="8"/>
  <c r="BO57" i="8"/>
  <c r="BO77" i="8"/>
  <c r="BO114" i="8"/>
  <c r="BO80" i="8"/>
  <c r="BO84" i="8"/>
  <c r="BO41" i="8"/>
  <c r="BO42" i="8"/>
  <c r="BO45" i="8"/>
  <c r="BO88" i="8"/>
  <c r="BO33" i="8"/>
  <c r="BO47" i="8"/>
  <c r="BO81" i="8"/>
  <c r="BO38" i="8"/>
  <c r="BO110" i="8"/>
  <c r="BO116" i="8"/>
  <c r="BO66" i="8"/>
  <c r="BO104" i="8"/>
  <c r="BO113" i="8"/>
  <c r="BO31" i="8"/>
  <c r="BO107" i="8"/>
  <c r="BO86" i="8"/>
  <c r="BO50" i="8"/>
  <c r="BO112" i="8"/>
  <c r="BO64" i="8"/>
  <c r="BN139" i="8"/>
  <c r="BP67" i="8" l="1"/>
  <c r="BP49" i="8"/>
  <c r="BP31" i="8"/>
  <c r="BP34" i="8"/>
  <c r="BP46" i="8"/>
  <c r="BP57" i="8"/>
  <c r="BP71" i="8"/>
  <c r="BP30" i="8"/>
  <c r="BP58" i="8"/>
  <c r="BP73" i="8"/>
  <c r="BP90" i="8"/>
  <c r="BP94" i="8"/>
  <c r="BP100" i="8"/>
  <c r="BP106" i="8"/>
  <c r="BP48" i="8"/>
  <c r="BP74" i="8"/>
  <c r="BP96" i="8"/>
  <c r="BP78" i="8"/>
  <c r="BP117" i="8"/>
  <c r="BP88" i="8"/>
  <c r="BP102" i="8"/>
  <c r="BP33" i="8"/>
  <c r="BP69" i="8"/>
  <c r="BP99" i="8"/>
  <c r="BP40" i="8"/>
  <c r="BP101" i="8"/>
  <c r="BP42" i="8"/>
  <c r="BP52" i="8"/>
  <c r="BP105" i="8"/>
  <c r="BP80" i="8"/>
  <c r="BP114" i="8"/>
  <c r="BP119" i="8"/>
  <c r="BP41" i="8"/>
  <c r="BP62" i="8"/>
  <c r="BP54" i="8"/>
  <c r="BP66" i="8"/>
  <c r="BP104" i="8"/>
  <c r="BP97" i="8"/>
  <c r="BP38" i="8"/>
  <c r="BP43" i="8"/>
  <c r="BQ28" i="8"/>
  <c r="BP63" i="8"/>
  <c r="BP64" i="8"/>
  <c r="BP81" i="8"/>
  <c r="BP53" i="8"/>
  <c r="BP109" i="8"/>
  <c r="BP47" i="8"/>
  <c r="BP86" i="8"/>
  <c r="BP56" i="8"/>
  <c r="BP70" i="8"/>
  <c r="BP85" i="8"/>
  <c r="BP65" i="8"/>
  <c r="BP108" i="8"/>
  <c r="BP72" i="8"/>
  <c r="BP116" i="8"/>
  <c r="BP95" i="8"/>
  <c r="BP112" i="8"/>
  <c r="BP51" i="8"/>
  <c r="BP107" i="8"/>
  <c r="BP50" i="8"/>
  <c r="BP82" i="8"/>
  <c r="BP123" i="8"/>
  <c r="BP37" i="8"/>
  <c r="BP122" i="8"/>
  <c r="BP39" i="8"/>
  <c r="BP45" i="8"/>
  <c r="BP35" i="8"/>
  <c r="BP84" i="8"/>
  <c r="BP77" i="8"/>
  <c r="BP124" i="8"/>
  <c r="BP110" i="8"/>
  <c r="BP87" i="8"/>
  <c r="BP75" i="8"/>
  <c r="BP44" i="8"/>
  <c r="BP36" i="8"/>
  <c r="BP121" i="8"/>
  <c r="BP32" i="8"/>
  <c r="BP89" i="8"/>
  <c r="BP115" i="8"/>
  <c r="BP29" i="8"/>
  <c r="BP120" i="8"/>
  <c r="BP111" i="8"/>
  <c r="BP83" i="8"/>
  <c r="BP113" i="8"/>
  <c r="BP91" i="8"/>
  <c r="BP79" i="8"/>
  <c r="BP118" i="8"/>
  <c r="BP98" i="8"/>
  <c r="BP68" i="8"/>
  <c r="BP59" i="8"/>
  <c r="BP76" i="8"/>
  <c r="BP103" i="8"/>
  <c r="BP93" i="8"/>
  <c r="BP92" i="8"/>
  <c r="BP61" i="8"/>
  <c r="BP60" i="8"/>
  <c r="BP55" i="8"/>
  <c r="BO139" i="8"/>
  <c r="BP139" i="8" l="1"/>
  <c r="BQ73" i="8"/>
  <c r="BQ54" i="8"/>
  <c r="BQ38" i="8"/>
  <c r="BQ42" i="8"/>
  <c r="BQ55" i="8"/>
  <c r="BQ70" i="8"/>
  <c r="BQ105" i="8"/>
  <c r="BQ113" i="8"/>
  <c r="BQ57" i="8"/>
  <c r="BQ93" i="8"/>
  <c r="BQ104" i="8"/>
  <c r="BQ107" i="8"/>
  <c r="BQ106" i="8"/>
  <c r="BQ34" i="8"/>
  <c r="BQ56" i="8"/>
  <c r="BQ118" i="8"/>
  <c r="BQ72" i="8"/>
  <c r="BQ122" i="8"/>
  <c r="BQ120" i="8"/>
  <c r="BQ98" i="8"/>
  <c r="BQ117" i="8"/>
  <c r="BQ44" i="8"/>
  <c r="BQ82" i="8"/>
  <c r="BQ45" i="8"/>
  <c r="BQ89" i="8"/>
  <c r="BQ71" i="8"/>
  <c r="BQ33" i="8"/>
  <c r="BQ50" i="8"/>
  <c r="BQ88" i="8"/>
  <c r="BQ35" i="8"/>
  <c r="BQ61" i="8"/>
  <c r="BQ76" i="8"/>
  <c r="BQ47" i="8"/>
  <c r="BQ41" i="8"/>
  <c r="BQ51" i="8"/>
  <c r="BQ87" i="8"/>
  <c r="BQ46" i="8"/>
  <c r="BQ81" i="8"/>
  <c r="BQ95" i="8"/>
  <c r="BQ103" i="8"/>
  <c r="BQ62" i="8"/>
  <c r="BQ49" i="8"/>
  <c r="BQ64" i="8"/>
  <c r="BQ110" i="8"/>
  <c r="BQ96" i="8"/>
  <c r="BQ109" i="8"/>
  <c r="BQ115" i="8"/>
  <c r="BQ108" i="8"/>
  <c r="BQ63" i="8"/>
  <c r="BQ60" i="8"/>
  <c r="BQ78" i="8"/>
  <c r="BQ119" i="8"/>
  <c r="BQ100" i="8"/>
  <c r="BQ30" i="8"/>
  <c r="BQ43" i="8"/>
  <c r="BQ67" i="8"/>
  <c r="BQ90" i="8"/>
  <c r="BQ31" i="8"/>
  <c r="BQ92" i="8"/>
  <c r="BQ36" i="8"/>
  <c r="BQ83" i="8"/>
  <c r="BQ39" i="8"/>
  <c r="BQ101" i="8"/>
  <c r="BQ66" i="8"/>
  <c r="BQ59" i="8"/>
  <c r="BQ40" i="8"/>
  <c r="BQ111" i="8"/>
  <c r="BQ80" i="8"/>
  <c r="BQ77" i="8"/>
  <c r="BQ91" i="8"/>
  <c r="BQ69" i="8"/>
  <c r="BQ68" i="8"/>
  <c r="BR28" i="8"/>
  <c r="BQ84" i="8"/>
  <c r="BQ79" i="8"/>
  <c r="BQ58" i="8"/>
  <c r="BQ32" i="8"/>
  <c r="BQ123" i="8"/>
  <c r="BQ37" i="8"/>
  <c r="BQ121" i="8"/>
  <c r="BQ102" i="8"/>
  <c r="BQ85" i="8"/>
  <c r="BQ112" i="8"/>
  <c r="BQ99" i="8"/>
  <c r="BQ74" i="8"/>
  <c r="BQ52" i="8"/>
  <c r="BQ86" i="8"/>
  <c r="BQ75" i="8"/>
  <c r="BQ53" i="8"/>
  <c r="BQ116" i="8"/>
  <c r="BQ124" i="8"/>
  <c r="BQ29" i="8"/>
  <c r="BQ65" i="8"/>
  <c r="BQ114" i="8"/>
  <c r="BQ48" i="8"/>
  <c r="BQ97" i="8"/>
  <c r="BQ94" i="8"/>
  <c r="BR100" i="8" l="1"/>
  <c r="BR64" i="8"/>
  <c r="BR51" i="8"/>
  <c r="BR68" i="8"/>
  <c r="BR69" i="8"/>
  <c r="BR77" i="8"/>
  <c r="BR73" i="8"/>
  <c r="BR83" i="8"/>
  <c r="BR50" i="8"/>
  <c r="BR105" i="8"/>
  <c r="BR62" i="8"/>
  <c r="BR29" i="8"/>
  <c r="BR117" i="8"/>
  <c r="BR33" i="8"/>
  <c r="BR54" i="8"/>
  <c r="BR71" i="8"/>
  <c r="BR99" i="8"/>
  <c r="BR46" i="8"/>
  <c r="BR91" i="8"/>
  <c r="BR63" i="8"/>
  <c r="BR43" i="8"/>
  <c r="BR31" i="8"/>
  <c r="BR47" i="8"/>
  <c r="BR67" i="8"/>
  <c r="BR81" i="8"/>
  <c r="BR124" i="8"/>
  <c r="BR65" i="8"/>
  <c r="BR97" i="8"/>
  <c r="BR120" i="8"/>
  <c r="BR40" i="8"/>
  <c r="BR94" i="8"/>
  <c r="BR35" i="8"/>
  <c r="BR122" i="8"/>
  <c r="BR90" i="8"/>
  <c r="BR56" i="8"/>
  <c r="BR86" i="8"/>
  <c r="BR44" i="8"/>
  <c r="BR110" i="8"/>
  <c r="BR38" i="8"/>
  <c r="BR39" i="8"/>
  <c r="BR103" i="8"/>
  <c r="BR72" i="8"/>
  <c r="BR48" i="8"/>
  <c r="BR59" i="8"/>
  <c r="BR107" i="8"/>
  <c r="BR57" i="8"/>
  <c r="BR41" i="8"/>
  <c r="BR32" i="8"/>
  <c r="BR118" i="8"/>
  <c r="BR53" i="8"/>
  <c r="BR78" i="8"/>
  <c r="BR115" i="8"/>
  <c r="BR70" i="8"/>
  <c r="BR76" i="8"/>
  <c r="BR84" i="8"/>
  <c r="BR75" i="8"/>
  <c r="BR96" i="8"/>
  <c r="BR95" i="8"/>
  <c r="BR98" i="8"/>
  <c r="BR34" i="8"/>
  <c r="BR45" i="8"/>
  <c r="BR85" i="8"/>
  <c r="BR93" i="8"/>
  <c r="BR111" i="8"/>
  <c r="BR82" i="8"/>
  <c r="BR116" i="8"/>
  <c r="BR121" i="8"/>
  <c r="BR123" i="8"/>
  <c r="BR55" i="8"/>
  <c r="BR92" i="8"/>
  <c r="BR114" i="8"/>
  <c r="BR37" i="8"/>
  <c r="BR66" i="8"/>
  <c r="BR106" i="8"/>
  <c r="BR109" i="8"/>
  <c r="BR88" i="8"/>
  <c r="BR101" i="8"/>
  <c r="BR80" i="8"/>
  <c r="BR89" i="8"/>
  <c r="BR60" i="8"/>
  <c r="BR52" i="8"/>
  <c r="BR30" i="8"/>
  <c r="BR36" i="8"/>
  <c r="BR49" i="8"/>
  <c r="BR112" i="8"/>
  <c r="BR87" i="8"/>
  <c r="BR42" i="8"/>
  <c r="BR61" i="8"/>
  <c r="BR102" i="8"/>
  <c r="BS28" i="8"/>
  <c r="BR108" i="8"/>
  <c r="BR104" i="8"/>
  <c r="BR119" i="8"/>
  <c r="BR79" i="8"/>
  <c r="BR74" i="8"/>
  <c r="BR113" i="8"/>
  <c r="BR58" i="8"/>
  <c r="BQ139" i="8"/>
  <c r="BS112" i="8" l="1"/>
  <c r="BS86" i="8"/>
  <c r="BS74" i="8"/>
  <c r="BS84" i="8"/>
  <c r="BS99" i="8"/>
  <c r="BS115" i="8"/>
  <c r="BS76" i="8"/>
  <c r="BS107" i="8"/>
  <c r="BS116" i="8"/>
  <c r="BS56" i="8"/>
  <c r="BS46" i="8"/>
  <c r="BS37" i="8"/>
  <c r="BS52" i="8"/>
  <c r="BS79" i="8"/>
  <c r="BS102" i="8"/>
  <c r="BS110" i="8"/>
  <c r="BS72" i="8"/>
  <c r="BS68" i="8"/>
  <c r="BS64" i="8"/>
  <c r="BS53" i="8"/>
  <c r="BS50" i="8"/>
  <c r="BS67" i="8"/>
  <c r="BS89" i="8"/>
  <c r="BS123" i="8"/>
  <c r="BS29" i="8"/>
  <c r="BS92" i="8"/>
  <c r="BS83" i="8"/>
  <c r="BS111" i="8"/>
  <c r="BS124" i="8"/>
  <c r="BS77" i="8"/>
  <c r="BS36" i="8"/>
  <c r="BS106" i="8"/>
  <c r="BS95" i="8"/>
  <c r="BS88" i="8"/>
  <c r="BS119" i="8"/>
  <c r="BS31" i="8"/>
  <c r="BS100" i="8"/>
  <c r="BS47" i="8"/>
  <c r="BS117" i="8"/>
  <c r="BS40" i="8"/>
  <c r="BS35" i="8"/>
  <c r="BS34" i="8"/>
  <c r="BS51" i="8"/>
  <c r="BS109" i="8"/>
  <c r="BS55" i="8"/>
  <c r="BS48" i="8"/>
  <c r="BS118" i="8"/>
  <c r="BS39" i="8"/>
  <c r="BS42" i="8"/>
  <c r="BS61" i="8"/>
  <c r="BS122" i="8"/>
  <c r="BS69" i="8"/>
  <c r="BS57" i="8"/>
  <c r="BS41" i="8"/>
  <c r="BS44" i="8"/>
  <c r="BS70" i="8"/>
  <c r="BS78" i="8"/>
  <c r="BS105" i="8"/>
  <c r="BS54" i="8"/>
  <c r="BS38" i="8"/>
  <c r="BS103" i="8"/>
  <c r="BS114" i="8"/>
  <c r="BS91" i="8"/>
  <c r="BS32" i="8"/>
  <c r="BS60" i="8"/>
  <c r="BS73" i="8"/>
  <c r="BS98" i="8"/>
  <c r="BS43" i="8"/>
  <c r="BS87" i="8"/>
  <c r="BS121" i="8"/>
  <c r="BS65" i="8"/>
  <c r="BS33" i="8"/>
  <c r="BS59" i="8"/>
  <c r="BS75" i="8"/>
  <c r="BS45" i="8"/>
  <c r="BS80" i="8"/>
  <c r="BS97" i="8"/>
  <c r="BS101" i="8"/>
  <c r="BS71" i="8"/>
  <c r="BS113" i="8"/>
  <c r="BS62" i="8"/>
  <c r="BS81" i="8"/>
  <c r="BS63" i="8"/>
  <c r="BS93" i="8"/>
  <c r="BS85" i="8"/>
  <c r="BS49" i="8"/>
  <c r="BS82" i="8"/>
  <c r="BS90" i="8"/>
  <c r="BS108" i="8"/>
  <c r="BS96" i="8"/>
  <c r="BS66" i="8"/>
  <c r="BS30" i="8"/>
  <c r="BS58" i="8"/>
  <c r="BS94" i="8"/>
  <c r="BS120" i="8"/>
  <c r="BT28" i="8"/>
  <c r="BS104" i="8"/>
  <c r="BR139" i="8"/>
  <c r="BT75" i="8" l="1"/>
  <c r="BT54" i="8"/>
  <c r="BT37" i="8"/>
  <c r="BT44" i="8"/>
  <c r="BT53" i="8"/>
  <c r="BT69" i="8"/>
  <c r="BT121" i="8"/>
  <c r="BT59" i="8"/>
  <c r="BT61" i="8"/>
  <c r="BT76" i="8"/>
  <c r="BT86" i="8"/>
  <c r="BT60" i="8"/>
  <c r="BT43" i="8"/>
  <c r="BT51" i="8"/>
  <c r="BT67" i="8"/>
  <c r="BT78" i="8"/>
  <c r="BT40" i="8"/>
  <c r="BT80" i="8"/>
  <c r="BT117" i="8"/>
  <c r="BT88" i="8"/>
  <c r="BT96" i="8"/>
  <c r="BT94" i="8"/>
  <c r="BT116" i="8"/>
  <c r="BT72" i="8"/>
  <c r="BT110" i="8"/>
  <c r="BT77" i="8"/>
  <c r="BT31" i="8"/>
  <c r="BT101" i="8"/>
  <c r="BT119" i="8"/>
  <c r="BT115" i="8"/>
  <c r="BT32" i="8"/>
  <c r="BT95" i="8"/>
  <c r="BT120" i="8"/>
  <c r="BT92" i="8"/>
  <c r="BU28" i="8"/>
  <c r="BT112" i="8"/>
  <c r="BT114" i="8"/>
  <c r="BT65" i="8"/>
  <c r="BT109" i="8"/>
  <c r="BT36" i="8"/>
  <c r="BT108" i="8"/>
  <c r="BT58" i="8"/>
  <c r="BT34" i="8"/>
  <c r="BT30" i="8"/>
  <c r="BT81" i="8"/>
  <c r="BT106" i="8"/>
  <c r="BT50" i="8"/>
  <c r="BT41" i="8"/>
  <c r="BT122" i="8"/>
  <c r="BT56" i="8"/>
  <c r="BT68" i="8"/>
  <c r="BT79" i="8"/>
  <c r="BT90" i="8"/>
  <c r="BT48" i="8"/>
  <c r="BT93" i="8"/>
  <c r="BT35" i="8"/>
  <c r="BT85" i="8"/>
  <c r="BT29" i="8"/>
  <c r="BT98" i="8"/>
  <c r="BT46" i="8"/>
  <c r="BT123" i="8"/>
  <c r="BT74" i="8"/>
  <c r="BT63" i="8"/>
  <c r="BT52" i="8"/>
  <c r="BT118" i="8"/>
  <c r="BT42" i="8"/>
  <c r="BT38" i="8"/>
  <c r="BT62" i="8"/>
  <c r="BT66" i="8"/>
  <c r="BT33" i="8"/>
  <c r="BT113" i="8"/>
  <c r="BT82" i="8"/>
  <c r="BT105" i="8"/>
  <c r="BT102" i="8"/>
  <c r="BT111" i="8"/>
  <c r="BT64" i="8"/>
  <c r="BT97" i="8"/>
  <c r="BT99" i="8"/>
  <c r="BT39" i="8"/>
  <c r="BT73" i="8"/>
  <c r="BT47" i="8"/>
  <c r="BT84" i="8"/>
  <c r="BT83" i="8"/>
  <c r="BT70" i="8"/>
  <c r="BT91" i="8"/>
  <c r="BT87" i="8"/>
  <c r="BT55" i="8"/>
  <c r="BT49" i="8"/>
  <c r="BT103" i="8"/>
  <c r="BT107" i="8"/>
  <c r="BT124" i="8"/>
  <c r="BT89" i="8"/>
  <c r="BT104" i="8"/>
  <c r="BT57" i="8"/>
  <c r="BT45" i="8"/>
  <c r="BT100" i="8"/>
  <c r="BT71" i="8"/>
  <c r="BS139" i="8"/>
  <c r="BT139" i="8" l="1"/>
  <c r="BU92" i="8"/>
  <c r="BU67" i="8"/>
  <c r="BU51" i="8"/>
  <c r="BU68" i="8"/>
  <c r="BU80" i="8"/>
  <c r="BU94" i="8"/>
  <c r="BU49" i="8"/>
  <c r="BU72" i="8"/>
  <c r="BU97" i="8"/>
  <c r="BU77" i="8"/>
  <c r="BU118" i="8"/>
  <c r="BU121" i="8"/>
  <c r="BU31" i="8"/>
  <c r="BU55" i="8"/>
  <c r="BU75" i="8"/>
  <c r="BU57" i="8"/>
  <c r="BU116" i="8"/>
  <c r="BU87" i="8"/>
  <c r="BU33" i="8"/>
  <c r="BU32" i="8"/>
  <c r="BU42" i="8"/>
  <c r="BU65" i="8"/>
  <c r="BU98" i="8"/>
  <c r="BU86" i="8"/>
  <c r="BU39" i="8"/>
  <c r="BU45" i="8"/>
  <c r="BU63" i="8"/>
  <c r="BU41" i="8"/>
  <c r="BU38" i="8"/>
  <c r="BU52" i="8"/>
  <c r="BU90" i="8"/>
  <c r="BU112" i="8"/>
  <c r="BU109" i="8"/>
  <c r="BU73" i="8"/>
  <c r="BU89" i="8"/>
  <c r="BU62" i="8"/>
  <c r="BU47" i="8"/>
  <c r="BU50" i="8"/>
  <c r="BU78" i="8"/>
  <c r="BU101" i="8"/>
  <c r="BU122" i="8"/>
  <c r="BU30" i="8"/>
  <c r="BU91" i="8"/>
  <c r="BU103" i="8"/>
  <c r="BU102" i="8"/>
  <c r="BU95" i="8"/>
  <c r="BU123" i="8"/>
  <c r="BU120" i="8"/>
  <c r="BU36" i="8"/>
  <c r="BU54" i="8"/>
  <c r="BU100" i="8"/>
  <c r="BU35" i="8"/>
  <c r="BV28" i="8"/>
  <c r="BU81" i="8"/>
  <c r="BU64" i="8"/>
  <c r="BU117" i="8"/>
  <c r="BU46" i="8"/>
  <c r="BU58" i="8"/>
  <c r="BU40" i="8"/>
  <c r="BU88" i="8"/>
  <c r="BU85" i="8"/>
  <c r="BU56" i="8"/>
  <c r="BU79" i="8"/>
  <c r="BU59" i="8"/>
  <c r="BU66" i="8"/>
  <c r="BU114" i="8"/>
  <c r="BU119" i="8"/>
  <c r="BU48" i="8"/>
  <c r="BU96" i="8"/>
  <c r="BU110" i="8"/>
  <c r="BU53" i="8"/>
  <c r="BU104" i="8"/>
  <c r="BU29" i="8"/>
  <c r="BU71" i="8"/>
  <c r="BU34" i="8"/>
  <c r="BU115" i="8"/>
  <c r="BU82" i="8"/>
  <c r="BU44" i="8"/>
  <c r="BU43" i="8"/>
  <c r="BU111" i="8"/>
  <c r="BU108" i="8"/>
  <c r="BU69" i="8"/>
  <c r="BU60" i="8"/>
  <c r="BU61" i="8"/>
  <c r="BU124" i="8"/>
  <c r="BU113" i="8"/>
  <c r="BU107" i="8"/>
  <c r="BU106" i="8"/>
  <c r="BU76" i="8"/>
  <c r="BU70" i="8"/>
  <c r="BU37" i="8"/>
  <c r="BU84" i="8"/>
  <c r="BU105" i="8"/>
  <c r="BU74" i="8"/>
  <c r="BU93" i="8"/>
  <c r="BU83" i="8"/>
  <c r="BU99" i="8"/>
  <c r="BU139" i="8" l="1"/>
  <c r="BV118" i="8"/>
  <c r="BV101" i="8"/>
  <c r="BV86" i="8"/>
  <c r="BV106" i="8"/>
  <c r="BV109" i="8"/>
  <c r="BV121" i="8"/>
  <c r="BV40" i="8"/>
  <c r="BV65" i="8"/>
  <c r="BV60" i="8"/>
  <c r="BV63" i="8"/>
  <c r="BV123" i="8"/>
  <c r="BV87" i="8"/>
  <c r="BV102" i="8"/>
  <c r="BV105" i="8"/>
  <c r="BV119" i="8"/>
  <c r="BV35" i="8"/>
  <c r="BV76" i="8"/>
  <c r="BV79" i="8"/>
  <c r="BV115" i="8"/>
  <c r="BV62" i="8"/>
  <c r="BV31" i="8"/>
  <c r="BV114" i="8"/>
  <c r="BV103" i="8"/>
  <c r="BV117" i="8"/>
  <c r="BV36" i="8"/>
  <c r="BV44" i="8"/>
  <c r="BV97" i="8"/>
  <c r="BV99" i="8"/>
  <c r="BV72" i="8"/>
  <c r="BV55" i="8"/>
  <c r="BV41" i="8"/>
  <c r="BV107" i="8"/>
  <c r="BV93" i="8"/>
  <c r="BV34" i="8"/>
  <c r="BV49" i="8"/>
  <c r="BV74" i="8"/>
  <c r="BV124" i="8"/>
  <c r="BV29" i="8"/>
  <c r="BV83" i="8"/>
  <c r="BV73" i="8"/>
  <c r="BV90" i="8"/>
  <c r="BV68" i="8"/>
  <c r="BV70" i="8"/>
  <c r="BV122" i="8"/>
  <c r="BV89" i="8"/>
  <c r="BV82" i="8"/>
  <c r="BV32" i="8"/>
  <c r="BV80" i="8"/>
  <c r="BV75" i="8"/>
  <c r="BV43" i="8"/>
  <c r="BV58" i="8"/>
  <c r="BV94" i="8"/>
  <c r="BV38" i="8"/>
  <c r="BV88" i="8"/>
  <c r="BV96" i="8"/>
  <c r="BV57" i="8"/>
  <c r="BV116" i="8"/>
  <c r="BV104" i="8"/>
  <c r="BV46" i="8"/>
  <c r="BV47" i="8"/>
  <c r="BV110" i="8"/>
  <c r="BV81" i="8"/>
  <c r="BV85" i="8"/>
  <c r="BV53" i="8"/>
  <c r="BV78" i="8"/>
  <c r="BV69" i="8"/>
  <c r="BV120" i="8"/>
  <c r="BV48" i="8"/>
  <c r="BV42" i="8"/>
  <c r="BV50" i="8"/>
  <c r="BV61" i="8"/>
  <c r="BV111" i="8"/>
  <c r="BV59" i="8"/>
  <c r="BV92" i="8"/>
  <c r="BW28" i="8"/>
  <c r="BV67" i="8"/>
  <c r="BV108" i="8"/>
  <c r="BV98" i="8"/>
  <c r="BV77" i="8"/>
  <c r="BV56" i="8"/>
  <c r="BV84" i="8"/>
  <c r="BV33" i="8"/>
  <c r="BV39" i="8"/>
  <c r="BV54" i="8"/>
  <c r="BV100" i="8"/>
  <c r="BV71" i="8"/>
  <c r="BV51" i="8"/>
  <c r="BV30" i="8"/>
  <c r="BV95" i="8"/>
  <c r="BV112" i="8"/>
  <c r="BV37" i="8"/>
  <c r="BV66" i="8"/>
  <c r="BV91" i="8"/>
  <c r="BV64" i="8"/>
  <c r="BV45" i="8"/>
  <c r="BV52" i="8"/>
  <c r="BV113" i="8"/>
  <c r="BV139" i="8" l="1"/>
  <c r="BW54" i="8"/>
  <c r="BW35" i="8"/>
  <c r="BW122" i="8"/>
  <c r="BW118" i="8"/>
  <c r="BW34" i="8"/>
  <c r="BW47" i="8"/>
  <c r="BW58" i="8"/>
  <c r="BW78" i="8"/>
  <c r="BW116" i="8"/>
  <c r="BW42" i="8"/>
  <c r="BW67" i="8"/>
  <c r="BW44" i="8"/>
  <c r="BW31" i="8"/>
  <c r="BW32" i="8"/>
  <c r="BW45" i="8"/>
  <c r="BW55" i="8"/>
  <c r="BW87" i="8"/>
  <c r="BW112" i="8"/>
  <c r="BW41" i="8"/>
  <c r="BW102" i="8"/>
  <c r="BW72" i="8"/>
  <c r="BW53" i="8"/>
  <c r="BW39" i="8"/>
  <c r="BW43" i="8"/>
  <c r="BW56" i="8"/>
  <c r="BW71" i="8"/>
  <c r="BW104" i="8"/>
  <c r="BW30" i="8"/>
  <c r="BW113" i="8"/>
  <c r="BW50" i="8"/>
  <c r="BW85" i="8"/>
  <c r="BW65" i="8"/>
  <c r="BW48" i="8"/>
  <c r="BW52" i="8"/>
  <c r="BW69" i="8"/>
  <c r="BW76" i="8"/>
  <c r="BW123" i="8"/>
  <c r="BX28" i="8"/>
  <c r="BW57" i="8"/>
  <c r="BW88" i="8"/>
  <c r="BW98" i="8"/>
  <c r="BW103" i="8"/>
  <c r="BW100" i="8"/>
  <c r="BW101" i="8"/>
  <c r="BW61" i="8"/>
  <c r="BW70" i="8"/>
  <c r="BW110" i="8"/>
  <c r="BW51" i="8"/>
  <c r="BW111" i="8"/>
  <c r="BW99" i="8"/>
  <c r="BW73" i="8"/>
  <c r="BW37" i="8"/>
  <c r="BW109" i="8"/>
  <c r="BW59" i="8"/>
  <c r="BW120" i="8"/>
  <c r="BW121" i="8"/>
  <c r="BW95" i="8"/>
  <c r="BW83" i="8"/>
  <c r="BW117" i="8"/>
  <c r="BW77" i="8"/>
  <c r="BW81" i="8"/>
  <c r="BW38" i="8"/>
  <c r="BW105" i="8"/>
  <c r="BW90" i="8"/>
  <c r="BW80" i="8"/>
  <c r="BW107" i="8"/>
  <c r="BW115" i="8"/>
  <c r="BW60" i="8"/>
  <c r="BW92" i="8"/>
  <c r="BW66" i="8"/>
  <c r="BW97" i="8"/>
  <c r="BW74" i="8"/>
  <c r="BW86" i="8"/>
  <c r="BW124" i="8"/>
  <c r="BW114" i="8"/>
  <c r="BW94" i="8"/>
  <c r="BW36" i="8"/>
  <c r="BW75" i="8"/>
  <c r="BW106" i="8"/>
  <c r="BW93" i="8"/>
  <c r="BW119" i="8"/>
  <c r="BW63" i="8"/>
  <c r="BW64" i="8"/>
  <c r="BW68" i="8"/>
  <c r="BW33" i="8"/>
  <c r="BW40" i="8"/>
  <c r="BW96" i="8"/>
  <c r="BW79" i="8"/>
  <c r="BW49" i="8"/>
  <c r="BW29" i="8"/>
  <c r="BW62" i="8"/>
  <c r="BW82" i="8"/>
  <c r="BW84" i="8"/>
  <c r="BW89" i="8"/>
  <c r="BW46" i="8"/>
  <c r="BW108" i="8"/>
  <c r="BW91" i="8"/>
  <c r="BX66" i="8" l="1"/>
  <c r="BX49" i="8"/>
  <c r="BX30" i="8"/>
  <c r="BX32" i="8"/>
  <c r="BX50" i="8"/>
  <c r="BX57" i="8"/>
  <c r="BX78" i="8"/>
  <c r="BX46" i="8"/>
  <c r="BX71" i="8"/>
  <c r="BX61" i="8"/>
  <c r="BX75" i="8"/>
  <c r="BX54" i="8"/>
  <c r="BX42" i="8"/>
  <c r="BX48" i="8"/>
  <c r="BX53" i="8"/>
  <c r="BX69" i="8"/>
  <c r="BX123" i="8"/>
  <c r="BX55" i="8"/>
  <c r="BX29" i="8"/>
  <c r="BX94" i="8"/>
  <c r="BX83" i="8"/>
  <c r="BX64" i="8"/>
  <c r="BX45" i="8"/>
  <c r="BX51" i="8"/>
  <c r="BX68" i="8"/>
  <c r="BX72" i="8"/>
  <c r="BX40" i="8"/>
  <c r="BX80" i="8"/>
  <c r="BX84" i="8"/>
  <c r="BX119" i="8"/>
  <c r="BX97" i="8"/>
  <c r="BX65" i="8"/>
  <c r="BX52" i="8"/>
  <c r="BX67" i="8"/>
  <c r="BX70" i="8"/>
  <c r="BX99" i="8"/>
  <c r="BX74" i="8"/>
  <c r="BX111" i="8"/>
  <c r="BX38" i="8"/>
  <c r="BX124" i="8"/>
  <c r="BX98" i="8"/>
  <c r="BX118" i="8"/>
  <c r="BX108" i="8"/>
  <c r="BX115" i="8"/>
  <c r="BX114" i="8"/>
  <c r="BY28" i="8"/>
  <c r="BX121" i="8"/>
  <c r="BX60" i="8"/>
  <c r="BX116" i="8"/>
  <c r="BX96" i="8"/>
  <c r="BX106" i="8"/>
  <c r="BX113" i="8"/>
  <c r="BX110" i="8"/>
  <c r="BX79" i="8"/>
  <c r="BX33" i="8"/>
  <c r="BX36" i="8"/>
  <c r="BX47" i="8"/>
  <c r="BX59" i="8"/>
  <c r="BX35" i="8"/>
  <c r="BX89" i="8"/>
  <c r="BX95" i="8"/>
  <c r="BX43" i="8"/>
  <c r="BX58" i="8"/>
  <c r="BX62" i="8"/>
  <c r="BX93" i="8"/>
  <c r="BX120" i="8"/>
  <c r="BX122" i="8"/>
  <c r="BX88" i="8"/>
  <c r="BX31" i="8"/>
  <c r="BX76" i="8"/>
  <c r="BX112" i="8"/>
  <c r="BX102" i="8"/>
  <c r="BX90" i="8"/>
  <c r="BX34" i="8"/>
  <c r="BX87" i="8"/>
  <c r="BX92" i="8"/>
  <c r="BX41" i="8"/>
  <c r="BX39" i="8"/>
  <c r="BX117" i="8"/>
  <c r="BX109" i="8"/>
  <c r="BX101" i="8"/>
  <c r="BX63" i="8"/>
  <c r="BX81" i="8"/>
  <c r="BX37" i="8"/>
  <c r="BX107" i="8"/>
  <c r="BX82" i="8"/>
  <c r="BX56" i="8"/>
  <c r="BX77" i="8"/>
  <c r="BX100" i="8"/>
  <c r="BX103" i="8"/>
  <c r="BX44" i="8"/>
  <c r="BX85" i="8"/>
  <c r="BX104" i="8"/>
  <c r="BX91" i="8"/>
  <c r="BX105" i="8"/>
  <c r="BX73" i="8"/>
  <c r="BX86" i="8"/>
  <c r="BW139" i="8"/>
  <c r="BX139" i="8" l="1"/>
  <c r="BY92" i="8"/>
  <c r="BY69" i="8"/>
  <c r="BY51" i="8"/>
  <c r="BY55" i="8"/>
  <c r="BY59" i="8"/>
  <c r="BY109" i="8"/>
  <c r="BY66" i="8"/>
  <c r="BY29" i="8"/>
  <c r="BY57" i="8"/>
  <c r="BY68" i="8"/>
  <c r="BY97" i="8"/>
  <c r="BY79" i="8"/>
  <c r="BY58" i="8"/>
  <c r="BY56" i="8"/>
  <c r="BY67" i="8"/>
  <c r="BY111" i="8"/>
  <c r="BY88" i="8"/>
  <c r="BY76" i="8"/>
  <c r="BY70" i="8"/>
  <c r="BY90" i="8"/>
  <c r="BY34" i="8"/>
  <c r="BY89" i="8"/>
  <c r="BY86" i="8"/>
  <c r="BY43" i="8"/>
  <c r="BY108" i="8"/>
  <c r="BY93" i="8"/>
  <c r="BY83" i="8"/>
  <c r="BY75" i="8"/>
  <c r="BY105" i="8"/>
  <c r="BZ28" i="8"/>
  <c r="BY110" i="8"/>
  <c r="BY115" i="8"/>
  <c r="BY72" i="8"/>
  <c r="BY33" i="8"/>
  <c r="BY50" i="8"/>
  <c r="BY124" i="8"/>
  <c r="BY60" i="8"/>
  <c r="BY81" i="8"/>
  <c r="BY99" i="8"/>
  <c r="BY41" i="8"/>
  <c r="BY95" i="8"/>
  <c r="BY39" i="8"/>
  <c r="BY80" i="8"/>
  <c r="BY101" i="8"/>
  <c r="BY71" i="8"/>
  <c r="BY47" i="8"/>
  <c r="BY106" i="8"/>
  <c r="BY48" i="8"/>
  <c r="BY87" i="8"/>
  <c r="BY112" i="8"/>
  <c r="BY103" i="8"/>
  <c r="BY62" i="8"/>
  <c r="BY52" i="8"/>
  <c r="BY119" i="8"/>
  <c r="BY117" i="8"/>
  <c r="BY113" i="8"/>
  <c r="BY46" i="8"/>
  <c r="BY114" i="8"/>
  <c r="BY65" i="8"/>
  <c r="BY98" i="8"/>
  <c r="BY54" i="8"/>
  <c r="BY61" i="8"/>
  <c r="BY82" i="8"/>
  <c r="BY85" i="8"/>
  <c r="BY45" i="8"/>
  <c r="BY107" i="8"/>
  <c r="BY49" i="8"/>
  <c r="BY118" i="8"/>
  <c r="BY123" i="8"/>
  <c r="BY78" i="8"/>
  <c r="BY30" i="8"/>
  <c r="BY32" i="8"/>
  <c r="BY96" i="8"/>
  <c r="BY91" i="8"/>
  <c r="BY38" i="8"/>
  <c r="BY121" i="8"/>
  <c r="BY35" i="8"/>
  <c r="BY73" i="8"/>
  <c r="BY94" i="8"/>
  <c r="BY122" i="8"/>
  <c r="BY64" i="8"/>
  <c r="BY77" i="8"/>
  <c r="BY42" i="8"/>
  <c r="BY44" i="8"/>
  <c r="BY100" i="8"/>
  <c r="BY63" i="8"/>
  <c r="BY102" i="8"/>
  <c r="BY53" i="8"/>
  <c r="BY84" i="8"/>
  <c r="BY120" i="8"/>
  <c r="BY31" i="8"/>
  <c r="BY116" i="8"/>
  <c r="BY37" i="8"/>
  <c r="BY36" i="8"/>
  <c r="BY40" i="8"/>
  <c r="BY74" i="8"/>
  <c r="BY104" i="8"/>
  <c r="BY139" i="8" l="1"/>
  <c r="BZ104" i="8"/>
  <c r="BZ82" i="8"/>
  <c r="BZ59" i="8"/>
  <c r="BZ79" i="8"/>
  <c r="BZ101" i="8"/>
  <c r="BZ67" i="8"/>
  <c r="BZ118" i="8"/>
  <c r="BZ58" i="8"/>
  <c r="BZ122" i="8"/>
  <c r="BZ62" i="8"/>
  <c r="BZ121" i="8"/>
  <c r="BZ77" i="8"/>
  <c r="BZ102" i="8"/>
  <c r="BZ114" i="8"/>
  <c r="CA28" i="8"/>
  <c r="BZ111" i="8"/>
  <c r="BZ60" i="8"/>
  <c r="BZ56" i="8"/>
  <c r="BZ88" i="8"/>
  <c r="BZ55" i="8"/>
  <c r="BZ53" i="8"/>
  <c r="BZ51" i="8"/>
  <c r="BZ110" i="8"/>
  <c r="BZ75" i="8"/>
  <c r="BZ72" i="8"/>
  <c r="BZ50" i="8"/>
  <c r="BZ124" i="8"/>
  <c r="BZ66" i="8"/>
  <c r="BZ61" i="8"/>
  <c r="BZ78" i="8"/>
  <c r="BZ105" i="8"/>
  <c r="BZ86" i="8"/>
  <c r="BZ84" i="8"/>
  <c r="BZ108" i="8"/>
  <c r="BZ92" i="8"/>
  <c r="BZ71" i="8"/>
  <c r="BZ64" i="8"/>
  <c r="BZ90" i="8"/>
  <c r="BZ31" i="8"/>
  <c r="BZ107" i="8"/>
  <c r="BZ106" i="8"/>
  <c r="BZ37" i="8"/>
  <c r="BZ85" i="8"/>
  <c r="BZ81" i="8"/>
  <c r="BZ94" i="8"/>
  <c r="BZ103" i="8"/>
  <c r="BZ49" i="8"/>
  <c r="BZ119" i="8"/>
  <c r="BZ30" i="8"/>
  <c r="BZ112" i="8"/>
  <c r="BZ123" i="8"/>
  <c r="BZ120" i="8"/>
  <c r="BZ113" i="8"/>
  <c r="BZ42" i="8"/>
  <c r="BZ87" i="8"/>
  <c r="BZ93" i="8"/>
  <c r="BZ96" i="8"/>
  <c r="BZ89" i="8"/>
  <c r="BZ54" i="8"/>
  <c r="BZ97" i="8"/>
  <c r="BZ33" i="8"/>
  <c r="BZ83" i="8"/>
  <c r="BZ74" i="8"/>
  <c r="BZ34" i="8"/>
  <c r="BZ57" i="8"/>
  <c r="BZ91" i="8"/>
  <c r="BZ46" i="8"/>
  <c r="BZ43" i="8"/>
  <c r="BZ70" i="8"/>
  <c r="BZ40" i="8"/>
  <c r="BZ69" i="8"/>
  <c r="BZ48" i="8"/>
  <c r="BZ100" i="8"/>
  <c r="BZ52" i="8"/>
  <c r="BZ80" i="8"/>
  <c r="BZ32" i="8"/>
  <c r="BZ117" i="8"/>
  <c r="BZ95" i="8"/>
  <c r="BZ115" i="8"/>
  <c r="BZ47" i="8"/>
  <c r="BZ73" i="8"/>
  <c r="BZ36" i="8"/>
  <c r="BZ39" i="8"/>
  <c r="BZ99" i="8"/>
  <c r="BZ45" i="8"/>
  <c r="BZ63" i="8"/>
  <c r="BZ35" i="8"/>
  <c r="BZ98" i="8"/>
  <c r="BZ29" i="8"/>
  <c r="BZ116" i="8"/>
  <c r="BZ38" i="8"/>
  <c r="BZ41" i="8"/>
  <c r="BZ76" i="8"/>
  <c r="BZ109" i="8"/>
  <c r="BZ44" i="8"/>
  <c r="BZ65" i="8"/>
  <c r="BZ68" i="8"/>
  <c r="BZ139" i="8" l="1"/>
  <c r="CA53" i="8"/>
  <c r="CA82" i="8"/>
  <c r="CA81" i="8"/>
  <c r="CA92" i="8"/>
  <c r="CA123" i="8"/>
  <c r="CA48" i="8"/>
  <c r="CA79" i="8"/>
  <c r="CA118" i="8"/>
  <c r="CA106" i="8"/>
  <c r="CA54" i="8"/>
  <c r="CA78" i="8"/>
  <c r="CA116" i="8"/>
  <c r="CA115" i="8"/>
  <c r="CA70" i="8"/>
  <c r="CA51" i="8"/>
  <c r="CA71" i="8"/>
  <c r="CA119" i="8"/>
  <c r="CA56" i="8"/>
  <c r="CA104" i="8"/>
  <c r="CA41" i="8"/>
  <c r="CA60" i="8"/>
  <c r="CA67" i="8"/>
  <c r="CA85" i="8"/>
  <c r="CA61" i="8"/>
  <c r="CA93" i="8"/>
  <c r="CA34" i="8"/>
  <c r="CA75" i="8"/>
  <c r="CA111" i="8"/>
  <c r="CA77" i="8"/>
  <c r="CA90" i="8"/>
  <c r="CA91" i="8"/>
  <c r="CA74" i="8"/>
  <c r="CA102" i="8"/>
  <c r="CA47" i="8"/>
  <c r="CA80" i="8"/>
  <c r="CA121" i="8"/>
  <c r="CA114" i="8"/>
  <c r="CA31" i="8"/>
  <c r="CA98" i="8"/>
  <c r="CA96" i="8"/>
  <c r="CA122" i="8"/>
  <c r="CA52" i="8"/>
  <c r="CA99" i="8"/>
  <c r="CA68" i="8"/>
  <c r="CA36" i="8"/>
  <c r="CA49" i="8"/>
  <c r="CA100" i="8"/>
  <c r="CA38" i="8"/>
  <c r="CA88" i="8"/>
  <c r="CA89" i="8"/>
  <c r="CA33" i="8"/>
  <c r="CA65" i="8"/>
  <c r="CA40" i="8"/>
  <c r="CA97" i="8"/>
  <c r="CA45" i="8"/>
  <c r="CA57" i="8"/>
  <c r="CA86" i="8"/>
  <c r="CA69" i="8"/>
  <c r="CA58" i="8"/>
  <c r="CA83" i="8"/>
  <c r="CA42" i="8"/>
  <c r="CA94" i="8"/>
  <c r="CA87" i="8"/>
  <c r="CA66" i="8"/>
  <c r="CA44" i="8"/>
  <c r="CA108" i="8"/>
  <c r="CA113" i="8"/>
  <c r="CA84" i="8"/>
  <c r="CA124" i="8"/>
  <c r="CA62" i="8"/>
  <c r="CA43" i="8"/>
  <c r="CA103" i="8"/>
  <c r="CA59" i="8"/>
  <c r="CA72" i="8"/>
  <c r="CA30" i="8"/>
  <c r="CA32" i="8"/>
  <c r="CA76" i="8"/>
  <c r="CA29" i="8"/>
  <c r="CA63" i="8"/>
  <c r="CA35" i="8"/>
  <c r="CA110" i="8"/>
  <c r="CA105" i="8"/>
  <c r="CA37" i="8"/>
  <c r="CA50" i="8"/>
  <c r="CA101" i="8"/>
  <c r="CA64" i="8"/>
  <c r="CA120" i="8"/>
  <c r="CA112" i="8"/>
  <c r="CA95" i="8"/>
  <c r="CA39" i="8"/>
  <c r="CA117" i="8"/>
  <c r="CB28" i="8"/>
  <c r="CA55" i="8"/>
  <c r="CA73" i="8"/>
  <c r="CA109" i="8"/>
  <c r="CA46" i="8"/>
  <c r="CA107" i="8"/>
  <c r="CA139" i="8" l="1"/>
  <c r="CB62" i="8"/>
  <c r="CB36" i="8"/>
  <c r="CB114" i="8"/>
  <c r="CB124" i="8"/>
  <c r="CB38" i="8"/>
  <c r="CB47" i="8"/>
  <c r="CB52" i="8"/>
  <c r="CB87" i="8"/>
  <c r="CB121" i="8"/>
  <c r="CB98" i="8"/>
  <c r="CB123" i="8"/>
  <c r="CB110" i="8"/>
  <c r="CB34" i="8"/>
  <c r="CB57" i="8"/>
  <c r="CB76" i="8"/>
  <c r="CB103" i="8"/>
  <c r="CB86" i="8"/>
  <c r="CB66" i="8"/>
  <c r="CB116" i="8"/>
  <c r="CB30" i="8"/>
  <c r="CB50" i="8"/>
  <c r="CB71" i="8"/>
  <c r="CB82" i="8"/>
  <c r="CB100" i="8"/>
  <c r="CB94" i="8"/>
  <c r="CC28" i="8"/>
  <c r="CB63" i="8"/>
  <c r="CB46" i="8"/>
  <c r="CB39" i="8"/>
  <c r="CB56" i="8"/>
  <c r="CB75" i="8"/>
  <c r="CB90" i="8"/>
  <c r="CB108" i="8"/>
  <c r="CB37" i="8"/>
  <c r="CB72" i="8"/>
  <c r="CB80" i="8"/>
  <c r="CB83" i="8"/>
  <c r="CB78" i="8"/>
  <c r="CB111" i="8"/>
  <c r="CB112" i="8"/>
  <c r="CB49" i="8"/>
  <c r="CB35" i="8"/>
  <c r="CB61" i="8"/>
  <c r="CB29" i="8"/>
  <c r="CB73" i="8"/>
  <c r="CB69" i="8"/>
  <c r="CB59" i="8"/>
  <c r="CB74" i="8"/>
  <c r="CB88" i="8"/>
  <c r="CB93" i="8"/>
  <c r="CB70" i="8"/>
  <c r="CB68" i="8"/>
  <c r="CB81" i="8"/>
  <c r="CB105" i="8"/>
  <c r="CB55" i="8"/>
  <c r="CB96" i="8"/>
  <c r="CB99" i="8"/>
  <c r="CB119" i="8"/>
  <c r="CB92" i="8"/>
  <c r="CB120" i="8"/>
  <c r="CB67" i="8"/>
  <c r="CB85" i="8"/>
  <c r="CB115" i="8"/>
  <c r="CB118" i="8"/>
  <c r="CB33" i="8"/>
  <c r="CB31" i="8"/>
  <c r="CB109" i="8"/>
  <c r="CB65" i="8"/>
  <c r="CB101" i="8"/>
  <c r="CB77" i="8"/>
  <c r="CB48" i="8"/>
  <c r="CB58" i="8"/>
  <c r="CB40" i="8"/>
  <c r="CB43" i="8"/>
  <c r="CB53" i="8"/>
  <c r="CB60" i="8"/>
  <c r="CB97" i="8"/>
  <c r="CB91" i="8"/>
  <c r="CB79" i="8"/>
  <c r="CB122" i="8"/>
  <c r="CB54" i="8"/>
  <c r="CB107" i="8"/>
  <c r="CB104" i="8"/>
  <c r="CB106" i="8"/>
  <c r="CB64" i="8"/>
  <c r="CB45" i="8"/>
  <c r="CB113" i="8"/>
  <c r="CB95" i="8"/>
  <c r="CB84" i="8"/>
  <c r="CB102" i="8"/>
  <c r="CB51" i="8"/>
  <c r="CB41" i="8"/>
  <c r="CB117" i="8"/>
  <c r="CB42" i="8"/>
  <c r="CB44" i="8"/>
  <c r="CB32" i="8"/>
  <c r="CB89" i="8"/>
  <c r="CC65" i="8" l="1"/>
  <c r="CD28" i="8"/>
  <c r="CC29" i="8"/>
  <c r="CC35" i="8"/>
  <c r="CC50" i="8"/>
  <c r="CC57" i="8"/>
  <c r="CC66" i="8"/>
  <c r="CC121" i="8"/>
  <c r="CC76" i="8"/>
  <c r="CC79" i="8"/>
  <c r="CC63" i="8"/>
  <c r="CC37" i="8"/>
  <c r="CC119" i="8"/>
  <c r="CC46" i="8"/>
  <c r="CC72" i="8"/>
  <c r="CC96" i="8"/>
  <c r="CC113" i="8"/>
  <c r="CC97" i="8"/>
  <c r="CC64" i="8"/>
  <c r="CC62" i="8"/>
  <c r="CC40" i="8"/>
  <c r="CC38" i="8"/>
  <c r="CC52" i="8"/>
  <c r="CC81" i="8"/>
  <c r="CC107" i="8"/>
  <c r="CC117" i="8"/>
  <c r="CC32" i="8"/>
  <c r="CC44" i="8"/>
  <c r="CC59" i="8"/>
  <c r="CC54" i="8"/>
  <c r="CC48" i="8"/>
  <c r="CC70" i="8"/>
  <c r="CC92" i="8"/>
  <c r="CC100" i="8"/>
  <c r="CC31" i="8"/>
  <c r="CC71" i="8"/>
  <c r="CC84" i="8"/>
  <c r="CC101" i="8"/>
  <c r="CC85" i="8"/>
  <c r="CC88" i="8"/>
  <c r="CC114" i="8"/>
  <c r="CC34" i="8"/>
  <c r="CC51" i="8"/>
  <c r="CC68" i="8"/>
  <c r="CC41" i="8"/>
  <c r="CC106" i="8"/>
  <c r="CC110" i="8"/>
  <c r="CC78" i="8"/>
  <c r="CC103" i="8"/>
  <c r="CC83" i="8"/>
  <c r="CC111" i="8"/>
  <c r="CC120" i="8"/>
  <c r="CC99" i="8"/>
  <c r="CC116" i="8"/>
  <c r="CC95" i="8"/>
  <c r="CC115" i="8"/>
  <c r="CC60" i="8"/>
  <c r="CC108" i="8"/>
  <c r="CC122" i="8"/>
  <c r="CC42" i="8"/>
  <c r="CC53" i="8"/>
  <c r="CC74" i="8"/>
  <c r="CC123" i="8"/>
  <c r="CC49" i="8"/>
  <c r="CC61" i="8"/>
  <c r="CC43" i="8"/>
  <c r="CC75" i="8"/>
  <c r="CC105" i="8"/>
  <c r="CC98" i="8"/>
  <c r="CC124" i="8"/>
  <c r="CC30" i="8"/>
  <c r="CC104" i="8"/>
  <c r="CC58" i="8"/>
  <c r="CC73" i="8"/>
  <c r="CC90" i="8"/>
  <c r="CC93" i="8"/>
  <c r="CC86" i="8"/>
  <c r="CC118" i="8"/>
  <c r="CC69" i="8"/>
  <c r="CC80" i="8"/>
  <c r="CC67" i="8"/>
  <c r="CC47" i="8"/>
  <c r="CC82" i="8"/>
  <c r="CC36" i="8"/>
  <c r="CC94" i="8"/>
  <c r="CC45" i="8"/>
  <c r="CC102" i="8"/>
  <c r="CC89" i="8"/>
  <c r="CC91" i="8"/>
  <c r="CC112" i="8"/>
  <c r="CC55" i="8"/>
  <c r="CC77" i="8"/>
  <c r="CC39" i="8"/>
  <c r="CC56" i="8"/>
  <c r="CC109" i="8"/>
  <c r="CC33" i="8"/>
  <c r="CC87" i="8"/>
  <c r="CB139" i="8"/>
  <c r="CC139" i="8" l="1"/>
  <c r="CD86" i="8"/>
  <c r="CD61" i="8"/>
  <c r="CD42" i="8"/>
  <c r="CD55" i="8"/>
  <c r="CD72" i="8"/>
  <c r="CD71" i="8"/>
  <c r="CD88" i="8"/>
  <c r="CD87" i="8"/>
  <c r="CD64" i="8"/>
  <c r="CD80" i="8"/>
  <c r="CD57" i="8"/>
  <c r="CE28" i="8"/>
  <c r="CD39" i="8"/>
  <c r="CD70" i="8"/>
  <c r="CD98" i="8"/>
  <c r="CD116" i="8"/>
  <c r="CD31" i="8"/>
  <c r="CD122" i="8"/>
  <c r="CD33" i="8"/>
  <c r="CD68" i="8"/>
  <c r="CD52" i="8"/>
  <c r="CD54" i="8"/>
  <c r="CD81" i="8"/>
  <c r="CD110" i="8"/>
  <c r="CD117" i="8"/>
  <c r="CD38" i="8"/>
  <c r="CD50" i="8"/>
  <c r="CD69" i="8"/>
  <c r="CD78" i="8"/>
  <c r="CD74" i="8"/>
  <c r="CD66" i="8"/>
  <c r="CD96" i="8"/>
  <c r="CD114" i="8"/>
  <c r="CD40" i="8"/>
  <c r="CD85" i="8"/>
  <c r="CD65" i="8"/>
  <c r="CD41" i="8"/>
  <c r="CD120" i="8"/>
  <c r="CD112" i="8"/>
  <c r="CD105" i="8"/>
  <c r="CD35" i="8"/>
  <c r="CD58" i="8"/>
  <c r="CD76" i="8"/>
  <c r="CD118" i="8"/>
  <c r="CD30" i="8"/>
  <c r="CD100" i="8"/>
  <c r="CD115" i="8"/>
  <c r="CD119" i="8"/>
  <c r="CD48" i="8"/>
  <c r="CD60" i="8"/>
  <c r="CD106" i="8"/>
  <c r="CD32" i="8"/>
  <c r="CD44" i="8"/>
  <c r="CD51" i="8"/>
  <c r="CD92" i="8"/>
  <c r="CD103" i="8"/>
  <c r="CD73" i="8"/>
  <c r="CD56" i="8"/>
  <c r="CD59" i="8"/>
  <c r="CD83" i="8"/>
  <c r="CD107" i="8"/>
  <c r="CD94" i="8"/>
  <c r="CD82" i="8"/>
  <c r="CD101" i="8"/>
  <c r="CD111" i="8"/>
  <c r="CD77" i="8"/>
  <c r="CD34" i="8"/>
  <c r="CD46" i="8"/>
  <c r="CD89" i="8"/>
  <c r="CD95" i="8"/>
  <c r="CD62" i="8"/>
  <c r="CD113" i="8"/>
  <c r="CD47" i="8"/>
  <c r="CD45" i="8"/>
  <c r="CD37" i="8"/>
  <c r="CD84" i="8"/>
  <c r="CD90" i="8"/>
  <c r="CD67" i="8"/>
  <c r="CD29" i="8"/>
  <c r="CD104" i="8"/>
  <c r="CD99" i="8"/>
  <c r="CD91" i="8"/>
  <c r="CD53" i="8"/>
  <c r="CD109" i="8"/>
  <c r="CD97" i="8"/>
  <c r="CD121" i="8"/>
  <c r="CD75" i="8"/>
  <c r="CD49" i="8"/>
  <c r="CD102" i="8"/>
  <c r="CD63" i="8"/>
  <c r="CD36" i="8"/>
  <c r="CD108" i="8"/>
  <c r="CD123" i="8"/>
  <c r="CD79" i="8"/>
  <c r="CD93" i="8"/>
  <c r="CD124" i="8"/>
  <c r="CD43" i="8"/>
  <c r="CD139" i="8" l="1"/>
  <c r="CE107" i="8"/>
  <c r="CE92" i="8"/>
  <c r="CE89" i="8"/>
  <c r="CE101" i="8"/>
  <c r="CE109" i="8"/>
  <c r="CE103" i="8"/>
  <c r="CE32" i="8"/>
  <c r="CE39" i="8"/>
  <c r="CE94" i="8"/>
  <c r="CE66" i="8"/>
  <c r="CE76" i="8"/>
  <c r="CE81" i="8"/>
  <c r="CE105" i="8"/>
  <c r="CE40" i="8"/>
  <c r="CE51" i="8"/>
  <c r="CE31" i="8"/>
  <c r="CE78" i="8"/>
  <c r="CE50" i="8"/>
  <c r="CE95" i="8"/>
  <c r="CE84" i="8"/>
  <c r="CE100" i="8"/>
  <c r="CE121" i="8"/>
  <c r="CE46" i="8"/>
  <c r="CE59" i="8"/>
  <c r="CE74" i="8"/>
  <c r="CE114" i="8"/>
  <c r="CE67" i="8"/>
  <c r="CE97" i="8"/>
  <c r="CE104" i="8"/>
  <c r="CE115" i="8"/>
  <c r="CE38" i="8"/>
  <c r="CE58" i="8"/>
  <c r="CE68" i="8"/>
  <c r="CE108" i="8"/>
  <c r="CE45" i="8"/>
  <c r="CF28" i="8"/>
  <c r="CE62" i="8"/>
  <c r="CE43" i="8"/>
  <c r="CE35" i="8"/>
  <c r="CE55" i="8"/>
  <c r="CE83" i="8"/>
  <c r="CE106" i="8"/>
  <c r="CE120" i="8"/>
  <c r="CE87" i="8"/>
  <c r="CE124" i="8"/>
  <c r="CE63" i="8"/>
  <c r="CE99" i="8"/>
  <c r="CE80" i="8"/>
  <c r="CE88" i="8"/>
  <c r="CE33" i="8"/>
  <c r="CE29" i="8"/>
  <c r="CE57" i="8"/>
  <c r="CE122" i="8"/>
  <c r="CE91" i="8"/>
  <c r="CE113" i="8"/>
  <c r="CE79" i="8"/>
  <c r="CE65" i="8"/>
  <c r="CE69" i="8"/>
  <c r="CE30" i="8"/>
  <c r="CE44" i="8"/>
  <c r="CE37" i="8"/>
  <c r="CE110" i="8"/>
  <c r="CE77" i="8"/>
  <c r="CE49" i="8"/>
  <c r="CE54" i="8"/>
  <c r="CE48" i="8"/>
  <c r="CE111" i="8"/>
  <c r="CE36" i="8"/>
  <c r="CE117" i="8"/>
  <c r="CE102" i="8"/>
  <c r="CE112" i="8"/>
  <c r="CE86" i="8"/>
  <c r="CE75" i="8"/>
  <c r="CE85" i="8"/>
  <c r="CE60" i="8"/>
  <c r="CE64" i="8"/>
  <c r="CE96" i="8"/>
  <c r="CE34" i="8"/>
  <c r="CE41" i="8"/>
  <c r="CE116" i="8"/>
  <c r="CE73" i="8"/>
  <c r="CE42" i="8"/>
  <c r="CE93" i="8"/>
  <c r="CE119" i="8"/>
  <c r="CE70" i="8"/>
  <c r="CE82" i="8"/>
  <c r="CE52" i="8"/>
  <c r="CE61" i="8"/>
  <c r="CE56" i="8"/>
  <c r="CE47" i="8"/>
  <c r="CE71" i="8"/>
  <c r="CE72" i="8"/>
  <c r="CE98" i="8"/>
  <c r="CE118" i="8"/>
  <c r="CE53" i="8"/>
  <c r="CE123" i="8"/>
  <c r="CE90" i="8"/>
  <c r="CF123" i="8" l="1"/>
  <c r="CF94" i="8"/>
  <c r="CF95" i="8"/>
  <c r="CF111" i="8"/>
  <c r="CF117" i="8"/>
  <c r="CF114" i="8"/>
  <c r="CF33" i="8"/>
  <c r="CF100" i="8"/>
  <c r="CF81" i="8"/>
  <c r="CF101" i="8"/>
  <c r="CF75" i="8"/>
  <c r="CF74" i="8"/>
  <c r="CF115" i="8"/>
  <c r="CF38" i="8"/>
  <c r="CF52" i="8"/>
  <c r="CF78" i="8"/>
  <c r="CF72" i="8"/>
  <c r="CF121" i="8"/>
  <c r="CF109" i="8"/>
  <c r="CF91" i="8"/>
  <c r="CF107" i="8"/>
  <c r="CF106" i="8"/>
  <c r="CF47" i="8"/>
  <c r="CF66" i="8"/>
  <c r="CF41" i="8"/>
  <c r="CF90" i="8"/>
  <c r="CF39" i="8"/>
  <c r="CF92" i="8"/>
  <c r="CF88" i="8"/>
  <c r="CF108" i="8"/>
  <c r="CF36" i="8"/>
  <c r="CF59" i="8"/>
  <c r="CF77" i="8"/>
  <c r="CF61" i="8"/>
  <c r="CF35" i="8"/>
  <c r="CF55" i="8"/>
  <c r="CG28" i="8"/>
  <c r="CF40" i="8"/>
  <c r="CF56" i="8"/>
  <c r="CF80" i="8"/>
  <c r="CF96" i="8"/>
  <c r="CF110" i="8"/>
  <c r="CF29" i="8"/>
  <c r="CF82" i="8"/>
  <c r="CF44" i="8"/>
  <c r="CF122" i="8"/>
  <c r="CF113" i="8"/>
  <c r="CF102" i="8"/>
  <c r="CF54" i="8"/>
  <c r="CF51" i="8"/>
  <c r="CF32" i="8"/>
  <c r="CF120" i="8"/>
  <c r="CF43" i="8"/>
  <c r="CF42" i="8"/>
  <c r="CF64" i="8"/>
  <c r="CF48" i="8"/>
  <c r="CF70" i="8"/>
  <c r="CF58" i="8"/>
  <c r="CF46" i="8"/>
  <c r="CF62" i="8"/>
  <c r="CF73" i="8"/>
  <c r="CF69" i="8"/>
  <c r="CF83" i="8"/>
  <c r="CF93" i="8"/>
  <c r="CF85" i="8"/>
  <c r="CF79" i="8"/>
  <c r="CF30" i="8"/>
  <c r="CF45" i="8"/>
  <c r="CF37" i="8"/>
  <c r="CF60" i="8"/>
  <c r="CF67" i="8"/>
  <c r="CF103" i="8"/>
  <c r="CF68" i="8"/>
  <c r="CF97" i="8"/>
  <c r="CF118" i="8"/>
  <c r="CF84" i="8"/>
  <c r="CF57" i="8"/>
  <c r="CF65" i="8"/>
  <c r="CF112" i="8"/>
  <c r="CF86" i="8"/>
  <c r="CF98" i="8"/>
  <c r="CF124" i="8"/>
  <c r="CF89" i="8"/>
  <c r="CF34" i="8"/>
  <c r="CF87" i="8"/>
  <c r="CF116" i="8"/>
  <c r="CF105" i="8"/>
  <c r="CF50" i="8"/>
  <c r="CF31" i="8"/>
  <c r="CF63" i="8"/>
  <c r="CF53" i="8"/>
  <c r="CF76" i="8"/>
  <c r="CF71" i="8"/>
  <c r="CF99" i="8"/>
  <c r="CF119" i="8"/>
  <c r="CF49" i="8"/>
  <c r="CF104" i="8"/>
  <c r="CE139" i="8"/>
  <c r="CG57" i="8" l="1"/>
  <c r="CG42" i="8"/>
  <c r="CG121" i="8"/>
  <c r="CG120" i="8"/>
  <c r="CG37" i="8"/>
  <c r="CG47" i="8"/>
  <c r="CG51" i="8"/>
  <c r="CG113" i="8"/>
  <c r="CG88" i="8"/>
  <c r="CG71" i="8"/>
  <c r="CG115" i="8"/>
  <c r="CG107" i="8"/>
  <c r="CG116" i="8"/>
  <c r="CG50" i="8"/>
  <c r="CG69" i="8"/>
  <c r="CG83" i="8"/>
  <c r="CG34" i="8"/>
  <c r="CG123" i="8"/>
  <c r="CG98" i="8"/>
  <c r="CG102" i="8"/>
  <c r="CG35" i="8"/>
  <c r="CG56" i="8"/>
  <c r="CG86" i="8"/>
  <c r="CG97" i="8"/>
  <c r="CG54" i="8"/>
  <c r="CG30" i="8"/>
  <c r="CG62" i="8"/>
  <c r="CG36" i="8"/>
  <c r="CG29" i="8"/>
  <c r="CG46" i="8"/>
  <c r="CG72" i="8"/>
  <c r="CG89" i="8"/>
  <c r="CG106" i="8"/>
  <c r="CG81" i="8"/>
  <c r="CG32" i="8"/>
  <c r="CG77" i="8"/>
  <c r="CG74" i="8"/>
  <c r="CG66" i="8"/>
  <c r="CG92" i="8"/>
  <c r="CG104" i="8"/>
  <c r="CG41" i="8"/>
  <c r="CG80" i="8"/>
  <c r="CG117" i="8"/>
  <c r="CG95" i="8"/>
  <c r="CG100" i="8"/>
  <c r="CG55" i="8"/>
  <c r="CG84" i="8"/>
  <c r="CG65" i="8"/>
  <c r="CG58" i="8"/>
  <c r="CG110" i="8"/>
  <c r="CG67" i="8"/>
  <c r="CG94" i="8"/>
  <c r="CG76" i="8"/>
  <c r="CG45" i="8"/>
  <c r="CH28" i="8"/>
  <c r="CG90" i="8"/>
  <c r="CG105" i="8"/>
  <c r="CG119" i="8"/>
  <c r="CG64" i="8"/>
  <c r="CG52" i="8"/>
  <c r="CG101" i="8"/>
  <c r="CG122" i="8"/>
  <c r="CG31" i="8"/>
  <c r="CG91" i="8"/>
  <c r="CG63" i="8"/>
  <c r="CG85" i="8"/>
  <c r="CG82" i="8"/>
  <c r="CG109" i="8"/>
  <c r="CG75" i="8"/>
  <c r="CG73" i="8"/>
  <c r="CG96" i="8"/>
  <c r="CG124" i="8"/>
  <c r="CG44" i="8"/>
  <c r="CG79" i="8"/>
  <c r="CG59" i="8"/>
  <c r="CG33" i="8"/>
  <c r="CG93" i="8"/>
  <c r="CG108" i="8"/>
  <c r="CG99" i="8"/>
  <c r="CG53" i="8"/>
  <c r="CG40" i="8"/>
  <c r="CG70" i="8"/>
  <c r="CG111" i="8"/>
  <c r="CG103" i="8"/>
  <c r="CG87" i="8"/>
  <c r="CG39" i="8"/>
  <c r="CG60" i="8"/>
  <c r="CG38" i="8"/>
  <c r="CG48" i="8"/>
  <c r="CG118" i="8"/>
  <c r="CG49" i="8"/>
  <c r="CG43" i="8"/>
  <c r="CG114" i="8"/>
  <c r="CG68" i="8"/>
  <c r="CG78" i="8"/>
  <c r="CG112" i="8"/>
  <c r="CG61" i="8"/>
  <c r="CF139" i="8"/>
  <c r="CH64" i="8" l="1"/>
  <c r="CH52" i="8"/>
  <c r="CH39" i="8"/>
  <c r="CH38" i="8"/>
  <c r="CH57" i="8"/>
  <c r="CH74" i="8"/>
  <c r="CH76" i="8"/>
  <c r="CH73" i="8"/>
  <c r="CH107" i="8"/>
  <c r="CH50" i="8"/>
  <c r="CH123" i="8"/>
  <c r="CH119" i="8"/>
  <c r="CH34" i="8"/>
  <c r="CH70" i="8"/>
  <c r="CH89" i="8"/>
  <c r="CH103" i="8"/>
  <c r="CH97" i="8"/>
  <c r="CH53" i="8"/>
  <c r="CH62" i="8"/>
  <c r="CH36" i="8"/>
  <c r="CH32" i="8"/>
  <c r="CH55" i="8"/>
  <c r="CH77" i="8"/>
  <c r="CH93" i="8"/>
  <c r="CH105" i="8"/>
  <c r="CH33" i="8"/>
  <c r="CH109" i="8"/>
  <c r="CH63" i="8"/>
  <c r="CH47" i="8"/>
  <c r="CH42" i="8"/>
  <c r="CH67" i="8"/>
  <c r="CH100" i="8"/>
  <c r="CH120" i="8"/>
  <c r="CH31" i="8"/>
  <c r="CH80" i="8"/>
  <c r="CH60" i="8"/>
  <c r="CH85" i="8"/>
  <c r="CH92" i="8"/>
  <c r="CH96" i="8"/>
  <c r="CH116" i="8"/>
  <c r="CH37" i="8"/>
  <c r="CH51" i="8"/>
  <c r="CH56" i="8"/>
  <c r="CH83" i="8"/>
  <c r="CH86" i="8"/>
  <c r="CH113" i="8"/>
  <c r="CH108" i="8"/>
  <c r="CH49" i="8"/>
  <c r="CH78" i="8"/>
  <c r="CH114" i="8"/>
  <c r="CH117" i="8"/>
  <c r="CH41" i="8"/>
  <c r="CH29" i="8"/>
  <c r="CH65" i="8"/>
  <c r="CH84" i="8"/>
  <c r="CH54" i="8"/>
  <c r="CH35" i="8"/>
  <c r="CH48" i="8"/>
  <c r="CH75" i="8"/>
  <c r="CH88" i="8"/>
  <c r="CH112" i="8"/>
  <c r="CH68" i="8"/>
  <c r="CH44" i="8"/>
  <c r="CH59" i="8"/>
  <c r="CH101" i="8"/>
  <c r="CI28" i="8"/>
  <c r="CH61" i="8"/>
  <c r="CH111" i="8"/>
  <c r="CH121" i="8"/>
  <c r="CH45" i="8"/>
  <c r="CH40" i="8"/>
  <c r="CH102" i="8"/>
  <c r="CH87" i="8"/>
  <c r="CH95" i="8"/>
  <c r="CH110" i="8"/>
  <c r="CH106" i="8"/>
  <c r="CH115" i="8"/>
  <c r="CH66" i="8"/>
  <c r="CH71" i="8"/>
  <c r="CH91" i="8"/>
  <c r="CH43" i="8"/>
  <c r="CH58" i="8"/>
  <c r="CH90" i="8"/>
  <c r="CH124" i="8"/>
  <c r="CH104" i="8"/>
  <c r="CH72" i="8"/>
  <c r="CH30" i="8"/>
  <c r="CH69" i="8"/>
  <c r="CH82" i="8"/>
  <c r="CH98" i="8"/>
  <c r="CH118" i="8"/>
  <c r="CH46" i="8"/>
  <c r="CH81" i="8"/>
  <c r="CH99" i="8"/>
  <c r="CH79" i="8"/>
  <c r="CH122" i="8"/>
  <c r="CH94" i="8"/>
  <c r="CG139" i="8"/>
  <c r="CI76" i="8" l="1"/>
  <c r="CI73" i="8"/>
  <c r="CI54" i="8"/>
  <c r="CI69" i="8"/>
  <c r="CI83" i="8"/>
  <c r="CI88" i="8"/>
  <c r="CI96" i="8"/>
  <c r="CI86" i="8"/>
  <c r="CI68" i="8"/>
  <c r="CI70" i="8"/>
  <c r="CI63" i="8"/>
  <c r="CI43" i="8"/>
  <c r="CI35" i="8"/>
  <c r="CI56" i="8"/>
  <c r="CI93" i="8"/>
  <c r="CI107" i="8"/>
  <c r="CI32" i="8"/>
  <c r="CI90" i="8"/>
  <c r="CI110" i="8"/>
  <c r="CI58" i="8"/>
  <c r="CI52" i="8"/>
  <c r="CI49" i="8"/>
  <c r="CI78" i="8"/>
  <c r="CI104" i="8"/>
  <c r="CI117" i="8"/>
  <c r="CI41" i="8"/>
  <c r="CI122" i="8"/>
  <c r="CI112" i="8"/>
  <c r="CI66" i="8"/>
  <c r="CI59" i="8"/>
  <c r="CI67" i="8"/>
  <c r="CI91" i="8"/>
  <c r="CI101" i="8"/>
  <c r="CI37" i="8"/>
  <c r="CI53" i="8"/>
  <c r="CJ28" i="8"/>
  <c r="CI105" i="8"/>
  <c r="CI103" i="8"/>
  <c r="CI30" i="8"/>
  <c r="CI119" i="8"/>
  <c r="CI85" i="8"/>
  <c r="CI111" i="8"/>
  <c r="CI31" i="8"/>
  <c r="CI114" i="8"/>
  <c r="CI79" i="8"/>
  <c r="CI38" i="8"/>
  <c r="CI108" i="8"/>
  <c r="CI45" i="8"/>
  <c r="CI77" i="8"/>
  <c r="CI121" i="8"/>
  <c r="CI89" i="8"/>
  <c r="CI50" i="8"/>
  <c r="CI46" i="8"/>
  <c r="CI57" i="8"/>
  <c r="CI87" i="8"/>
  <c r="CI36" i="8"/>
  <c r="CI100" i="8"/>
  <c r="CI55" i="8"/>
  <c r="CI51" i="8"/>
  <c r="CI116" i="8"/>
  <c r="CI33" i="8"/>
  <c r="CI62" i="8"/>
  <c r="CI92" i="8"/>
  <c r="CI34" i="8"/>
  <c r="CI40" i="8"/>
  <c r="CI82" i="8"/>
  <c r="CI64" i="8"/>
  <c r="CI120" i="8"/>
  <c r="CI75" i="8"/>
  <c r="CI98" i="8"/>
  <c r="CI124" i="8"/>
  <c r="CI72" i="8"/>
  <c r="CI42" i="8"/>
  <c r="CI74" i="8"/>
  <c r="CI47" i="8"/>
  <c r="CI97" i="8"/>
  <c r="CI81" i="8"/>
  <c r="CI71" i="8"/>
  <c r="CI48" i="8"/>
  <c r="CI84" i="8"/>
  <c r="CI118" i="8"/>
  <c r="CI106" i="8"/>
  <c r="CI80" i="8"/>
  <c r="CI113" i="8"/>
  <c r="CI61" i="8"/>
  <c r="CI109" i="8"/>
  <c r="CI94" i="8"/>
  <c r="CI99" i="8"/>
  <c r="CI102" i="8"/>
  <c r="CI115" i="8"/>
  <c r="CI123" i="8"/>
  <c r="CI44" i="8"/>
  <c r="CI60" i="8"/>
  <c r="CI65" i="8"/>
  <c r="CI29" i="8"/>
  <c r="CI39" i="8"/>
  <c r="CI95" i="8"/>
  <c r="CH139" i="8"/>
  <c r="CJ109" i="8" l="1"/>
  <c r="CJ78" i="8"/>
  <c r="CJ65" i="8"/>
  <c r="CJ83" i="8"/>
  <c r="CJ99" i="8"/>
  <c r="CJ85" i="8"/>
  <c r="CJ100" i="8"/>
  <c r="CJ76" i="8"/>
  <c r="CJ49" i="8"/>
  <c r="CJ67" i="8"/>
  <c r="CJ51" i="8"/>
  <c r="CJ50" i="8"/>
  <c r="CJ69" i="8"/>
  <c r="CJ113" i="8"/>
  <c r="CJ108" i="8"/>
  <c r="CJ41" i="8"/>
  <c r="CJ87" i="8"/>
  <c r="CJ84" i="8"/>
  <c r="CJ79" i="8"/>
  <c r="CJ64" i="8"/>
  <c r="CJ53" i="8"/>
  <c r="CJ97" i="8"/>
  <c r="CJ119" i="8"/>
  <c r="CJ37" i="8"/>
  <c r="CJ75" i="8"/>
  <c r="CJ123" i="8"/>
  <c r="CJ98" i="8"/>
  <c r="CJ82" i="8"/>
  <c r="CJ73" i="8"/>
  <c r="CJ74" i="8"/>
  <c r="CJ111" i="8"/>
  <c r="CJ114" i="8"/>
  <c r="CJ47" i="8"/>
  <c r="CJ88" i="8"/>
  <c r="CJ46" i="8"/>
  <c r="CJ105" i="8"/>
  <c r="CJ101" i="8"/>
  <c r="CJ115" i="8"/>
  <c r="CJ56" i="8"/>
  <c r="CJ55" i="8"/>
  <c r="CJ112" i="8"/>
  <c r="CJ93" i="8"/>
  <c r="CJ102" i="8"/>
  <c r="CJ122" i="8"/>
  <c r="CJ117" i="8"/>
  <c r="CJ68" i="8"/>
  <c r="CJ32" i="8"/>
  <c r="CJ116" i="8"/>
  <c r="CJ90" i="8"/>
  <c r="CJ31" i="8"/>
  <c r="CJ124" i="8"/>
  <c r="CJ86" i="8"/>
  <c r="CJ35" i="8"/>
  <c r="CJ60" i="8"/>
  <c r="CJ118" i="8"/>
  <c r="CJ40" i="8"/>
  <c r="CJ36" i="8"/>
  <c r="CJ80" i="8"/>
  <c r="CJ81" i="8"/>
  <c r="CJ30" i="8"/>
  <c r="CK28" i="8"/>
  <c r="CJ110" i="8"/>
  <c r="CJ71" i="8"/>
  <c r="CJ61" i="8"/>
  <c r="CJ106" i="8"/>
  <c r="CJ104" i="8"/>
  <c r="CJ94" i="8"/>
  <c r="CJ45" i="8"/>
  <c r="CJ58" i="8"/>
  <c r="CJ107" i="8"/>
  <c r="CJ52" i="8"/>
  <c r="CJ70" i="8"/>
  <c r="CJ63" i="8"/>
  <c r="CJ120" i="8"/>
  <c r="CJ77" i="8"/>
  <c r="CJ29" i="8"/>
  <c r="CJ34" i="8"/>
  <c r="CJ43" i="8"/>
  <c r="CJ96" i="8"/>
  <c r="CJ92" i="8"/>
  <c r="CJ42" i="8"/>
  <c r="CJ95" i="8"/>
  <c r="CJ39" i="8"/>
  <c r="CJ33" i="8"/>
  <c r="CJ54" i="8"/>
  <c r="CJ48" i="8"/>
  <c r="CJ66" i="8"/>
  <c r="CJ59" i="8"/>
  <c r="CJ44" i="8"/>
  <c r="CJ91" i="8"/>
  <c r="CJ57" i="8"/>
  <c r="CJ72" i="8"/>
  <c r="CJ38" i="8"/>
  <c r="CJ121" i="8"/>
  <c r="CJ62" i="8"/>
  <c r="CJ89" i="8"/>
  <c r="CJ103" i="8"/>
  <c r="CI139" i="8"/>
  <c r="CJ139" i="8" l="1"/>
  <c r="CK63" i="8"/>
  <c r="CK124" i="8"/>
  <c r="CK114" i="8"/>
  <c r="CK112" i="8"/>
  <c r="CK118" i="8"/>
  <c r="CK39" i="8"/>
  <c r="CK47" i="8"/>
  <c r="CK60" i="8"/>
  <c r="CK71" i="8"/>
  <c r="CK64" i="8"/>
  <c r="CK96" i="8"/>
  <c r="CK85" i="8"/>
  <c r="CK90" i="8"/>
  <c r="CK116" i="8"/>
  <c r="CK45" i="8"/>
  <c r="CK66" i="8"/>
  <c r="CL28" i="8"/>
  <c r="CK111" i="8"/>
  <c r="CK88" i="8"/>
  <c r="CK101" i="8"/>
  <c r="CK91" i="8"/>
  <c r="CK99" i="8"/>
  <c r="CK37" i="8"/>
  <c r="CK58" i="8"/>
  <c r="CK73" i="8"/>
  <c r="CK68" i="8"/>
  <c r="CK41" i="8"/>
  <c r="CK108" i="8"/>
  <c r="CK104" i="8"/>
  <c r="CK105" i="8"/>
  <c r="CK123" i="8"/>
  <c r="CK40" i="8"/>
  <c r="CK67" i="8"/>
  <c r="CK83" i="8"/>
  <c r="CK93" i="8"/>
  <c r="CK106" i="8"/>
  <c r="CK65" i="8"/>
  <c r="CK119" i="8"/>
  <c r="CK70" i="8"/>
  <c r="CK122" i="8"/>
  <c r="CK117" i="8"/>
  <c r="CK33" i="8"/>
  <c r="CK76" i="8"/>
  <c r="CK29" i="8"/>
  <c r="CK81" i="8"/>
  <c r="CK84" i="8"/>
  <c r="CK31" i="8"/>
  <c r="CK78" i="8"/>
  <c r="CK75" i="8"/>
  <c r="CK36" i="8"/>
  <c r="CK92" i="8"/>
  <c r="CK87" i="8"/>
  <c r="CK42" i="8"/>
  <c r="CK115" i="8"/>
  <c r="CK110" i="8"/>
  <c r="CK50" i="8"/>
  <c r="CK98" i="8"/>
  <c r="CK107" i="8"/>
  <c r="CK89" i="8"/>
  <c r="CK54" i="8"/>
  <c r="CK52" i="8"/>
  <c r="CK80" i="8"/>
  <c r="CK82" i="8"/>
  <c r="CK38" i="8"/>
  <c r="CK69" i="8"/>
  <c r="CK86" i="8"/>
  <c r="CK77" i="8"/>
  <c r="CK100" i="8"/>
  <c r="CK109" i="8"/>
  <c r="CK61" i="8"/>
  <c r="CK120" i="8"/>
  <c r="CK46" i="8"/>
  <c r="CK35" i="8"/>
  <c r="CK51" i="8"/>
  <c r="CK49" i="8"/>
  <c r="CK34" i="8"/>
  <c r="CK56" i="8"/>
  <c r="CK121" i="8"/>
  <c r="CK48" i="8"/>
  <c r="CK32" i="8"/>
  <c r="CK53" i="8"/>
  <c r="CK43" i="8"/>
  <c r="CK72" i="8"/>
  <c r="CK79" i="8"/>
  <c r="CK94" i="8"/>
  <c r="CK59" i="8"/>
  <c r="CK97" i="8"/>
  <c r="CK44" i="8"/>
  <c r="CK57" i="8"/>
  <c r="CK74" i="8"/>
  <c r="CK55" i="8"/>
  <c r="CK103" i="8"/>
  <c r="CK102" i="8"/>
  <c r="CK62" i="8"/>
  <c r="CK95" i="8"/>
  <c r="CK113" i="8"/>
  <c r="CK30" i="8"/>
  <c r="CL62" i="8" l="1"/>
  <c r="CL36" i="8"/>
  <c r="CL119" i="8"/>
  <c r="CL93" i="8"/>
  <c r="CL35" i="8"/>
  <c r="CL48" i="8"/>
  <c r="CL51" i="8"/>
  <c r="CL109" i="8"/>
  <c r="CL65" i="8"/>
  <c r="CL32" i="8"/>
  <c r="CL106" i="8"/>
  <c r="CL95" i="8"/>
  <c r="CL104" i="8"/>
  <c r="CL107" i="8"/>
  <c r="CL58" i="8"/>
  <c r="CL76" i="8"/>
  <c r="CL86" i="8"/>
  <c r="CL64" i="8"/>
  <c r="CL80" i="8"/>
  <c r="CL105" i="8"/>
  <c r="CL112" i="8"/>
  <c r="CL113" i="8"/>
  <c r="CL46" i="8"/>
  <c r="CL67" i="8"/>
  <c r="CL88" i="8"/>
  <c r="CL122" i="8"/>
  <c r="CL97" i="8"/>
  <c r="CL124" i="8"/>
  <c r="CL114" i="8"/>
  <c r="CL34" i="8"/>
  <c r="CL56" i="8"/>
  <c r="CL83" i="8"/>
  <c r="CL101" i="8"/>
  <c r="CL47" i="8"/>
  <c r="CL30" i="8"/>
  <c r="CL63" i="8"/>
  <c r="CL74" i="8"/>
  <c r="CL49" i="8"/>
  <c r="CL110" i="8"/>
  <c r="CL59" i="8"/>
  <c r="CL84" i="8"/>
  <c r="CL40" i="8"/>
  <c r="CL57" i="8"/>
  <c r="CL81" i="8"/>
  <c r="CL55" i="8"/>
  <c r="CL118" i="8"/>
  <c r="CL103" i="8"/>
  <c r="CL42" i="8"/>
  <c r="CL73" i="8"/>
  <c r="CL68" i="8"/>
  <c r="CL90" i="8"/>
  <c r="CL70" i="8"/>
  <c r="CL117" i="8"/>
  <c r="CL111" i="8"/>
  <c r="CL87" i="8"/>
  <c r="CL78" i="8"/>
  <c r="CL29" i="8"/>
  <c r="CL82" i="8"/>
  <c r="CL37" i="8"/>
  <c r="CL33" i="8"/>
  <c r="CL123" i="8"/>
  <c r="CL115" i="8"/>
  <c r="CL54" i="8"/>
  <c r="CL116" i="8"/>
  <c r="CL120" i="8"/>
  <c r="CL41" i="8"/>
  <c r="CL91" i="8"/>
  <c r="CL61" i="8"/>
  <c r="CL98" i="8"/>
  <c r="CL92" i="8"/>
  <c r="CL44" i="8"/>
  <c r="CL89" i="8"/>
  <c r="CL102" i="8"/>
  <c r="CL66" i="8"/>
  <c r="CL121" i="8"/>
  <c r="CL99" i="8"/>
  <c r="CL75" i="8"/>
  <c r="CL96" i="8"/>
  <c r="CL43" i="8"/>
  <c r="CL108" i="8"/>
  <c r="CL31" i="8"/>
  <c r="CL72" i="8"/>
  <c r="CL71" i="8"/>
  <c r="CL69" i="8"/>
  <c r="CL79" i="8"/>
  <c r="CL53" i="8"/>
  <c r="CL100" i="8"/>
  <c r="CL60" i="8"/>
  <c r="CL45" i="8"/>
  <c r="CM28" i="8"/>
  <c r="CL52" i="8"/>
  <c r="CL39" i="8"/>
  <c r="CL77" i="8"/>
  <c r="CL94" i="8"/>
  <c r="CL50" i="8"/>
  <c r="CL85" i="8"/>
  <c r="CL38" i="8"/>
  <c r="CK139" i="8"/>
  <c r="CM69" i="8" l="1"/>
  <c r="CN28" i="8"/>
  <c r="CM30" i="8"/>
  <c r="CM34" i="8"/>
  <c r="CM48" i="8"/>
  <c r="CM58" i="8"/>
  <c r="CM59" i="8"/>
  <c r="CM31" i="8"/>
  <c r="CM53" i="8"/>
  <c r="CM60" i="8"/>
  <c r="CM116" i="8"/>
  <c r="CM104" i="8"/>
  <c r="CM115" i="8"/>
  <c r="CM38" i="8"/>
  <c r="CM66" i="8"/>
  <c r="CM82" i="8"/>
  <c r="CM33" i="8"/>
  <c r="CM67" i="8"/>
  <c r="CM123" i="8"/>
  <c r="CM103" i="8"/>
  <c r="CM63" i="8"/>
  <c r="CM36" i="8"/>
  <c r="CM122" i="8"/>
  <c r="CM49" i="8"/>
  <c r="CM73" i="8"/>
  <c r="CM88" i="8"/>
  <c r="CM112" i="8"/>
  <c r="CM110" i="8"/>
  <c r="CM90" i="8"/>
  <c r="CM52" i="8"/>
  <c r="CM81" i="8"/>
  <c r="CM121" i="8"/>
  <c r="CM106" i="8"/>
  <c r="CM43" i="8"/>
  <c r="CM78" i="8"/>
  <c r="CM61" i="8"/>
  <c r="CM89" i="8"/>
  <c r="CM55" i="8"/>
  <c r="CM113" i="8"/>
  <c r="CM70" i="8"/>
  <c r="CM114" i="8"/>
  <c r="CM62" i="8"/>
  <c r="CM75" i="8"/>
  <c r="CM100" i="8"/>
  <c r="CM80" i="8"/>
  <c r="CM99" i="8"/>
  <c r="CM98" i="8"/>
  <c r="CM47" i="8"/>
  <c r="CM57" i="8"/>
  <c r="CM68" i="8"/>
  <c r="CM117" i="8"/>
  <c r="CM93" i="8"/>
  <c r="CM42" i="8"/>
  <c r="CM72" i="8"/>
  <c r="CM86" i="8"/>
  <c r="CM95" i="8"/>
  <c r="CM39" i="8"/>
  <c r="CM76" i="8"/>
  <c r="CM119" i="8"/>
  <c r="CM74" i="8"/>
  <c r="CM40" i="8"/>
  <c r="CM124" i="8"/>
  <c r="CM45" i="8"/>
  <c r="CM105" i="8"/>
  <c r="CM32" i="8"/>
  <c r="CM65" i="8"/>
  <c r="CM92" i="8"/>
  <c r="CM109" i="8"/>
  <c r="CM79" i="8"/>
  <c r="CM35" i="8"/>
  <c r="CM37" i="8"/>
  <c r="CM85" i="8"/>
  <c r="CM77" i="8"/>
  <c r="CM54" i="8"/>
  <c r="CM44" i="8"/>
  <c r="CM94" i="8"/>
  <c r="CM101" i="8"/>
  <c r="CM118" i="8"/>
  <c r="CM102" i="8"/>
  <c r="CM29" i="8"/>
  <c r="CM87" i="8"/>
  <c r="CM50" i="8"/>
  <c r="CM46" i="8"/>
  <c r="CM97" i="8"/>
  <c r="CM83" i="8"/>
  <c r="CM96" i="8"/>
  <c r="CM120" i="8"/>
  <c r="CM108" i="8"/>
  <c r="CM107" i="8"/>
  <c r="CM111" i="8"/>
  <c r="CM84" i="8"/>
  <c r="CM41" i="8"/>
  <c r="CM56" i="8"/>
  <c r="CM64" i="8"/>
  <c r="CM71" i="8"/>
  <c r="CM91" i="8"/>
  <c r="CM51" i="8"/>
  <c r="CL139" i="8"/>
  <c r="CM139" i="8" l="1"/>
  <c r="CN84" i="8"/>
  <c r="CN89" i="8"/>
  <c r="CN108" i="8"/>
  <c r="CN115" i="8"/>
  <c r="CN117" i="8"/>
  <c r="CN119" i="8"/>
  <c r="CN114" i="8"/>
  <c r="CN124" i="8"/>
  <c r="CN94" i="8"/>
  <c r="CN104" i="8"/>
  <c r="CN62" i="8"/>
  <c r="CN51" i="8"/>
  <c r="CN70" i="8"/>
  <c r="CN95" i="8"/>
  <c r="CN111" i="8"/>
  <c r="CN88" i="8"/>
  <c r="CN42" i="8"/>
  <c r="CN90" i="8"/>
  <c r="CN40" i="8"/>
  <c r="CN64" i="8"/>
  <c r="CN105" i="8"/>
  <c r="CN33" i="8"/>
  <c r="CO28" i="8"/>
  <c r="CN77" i="8"/>
  <c r="CN61" i="8"/>
  <c r="CN30" i="8"/>
  <c r="CN63" i="8"/>
  <c r="CN71" i="8"/>
  <c r="CN110" i="8"/>
  <c r="CN44" i="8"/>
  <c r="CN59" i="8"/>
  <c r="CN85" i="8"/>
  <c r="CN82" i="8"/>
  <c r="CN38" i="8"/>
  <c r="CN56" i="8"/>
  <c r="CN76" i="8"/>
  <c r="CN35" i="8"/>
  <c r="CN49" i="8"/>
  <c r="CN73" i="8"/>
  <c r="CN100" i="8"/>
  <c r="CN41" i="8"/>
  <c r="CN54" i="8"/>
  <c r="CN65" i="8"/>
  <c r="CN86" i="8"/>
  <c r="CN39" i="8"/>
  <c r="CN55" i="8"/>
  <c r="CN72" i="8"/>
  <c r="CN102" i="8"/>
  <c r="CN60" i="8"/>
  <c r="CN81" i="8"/>
  <c r="CN107" i="8"/>
  <c r="CN120" i="8"/>
  <c r="CN68" i="8"/>
  <c r="CN97" i="8"/>
  <c r="CN36" i="8"/>
  <c r="CN58" i="8"/>
  <c r="CN74" i="8"/>
  <c r="CN87" i="8"/>
  <c r="CN93" i="8"/>
  <c r="CN46" i="8"/>
  <c r="CN50" i="8"/>
  <c r="CN99" i="8"/>
  <c r="CN57" i="8"/>
  <c r="CN92" i="8"/>
  <c r="CN45" i="8"/>
  <c r="CN96" i="8"/>
  <c r="CN80" i="8"/>
  <c r="CN48" i="8"/>
  <c r="CN103" i="8"/>
  <c r="CN113" i="8"/>
  <c r="CN69" i="8"/>
  <c r="CN32" i="8"/>
  <c r="CN37" i="8"/>
  <c r="CN109" i="8"/>
  <c r="CN106" i="8"/>
  <c r="CN116" i="8"/>
  <c r="CN29" i="8"/>
  <c r="CN83" i="8"/>
  <c r="CN31" i="8"/>
  <c r="CN79" i="8"/>
  <c r="CN118" i="8"/>
  <c r="CN75" i="8"/>
  <c r="CN47" i="8"/>
  <c r="CN34" i="8"/>
  <c r="CN101" i="8"/>
  <c r="CN52" i="8"/>
  <c r="CN66" i="8"/>
  <c r="CN123" i="8"/>
  <c r="CN43" i="8"/>
  <c r="CN122" i="8"/>
  <c r="CN91" i="8"/>
  <c r="CN121" i="8"/>
  <c r="CN98" i="8"/>
  <c r="CN112" i="8"/>
  <c r="CN53" i="8"/>
  <c r="CN67" i="8"/>
  <c r="CN78" i="8"/>
  <c r="CN139" i="8" l="1"/>
  <c r="CO111" i="8"/>
  <c r="CO94" i="8"/>
  <c r="CO78" i="8"/>
  <c r="CO72" i="8"/>
  <c r="CP28" i="8"/>
  <c r="CO32" i="8"/>
  <c r="CO34" i="8"/>
  <c r="CO54" i="8"/>
  <c r="CO109" i="8"/>
  <c r="CO66" i="8"/>
  <c r="CO56" i="8"/>
  <c r="CO49" i="8"/>
  <c r="CO42" i="8"/>
  <c r="CO44" i="8"/>
  <c r="CO38" i="8"/>
  <c r="CO89" i="8"/>
  <c r="CO121" i="8"/>
  <c r="CO30" i="8"/>
  <c r="CO63" i="8"/>
  <c r="CO47" i="8"/>
  <c r="CO57" i="8"/>
  <c r="CO80" i="8"/>
  <c r="CO69" i="8"/>
  <c r="CO110" i="8"/>
  <c r="CO91" i="8"/>
  <c r="CO55" i="8"/>
  <c r="CO53" i="8"/>
  <c r="CO68" i="8"/>
  <c r="CO70" i="8"/>
  <c r="CO81" i="8"/>
  <c r="CO79" i="8"/>
  <c r="CO31" i="8"/>
  <c r="CO119" i="8"/>
  <c r="CO60" i="8"/>
  <c r="CO73" i="8"/>
  <c r="CO76" i="8"/>
  <c r="CO77" i="8"/>
  <c r="CO87" i="8"/>
  <c r="CO88" i="8"/>
  <c r="CO74" i="8"/>
  <c r="CO41" i="8"/>
  <c r="CO120" i="8"/>
  <c r="CO84" i="8"/>
  <c r="CO86" i="8"/>
  <c r="CO96" i="8"/>
  <c r="CO100" i="8"/>
  <c r="CO93" i="8"/>
  <c r="CO90" i="8"/>
  <c r="CO75" i="8"/>
  <c r="CO64" i="8"/>
  <c r="CO108" i="8"/>
  <c r="CO112" i="8"/>
  <c r="CO115" i="8"/>
  <c r="CO118" i="8"/>
  <c r="CO123" i="8"/>
  <c r="CO104" i="8"/>
  <c r="CO83" i="8"/>
  <c r="CO82" i="8"/>
  <c r="CO62" i="8"/>
  <c r="CO40" i="8"/>
  <c r="CO58" i="8"/>
  <c r="CO71" i="8"/>
  <c r="CO97" i="8"/>
  <c r="CO98" i="8"/>
  <c r="CO116" i="8"/>
  <c r="CO46" i="8"/>
  <c r="CO124" i="8"/>
  <c r="CO102" i="8"/>
  <c r="CO50" i="8"/>
  <c r="CO45" i="8"/>
  <c r="CO99" i="8"/>
  <c r="CO106" i="8"/>
  <c r="CO114" i="8"/>
  <c r="CO67" i="8"/>
  <c r="CO113" i="8"/>
  <c r="CO65" i="8"/>
  <c r="CO122" i="8"/>
  <c r="CO85" i="8"/>
  <c r="CO35" i="8"/>
  <c r="CO61" i="8"/>
  <c r="CO101" i="8"/>
  <c r="CO36" i="8"/>
  <c r="CO92" i="8"/>
  <c r="CO95" i="8"/>
  <c r="CO33" i="8"/>
  <c r="CO103" i="8"/>
  <c r="CO43" i="8"/>
  <c r="CO105" i="8"/>
  <c r="CO37" i="8"/>
  <c r="CO29" i="8"/>
  <c r="CO59" i="8"/>
  <c r="CO48" i="8"/>
  <c r="CO117" i="8"/>
  <c r="CO39" i="8"/>
  <c r="CO52" i="8"/>
  <c r="CO107" i="8"/>
  <c r="CO51" i="8"/>
  <c r="CP68" i="8" l="1"/>
  <c r="CP50" i="8"/>
  <c r="CP34" i="8"/>
  <c r="CP122" i="8"/>
  <c r="CP91" i="8"/>
  <c r="CP94" i="8"/>
  <c r="CP102" i="8"/>
  <c r="CP30" i="8"/>
  <c r="CP51" i="8"/>
  <c r="CP87" i="8"/>
  <c r="CP62" i="8"/>
  <c r="CP31" i="8"/>
  <c r="CP115" i="8"/>
  <c r="CP119" i="8"/>
  <c r="CP109" i="8"/>
  <c r="CP114" i="8"/>
  <c r="CP79" i="8"/>
  <c r="CP66" i="8"/>
  <c r="CP71" i="8"/>
  <c r="CP63" i="8"/>
  <c r="CP43" i="8"/>
  <c r="CP42" i="8"/>
  <c r="CP36" i="8"/>
  <c r="CP35" i="8"/>
  <c r="CP105" i="8"/>
  <c r="CP112" i="8"/>
  <c r="CP92" i="8"/>
  <c r="CP39" i="8"/>
  <c r="CP55" i="8"/>
  <c r="CP56" i="8"/>
  <c r="CP40" i="8"/>
  <c r="CP45" i="8"/>
  <c r="CP47" i="8"/>
  <c r="CP32" i="8"/>
  <c r="CP117" i="8"/>
  <c r="CP107" i="8"/>
  <c r="CP96" i="8"/>
  <c r="CP76" i="8"/>
  <c r="CP67" i="8"/>
  <c r="CP57" i="8"/>
  <c r="CP58" i="8"/>
  <c r="CQ28" i="8"/>
  <c r="CP38" i="8"/>
  <c r="CP60" i="8"/>
  <c r="CP33" i="8"/>
  <c r="CP41" i="8"/>
  <c r="CP104" i="8"/>
  <c r="CP100" i="8"/>
  <c r="CP84" i="8"/>
  <c r="CP88" i="8"/>
  <c r="CP69" i="8"/>
  <c r="CP75" i="8"/>
  <c r="CP61" i="8"/>
  <c r="CP72" i="8"/>
  <c r="CP48" i="8"/>
  <c r="CP120" i="8"/>
  <c r="CP124" i="8"/>
  <c r="CP54" i="8"/>
  <c r="CP37" i="8"/>
  <c r="CP98" i="8"/>
  <c r="CP80" i="8"/>
  <c r="CP65" i="8"/>
  <c r="CP95" i="8"/>
  <c r="CP93" i="8"/>
  <c r="CP97" i="8"/>
  <c r="CP81" i="8"/>
  <c r="CP82" i="8"/>
  <c r="CP90" i="8"/>
  <c r="CP78" i="8"/>
  <c r="CP70" i="8"/>
  <c r="CP46" i="8"/>
  <c r="CP111" i="8"/>
  <c r="CP59" i="8"/>
  <c r="CP89" i="8"/>
  <c r="CP77" i="8"/>
  <c r="CP85" i="8"/>
  <c r="CP29" i="8"/>
  <c r="CP118" i="8"/>
  <c r="CP110" i="8"/>
  <c r="CP116" i="8"/>
  <c r="CP121" i="8"/>
  <c r="CP53" i="8"/>
  <c r="CP113" i="8"/>
  <c r="CP103" i="8"/>
  <c r="CP99" i="8"/>
  <c r="CP86" i="8"/>
  <c r="CP52" i="8"/>
  <c r="CP123" i="8"/>
  <c r="CP83" i="8"/>
  <c r="CP49" i="8"/>
  <c r="CP106" i="8"/>
  <c r="CP73" i="8"/>
  <c r="CP44" i="8"/>
  <c r="CP101" i="8"/>
  <c r="CP64" i="8"/>
  <c r="CP108" i="8"/>
  <c r="CP74" i="8"/>
  <c r="CO139" i="8"/>
  <c r="CP139" i="8" l="1"/>
  <c r="CQ85" i="8"/>
  <c r="CQ67" i="8"/>
  <c r="CQ44" i="8"/>
  <c r="CQ36" i="8"/>
  <c r="CQ117" i="8"/>
  <c r="CQ108" i="8"/>
  <c r="CQ52" i="8"/>
  <c r="CQ82" i="8"/>
  <c r="CQ73" i="8"/>
  <c r="CQ37" i="8"/>
  <c r="CQ56" i="8"/>
  <c r="CQ50" i="8"/>
  <c r="CQ41" i="8"/>
  <c r="CQ43" i="8"/>
  <c r="CQ45" i="8"/>
  <c r="CQ31" i="8"/>
  <c r="CQ47" i="8"/>
  <c r="CQ118" i="8"/>
  <c r="CQ66" i="8"/>
  <c r="CQ64" i="8"/>
  <c r="CQ55" i="8"/>
  <c r="CQ58" i="8"/>
  <c r="CQ60" i="8"/>
  <c r="CR28" i="8"/>
  <c r="CQ39" i="8"/>
  <c r="CQ51" i="8"/>
  <c r="CQ48" i="8"/>
  <c r="CQ106" i="8"/>
  <c r="CQ70" i="8"/>
  <c r="CQ72" i="8"/>
  <c r="CQ69" i="8"/>
  <c r="CQ71" i="8"/>
  <c r="CQ53" i="8"/>
  <c r="CQ46" i="8"/>
  <c r="CQ83" i="8"/>
  <c r="CQ59" i="8"/>
  <c r="CQ38" i="8"/>
  <c r="CQ91" i="8"/>
  <c r="CQ87" i="8"/>
  <c r="CQ74" i="8"/>
  <c r="CQ77" i="8"/>
  <c r="CQ61" i="8"/>
  <c r="CQ65" i="8"/>
  <c r="CQ97" i="8"/>
  <c r="CQ90" i="8"/>
  <c r="CQ110" i="8"/>
  <c r="CQ107" i="8"/>
  <c r="CQ105" i="8"/>
  <c r="CQ99" i="8"/>
  <c r="CQ102" i="8"/>
  <c r="CQ86" i="8"/>
  <c r="CQ32" i="8"/>
  <c r="CQ103" i="8"/>
  <c r="CQ29" i="8"/>
  <c r="CQ42" i="8"/>
  <c r="CQ121" i="8"/>
  <c r="CQ122" i="8"/>
  <c r="CQ89" i="8"/>
  <c r="CQ100" i="8"/>
  <c r="CQ88" i="8"/>
  <c r="CQ115" i="8"/>
  <c r="CQ92" i="8"/>
  <c r="CQ111" i="8"/>
  <c r="CQ113" i="8"/>
  <c r="CQ79" i="8"/>
  <c r="CQ75" i="8"/>
  <c r="CQ98" i="8"/>
  <c r="CQ76" i="8"/>
  <c r="CQ68" i="8"/>
  <c r="CQ40" i="8"/>
  <c r="CQ81" i="8"/>
  <c r="CQ33" i="8"/>
  <c r="CQ78" i="8"/>
  <c r="CQ104" i="8"/>
  <c r="CQ93" i="8"/>
  <c r="CQ94" i="8"/>
  <c r="CQ30" i="8"/>
  <c r="CQ123" i="8"/>
  <c r="CQ101" i="8"/>
  <c r="CQ34" i="8"/>
  <c r="CQ84" i="8"/>
  <c r="CQ63" i="8"/>
  <c r="CQ120" i="8"/>
  <c r="CQ112" i="8"/>
  <c r="CQ54" i="8"/>
  <c r="CQ119" i="8"/>
  <c r="CQ49" i="8"/>
  <c r="CQ95" i="8"/>
  <c r="CQ57" i="8"/>
  <c r="CQ109" i="8"/>
  <c r="CQ124" i="8"/>
  <c r="CQ114" i="8"/>
  <c r="CQ80" i="8"/>
  <c r="CQ116" i="8"/>
  <c r="CQ35" i="8"/>
  <c r="CQ96" i="8"/>
  <c r="CQ62" i="8"/>
  <c r="CQ139" i="8" l="1"/>
  <c r="CR100" i="8"/>
  <c r="CR84" i="8"/>
  <c r="CR79" i="8"/>
  <c r="CR69" i="8"/>
  <c r="CS28" i="8"/>
  <c r="CR31" i="8"/>
  <c r="CR110" i="8"/>
  <c r="CR39" i="8"/>
  <c r="CR101" i="8"/>
  <c r="CR86" i="8"/>
  <c r="CR77" i="8"/>
  <c r="CR67" i="8"/>
  <c r="CR81" i="8"/>
  <c r="CR60" i="8"/>
  <c r="CR51" i="8"/>
  <c r="CR30" i="8"/>
  <c r="CR53" i="8"/>
  <c r="CR64" i="8"/>
  <c r="CR76" i="8"/>
  <c r="CR89" i="8"/>
  <c r="CR91" i="8"/>
  <c r="CR93" i="8"/>
  <c r="CR68" i="8"/>
  <c r="CR70" i="8"/>
  <c r="CR72" i="8"/>
  <c r="CR95" i="8"/>
  <c r="CR98" i="8"/>
  <c r="CR109" i="8"/>
  <c r="CR111" i="8"/>
  <c r="CR88" i="8"/>
  <c r="CR96" i="8"/>
  <c r="CR78" i="8"/>
  <c r="CR107" i="8"/>
  <c r="CR87" i="8"/>
  <c r="CR119" i="8"/>
  <c r="CR29" i="8"/>
  <c r="CR121" i="8"/>
  <c r="CR102" i="8"/>
  <c r="CR113" i="8"/>
  <c r="CR80" i="8"/>
  <c r="CR99" i="8"/>
  <c r="CR114" i="8"/>
  <c r="CR38" i="8"/>
  <c r="CR41" i="8"/>
  <c r="CR62" i="8"/>
  <c r="CR44" i="8"/>
  <c r="CR34" i="8"/>
  <c r="CR104" i="8"/>
  <c r="CR116" i="8"/>
  <c r="CR117" i="8"/>
  <c r="CR97" i="8"/>
  <c r="CR52" i="8"/>
  <c r="CR47" i="8"/>
  <c r="CR74" i="8"/>
  <c r="CR59" i="8"/>
  <c r="CR54" i="8"/>
  <c r="CR82" i="8"/>
  <c r="CR124" i="8"/>
  <c r="CR35" i="8"/>
  <c r="CR112" i="8"/>
  <c r="CR90" i="8"/>
  <c r="CR92" i="8"/>
  <c r="CR49" i="8"/>
  <c r="CR36" i="8"/>
  <c r="CR120" i="8"/>
  <c r="CR83" i="8"/>
  <c r="CR123" i="8"/>
  <c r="CR106" i="8"/>
  <c r="CR37" i="8"/>
  <c r="CR58" i="8"/>
  <c r="CR43" i="8"/>
  <c r="CR61" i="8"/>
  <c r="CR94" i="8"/>
  <c r="CR32" i="8"/>
  <c r="CR63" i="8"/>
  <c r="CR48" i="8"/>
  <c r="CR73" i="8"/>
  <c r="CR57" i="8"/>
  <c r="CR55" i="8"/>
  <c r="CR75" i="8"/>
  <c r="CR46" i="8"/>
  <c r="CR71" i="8"/>
  <c r="CR108" i="8"/>
  <c r="CR103" i="8"/>
  <c r="CR33" i="8"/>
  <c r="CR50" i="8"/>
  <c r="CR105" i="8"/>
  <c r="CR66" i="8"/>
  <c r="CR40" i="8"/>
  <c r="CR122" i="8"/>
  <c r="CR45" i="8"/>
  <c r="CR56" i="8"/>
  <c r="CR65" i="8"/>
  <c r="CR85" i="8"/>
  <c r="CR115" i="8"/>
  <c r="CR42" i="8"/>
  <c r="CR118" i="8"/>
  <c r="CR139" i="8" l="1"/>
  <c r="CS106" i="8"/>
  <c r="CS99" i="8"/>
  <c r="CS86" i="8"/>
  <c r="CS76" i="8"/>
  <c r="CS53" i="8"/>
  <c r="CS41" i="8"/>
  <c r="CS46" i="8"/>
  <c r="CS30" i="8"/>
  <c r="CS83" i="8"/>
  <c r="CS90" i="8"/>
  <c r="CS84" i="8"/>
  <c r="CS75" i="8"/>
  <c r="CS79" i="8"/>
  <c r="CS57" i="8"/>
  <c r="CS85" i="8"/>
  <c r="CS49" i="8"/>
  <c r="CS105" i="8"/>
  <c r="CS112" i="8"/>
  <c r="CS97" i="8"/>
  <c r="CS92" i="8"/>
  <c r="CS94" i="8"/>
  <c r="CS96" i="8"/>
  <c r="CS77" i="8"/>
  <c r="CS108" i="8"/>
  <c r="CS61" i="8"/>
  <c r="CS34" i="8"/>
  <c r="CS48" i="8"/>
  <c r="CS111" i="8"/>
  <c r="CS113" i="8"/>
  <c r="CS101" i="8"/>
  <c r="CS98" i="8"/>
  <c r="CS87" i="8"/>
  <c r="CS31" i="8"/>
  <c r="CS89" i="8"/>
  <c r="CS80" i="8"/>
  <c r="CS118" i="8"/>
  <c r="CS110" i="8"/>
  <c r="CS102" i="8"/>
  <c r="CS104" i="8"/>
  <c r="CS93" i="8"/>
  <c r="CS54" i="8"/>
  <c r="CS100" i="8"/>
  <c r="CS109" i="8"/>
  <c r="CS52" i="8"/>
  <c r="CS45" i="8"/>
  <c r="CS40" i="8"/>
  <c r="CS37" i="8"/>
  <c r="CS39" i="8"/>
  <c r="CS123" i="8"/>
  <c r="CS121" i="8"/>
  <c r="CS67" i="8"/>
  <c r="CS43" i="8"/>
  <c r="CS73" i="8"/>
  <c r="CS72" i="8"/>
  <c r="CS68" i="8"/>
  <c r="CS69" i="8"/>
  <c r="CS62" i="8"/>
  <c r="CS35" i="8"/>
  <c r="CS124" i="8"/>
  <c r="CS95" i="8"/>
  <c r="CS116" i="8"/>
  <c r="CS65" i="8"/>
  <c r="CS47" i="8"/>
  <c r="CS44" i="8"/>
  <c r="CS60" i="8"/>
  <c r="CS51" i="8"/>
  <c r="CS33" i="8"/>
  <c r="CS115" i="8"/>
  <c r="CS107" i="8"/>
  <c r="CS74" i="8"/>
  <c r="CS71" i="8"/>
  <c r="CS64" i="8"/>
  <c r="CS91" i="8"/>
  <c r="CS82" i="8"/>
  <c r="CS117" i="8"/>
  <c r="CS103" i="8"/>
  <c r="CS36" i="8"/>
  <c r="CT28" i="8"/>
  <c r="CS29" i="8"/>
  <c r="CS59" i="8"/>
  <c r="CS66" i="8"/>
  <c r="CS38" i="8"/>
  <c r="CS32" i="8"/>
  <c r="CS50" i="8"/>
  <c r="CS63" i="8"/>
  <c r="CS78" i="8"/>
  <c r="CS58" i="8"/>
  <c r="CS88" i="8"/>
  <c r="CS122" i="8"/>
  <c r="CS119" i="8"/>
  <c r="CS56" i="8"/>
  <c r="CS55" i="8"/>
  <c r="CS70" i="8"/>
  <c r="CS81" i="8"/>
  <c r="CS42" i="8"/>
  <c r="CS114" i="8"/>
  <c r="CS120" i="8"/>
  <c r="CS139" i="8" l="1"/>
  <c r="CT62" i="8"/>
  <c r="CT33" i="8"/>
  <c r="CT118" i="8"/>
  <c r="CT104" i="8"/>
  <c r="CT86" i="8"/>
  <c r="CT67" i="8"/>
  <c r="CT52" i="8"/>
  <c r="CT93" i="8"/>
  <c r="CT60" i="8"/>
  <c r="CT110" i="8"/>
  <c r="CT95" i="8"/>
  <c r="CT102" i="8"/>
  <c r="CT98" i="8"/>
  <c r="CT100" i="8"/>
  <c r="CT90" i="8"/>
  <c r="CT107" i="8"/>
  <c r="CT109" i="8"/>
  <c r="CT83" i="8"/>
  <c r="CT116" i="8"/>
  <c r="CT99" i="8"/>
  <c r="CT103" i="8"/>
  <c r="CT106" i="8"/>
  <c r="CT91" i="8"/>
  <c r="CT49" i="8"/>
  <c r="CT43" i="8"/>
  <c r="CT117" i="8"/>
  <c r="CT111" i="8"/>
  <c r="CT119" i="8"/>
  <c r="CT120" i="8"/>
  <c r="CT89" i="8"/>
  <c r="CT112" i="8"/>
  <c r="CT59" i="8"/>
  <c r="CT54" i="8"/>
  <c r="CT72" i="8"/>
  <c r="CT63" i="8"/>
  <c r="CT38" i="8"/>
  <c r="CT34" i="8"/>
  <c r="CT123" i="8"/>
  <c r="CT122" i="8"/>
  <c r="CT113" i="8"/>
  <c r="CT88" i="8"/>
  <c r="CT87" i="8"/>
  <c r="CT84" i="8"/>
  <c r="CT75" i="8"/>
  <c r="CT66" i="8"/>
  <c r="CT57" i="8"/>
  <c r="CU28" i="8"/>
  <c r="CT47" i="8"/>
  <c r="CT41" i="8"/>
  <c r="CT77" i="8"/>
  <c r="CT92" i="8"/>
  <c r="CT74" i="8"/>
  <c r="CT101" i="8"/>
  <c r="CT73" i="8"/>
  <c r="CT81" i="8"/>
  <c r="CT82" i="8"/>
  <c r="CT32" i="8"/>
  <c r="CT56" i="8"/>
  <c r="CT45" i="8"/>
  <c r="CT29" i="8"/>
  <c r="CT42" i="8"/>
  <c r="CT76" i="8"/>
  <c r="CT58" i="8"/>
  <c r="CT44" i="8"/>
  <c r="CT124" i="8"/>
  <c r="CT55" i="8"/>
  <c r="CT40" i="8"/>
  <c r="CT121" i="8"/>
  <c r="CT105" i="8"/>
  <c r="CT30" i="8"/>
  <c r="CT85" i="8"/>
  <c r="CT65" i="8"/>
  <c r="CT96" i="8"/>
  <c r="CT115" i="8"/>
  <c r="CT69" i="8"/>
  <c r="CT50" i="8"/>
  <c r="CT71" i="8"/>
  <c r="CT108" i="8"/>
  <c r="CT68" i="8"/>
  <c r="CT97" i="8"/>
  <c r="CT48" i="8"/>
  <c r="CT114" i="8"/>
  <c r="CT78" i="8"/>
  <c r="CT46" i="8"/>
  <c r="CT36" i="8"/>
  <c r="CT61" i="8"/>
  <c r="CT70" i="8"/>
  <c r="CT37" i="8"/>
  <c r="CT80" i="8"/>
  <c r="CT35" i="8"/>
  <c r="CT53" i="8"/>
  <c r="CT64" i="8"/>
  <c r="CT79" i="8"/>
  <c r="CT94" i="8"/>
  <c r="CT31" i="8"/>
  <c r="CT39" i="8"/>
  <c r="CT51" i="8"/>
  <c r="CU74" i="8" l="1"/>
  <c r="CU56" i="8"/>
  <c r="CU41" i="8"/>
  <c r="CU119" i="8"/>
  <c r="CU107" i="8"/>
  <c r="CU94" i="8"/>
  <c r="CU32" i="8"/>
  <c r="CU102" i="8"/>
  <c r="CU115" i="8"/>
  <c r="CU61" i="8"/>
  <c r="CU63" i="8"/>
  <c r="CU33" i="8"/>
  <c r="CU123" i="8"/>
  <c r="CU116" i="8"/>
  <c r="CU118" i="8"/>
  <c r="CU105" i="8"/>
  <c r="CU96" i="8"/>
  <c r="CU35" i="8"/>
  <c r="CU49" i="8"/>
  <c r="CU62" i="8"/>
  <c r="CU42" i="8"/>
  <c r="CU34" i="8"/>
  <c r="CU36" i="8"/>
  <c r="CU103" i="8"/>
  <c r="CU124" i="8"/>
  <c r="CU122" i="8"/>
  <c r="CU68" i="8"/>
  <c r="CU117" i="8"/>
  <c r="CU55" i="8"/>
  <c r="CU48" i="8"/>
  <c r="CU50" i="8"/>
  <c r="CU43" i="8"/>
  <c r="CU38" i="8"/>
  <c r="CU31" i="8"/>
  <c r="CU47" i="8"/>
  <c r="CU108" i="8"/>
  <c r="CU60" i="8"/>
  <c r="CU67" i="8"/>
  <c r="CU64" i="8"/>
  <c r="CU57" i="8"/>
  <c r="CV28" i="8"/>
  <c r="CU45" i="8"/>
  <c r="CU39" i="8"/>
  <c r="CU73" i="8"/>
  <c r="CU37" i="8"/>
  <c r="CU89" i="8"/>
  <c r="CU98" i="8"/>
  <c r="CU93" i="8"/>
  <c r="CU87" i="8"/>
  <c r="CU79" i="8"/>
  <c r="CU70" i="8"/>
  <c r="CU84" i="8"/>
  <c r="CU75" i="8"/>
  <c r="CU40" i="8"/>
  <c r="CU46" i="8"/>
  <c r="CU114" i="8"/>
  <c r="CU101" i="8"/>
  <c r="CU81" i="8"/>
  <c r="CU109" i="8"/>
  <c r="CU91" i="8"/>
  <c r="CU77" i="8"/>
  <c r="CU65" i="8"/>
  <c r="CU29" i="8"/>
  <c r="CU120" i="8"/>
  <c r="CU110" i="8"/>
  <c r="CU95" i="8"/>
  <c r="CU76" i="8"/>
  <c r="CU30" i="8"/>
  <c r="CU66" i="8"/>
  <c r="CU58" i="8"/>
  <c r="CU44" i="8"/>
  <c r="CU51" i="8"/>
  <c r="CU99" i="8"/>
  <c r="CU92" i="8"/>
  <c r="CU71" i="8"/>
  <c r="CU72" i="8"/>
  <c r="CU83" i="8"/>
  <c r="CU78" i="8"/>
  <c r="CU104" i="8"/>
  <c r="CU97" i="8"/>
  <c r="CU82" i="8"/>
  <c r="CU88" i="8"/>
  <c r="CU90" i="8"/>
  <c r="CU53" i="8"/>
  <c r="CU86" i="8"/>
  <c r="CU113" i="8"/>
  <c r="CU106" i="8"/>
  <c r="CU121" i="8"/>
  <c r="CU59" i="8"/>
  <c r="CU85" i="8"/>
  <c r="CU111" i="8"/>
  <c r="CU69" i="8"/>
  <c r="CU52" i="8"/>
  <c r="CU80" i="8"/>
  <c r="CU54" i="8"/>
  <c r="CU112" i="8"/>
  <c r="CU100" i="8"/>
  <c r="CT139" i="8"/>
  <c r="CU139" i="8" l="1"/>
  <c r="CV95" i="8"/>
  <c r="CV77" i="8"/>
  <c r="CV56" i="8"/>
  <c r="CV44" i="8"/>
  <c r="CV114" i="8"/>
  <c r="CV115" i="8"/>
  <c r="CV66" i="8"/>
  <c r="CV106" i="8"/>
  <c r="CV30" i="8"/>
  <c r="CV37" i="8"/>
  <c r="CV57" i="8"/>
  <c r="CV49" i="8"/>
  <c r="CV43" i="8"/>
  <c r="CV34" i="8"/>
  <c r="CV36" i="8"/>
  <c r="CV31" i="8"/>
  <c r="CV33" i="8"/>
  <c r="CV116" i="8"/>
  <c r="CV52" i="8"/>
  <c r="CV67" i="8"/>
  <c r="CV55" i="8"/>
  <c r="CV41" i="8"/>
  <c r="CW28" i="8"/>
  <c r="CV46" i="8"/>
  <c r="CV39" i="8"/>
  <c r="CV53" i="8"/>
  <c r="CV69" i="8"/>
  <c r="CV80" i="8"/>
  <c r="CV72" i="8"/>
  <c r="CV60" i="8"/>
  <c r="CV68" i="8"/>
  <c r="CV59" i="8"/>
  <c r="CV54" i="8"/>
  <c r="CV45" i="8"/>
  <c r="CV85" i="8"/>
  <c r="CV87" i="8"/>
  <c r="CV96" i="8"/>
  <c r="CV75" i="8"/>
  <c r="CV82" i="8"/>
  <c r="CV79" i="8"/>
  <c r="CV65" i="8"/>
  <c r="CV61" i="8"/>
  <c r="CV51" i="8"/>
  <c r="CV117" i="8"/>
  <c r="CV29" i="8"/>
  <c r="CV112" i="8"/>
  <c r="CV119" i="8"/>
  <c r="CV98" i="8"/>
  <c r="CV107" i="8"/>
  <c r="CV101" i="8"/>
  <c r="CV91" i="8"/>
  <c r="CV118" i="8"/>
  <c r="CV93" i="8"/>
  <c r="CV70" i="8"/>
  <c r="CV42" i="8"/>
  <c r="CV110" i="8"/>
  <c r="CV122" i="8"/>
  <c r="CV86" i="8"/>
  <c r="CV105" i="8"/>
  <c r="CV78" i="8"/>
  <c r="CV100" i="8"/>
  <c r="CV111" i="8"/>
  <c r="CV121" i="8"/>
  <c r="CV109" i="8"/>
  <c r="CV48" i="8"/>
  <c r="CV113" i="8"/>
  <c r="CV103" i="8"/>
  <c r="CV84" i="8"/>
  <c r="CV73" i="8"/>
  <c r="CV50" i="8"/>
  <c r="CV74" i="8"/>
  <c r="CV120" i="8"/>
  <c r="CV92" i="8"/>
  <c r="CV71" i="8"/>
  <c r="CV35" i="8"/>
  <c r="CV83" i="8"/>
  <c r="CV38" i="8"/>
  <c r="CV97" i="8"/>
  <c r="CV94" i="8"/>
  <c r="CV40" i="8"/>
  <c r="CV81" i="8"/>
  <c r="CV104" i="8"/>
  <c r="CV62" i="8"/>
  <c r="CV88" i="8"/>
  <c r="CV63" i="8"/>
  <c r="CV76" i="8"/>
  <c r="CV90" i="8"/>
  <c r="CV89" i="8"/>
  <c r="CV124" i="8"/>
  <c r="CV108" i="8"/>
  <c r="CV32" i="8"/>
  <c r="CV58" i="8"/>
  <c r="CV99" i="8"/>
  <c r="CV102" i="8"/>
  <c r="CV123" i="8"/>
  <c r="CV47" i="8"/>
  <c r="CV64" i="8"/>
  <c r="CV139" i="8" l="1"/>
  <c r="CW113" i="8"/>
  <c r="CW96" i="8"/>
  <c r="CW78" i="8"/>
  <c r="CW58" i="8"/>
  <c r="CW44" i="8"/>
  <c r="CW32" i="8"/>
  <c r="CW119" i="8"/>
  <c r="CW116" i="8"/>
  <c r="CW56" i="8"/>
  <c r="CW73" i="8"/>
  <c r="CW66" i="8"/>
  <c r="CW59" i="8"/>
  <c r="CX28" i="8"/>
  <c r="CW54" i="8"/>
  <c r="CW50" i="8"/>
  <c r="CW107" i="8"/>
  <c r="CW102" i="8"/>
  <c r="CW30" i="8"/>
  <c r="CW67" i="8"/>
  <c r="CW76" i="8"/>
  <c r="CW68" i="8"/>
  <c r="CW70" i="8"/>
  <c r="CW64" i="8"/>
  <c r="CW65" i="8"/>
  <c r="CW39" i="8"/>
  <c r="CW48" i="8"/>
  <c r="CW29" i="8"/>
  <c r="CW94" i="8"/>
  <c r="CW77" i="8"/>
  <c r="CW81" i="8"/>
  <c r="CW80" i="8"/>
  <c r="CW69" i="8"/>
  <c r="CW88" i="8"/>
  <c r="CW82" i="8"/>
  <c r="CW60" i="8"/>
  <c r="CW72" i="8"/>
  <c r="CW99" i="8"/>
  <c r="CW101" i="8"/>
  <c r="CW75" i="8"/>
  <c r="CW83" i="8"/>
  <c r="CW84" i="8"/>
  <c r="CW114" i="8"/>
  <c r="CW111" i="8"/>
  <c r="CW92" i="8"/>
  <c r="CW105" i="8"/>
  <c r="CW62" i="8"/>
  <c r="CW33" i="8"/>
  <c r="CW124" i="8"/>
  <c r="CW112" i="8"/>
  <c r="CW110" i="8"/>
  <c r="CW109" i="8"/>
  <c r="CW79" i="8"/>
  <c r="CW86" i="8"/>
  <c r="CW91" i="8"/>
  <c r="CW61" i="8"/>
  <c r="CW45" i="8"/>
  <c r="CW37" i="8"/>
  <c r="CW71" i="8"/>
  <c r="CW93" i="8"/>
  <c r="CW120" i="8"/>
  <c r="CW106" i="8"/>
  <c r="CW95" i="8"/>
  <c r="CW51" i="8"/>
  <c r="CW34" i="8"/>
  <c r="CW122" i="8"/>
  <c r="CW98" i="8"/>
  <c r="CW43" i="8"/>
  <c r="CW87" i="8"/>
  <c r="CW89" i="8"/>
  <c r="CW31" i="8"/>
  <c r="CW117" i="8"/>
  <c r="CW35" i="8"/>
  <c r="CW41" i="8"/>
  <c r="CW40" i="8"/>
  <c r="CW52" i="8"/>
  <c r="CW100" i="8"/>
  <c r="CW97" i="8"/>
  <c r="CW63" i="8"/>
  <c r="CW118" i="8"/>
  <c r="CW53" i="8"/>
  <c r="CW90" i="8"/>
  <c r="CW104" i="8"/>
  <c r="CW121" i="8"/>
  <c r="CW49" i="8"/>
  <c r="CW46" i="8"/>
  <c r="CW57" i="8"/>
  <c r="CW38" i="8"/>
  <c r="CW108" i="8"/>
  <c r="CW55" i="8"/>
  <c r="CW36" i="8"/>
  <c r="CW85" i="8"/>
  <c r="CW42" i="8"/>
  <c r="CW103" i="8"/>
  <c r="CW115" i="8"/>
  <c r="CW47" i="8"/>
  <c r="CW123" i="8"/>
  <c r="CW74" i="8"/>
  <c r="CW139" i="8" l="1"/>
  <c r="CX62" i="8"/>
  <c r="CX117" i="8"/>
  <c r="CX86" i="8"/>
  <c r="CX85" i="8"/>
  <c r="CX90" i="8"/>
  <c r="CX65" i="8"/>
  <c r="CX46" i="8"/>
  <c r="CX61" i="8"/>
  <c r="CX93" i="8"/>
  <c r="CX98" i="8"/>
  <c r="CX100" i="8"/>
  <c r="CX84" i="8"/>
  <c r="CX78" i="8"/>
  <c r="CX80" i="8"/>
  <c r="CX64" i="8"/>
  <c r="CX69" i="8"/>
  <c r="CX72" i="8"/>
  <c r="CX39" i="8"/>
  <c r="CX113" i="8"/>
  <c r="CX108" i="8"/>
  <c r="CX77" i="8"/>
  <c r="CX88" i="8"/>
  <c r="CX89" i="8"/>
  <c r="CX79" i="8"/>
  <c r="CX106" i="8"/>
  <c r="CX102" i="8"/>
  <c r="CX51" i="8"/>
  <c r="CX54" i="8"/>
  <c r="CX103" i="8"/>
  <c r="CX110" i="8"/>
  <c r="CX112" i="8"/>
  <c r="CX91" i="8"/>
  <c r="CX96" i="8"/>
  <c r="CX109" i="8"/>
  <c r="CX30" i="8"/>
  <c r="CX82" i="8"/>
  <c r="CX122" i="8"/>
  <c r="CX124" i="8"/>
  <c r="CX107" i="8"/>
  <c r="CX111" i="8"/>
  <c r="CX104" i="8"/>
  <c r="CX42" i="8"/>
  <c r="CX74" i="8"/>
  <c r="CX116" i="8"/>
  <c r="CX55" i="8"/>
  <c r="CX50" i="8"/>
  <c r="CX47" i="8"/>
  <c r="CX36" i="8"/>
  <c r="CX35" i="8"/>
  <c r="CX119" i="8"/>
  <c r="CX114" i="8"/>
  <c r="CX73" i="8"/>
  <c r="CX120" i="8"/>
  <c r="CX76" i="8"/>
  <c r="CX70" i="8"/>
  <c r="CX52" i="8"/>
  <c r="CX101" i="8"/>
  <c r="CX63" i="8"/>
  <c r="CX34" i="8"/>
  <c r="CX123" i="8"/>
  <c r="CX94" i="8"/>
  <c r="CX60" i="8"/>
  <c r="CX66" i="8"/>
  <c r="CX38" i="8"/>
  <c r="CX40" i="8"/>
  <c r="CX31" i="8"/>
  <c r="CX44" i="8"/>
  <c r="CX33" i="8"/>
  <c r="CX83" i="8"/>
  <c r="CX97" i="8"/>
  <c r="CX81" i="8"/>
  <c r="CX49" i="8"/>
  <c r="CX115" i="8"/>
  <c r="CX75" i="8"/>
  <c r="CX58" i="8"/>
  <c r="CX32" i="8"/>
  <c r="CX87" i="8"/>
  <c r="CX95" i="8"/>
  <c r="CX37" i="8"/>
  <c r="CX45" i="8"/>
  <c r="CX29" i="8"/>
  <c r="CX56" i="8"/>
  <c r="CX41" i="8"/>
  <c r="CX68" i="8"/>
  <c r="CX59" i="8"/>
  <c r="CX121" i="8"/>
  <c r="CX99" i="8"/>
  <c r="CX57" i="8"/>
  <c r="CX71" i="8"/>
  <c r="CX67" i="8"/>
  <c r="CX43" i="8"/>
  <c r="CX105" i="8"/>
  <c r="CX48" i="8"/>
  <c r="CX92" i="8"/>
  <c r="CY28" i="8"/>
  <c r="CX53" i="8"/>
  <c r="CX118" i="8"/>
  <c r="CY63" i="8" l="1"/>
  <c r="CY33" i="8"/>
  <c r="CY114" i="8"/>
  <c r="CY99" i="8"/>
  <c r="CY80" i="8"/>
  <c r="CY75" i="8"/>
  <c r="CY65" i="8"/>
  <c r="CY83" i="8"/>
  <c r="CY44" i="8"/>
  <c r="CY81" i="8"/>
  <c r="CY98" i="8"/>
  <c r="CY93" i="8"/>
  <c r="CY76" i="8"/>
  <c r="CY77" i="8"/>
  <c r="CY78" i="8"/>
  <c r="CY113" i="8"/>
  <c r="CY54" i="8"/>
  <c r="CY71" i="8"/>
  <c r="CY37" i="8"/>
  <c r="CY112" i="8"/>
  <c r="CY100" i="8"/>
  <c r="CY95" i="8"/>
  <c r="CY88" i="8"/>
  <c r="CY86" i="8"/>
  <c r="CY32" i="8"/>
  <c r="CY82" i="8"/>
  <c r="CY92" i="8"/>
  <c r="CY111" i="8"/>
  <c r="CY103" i="8"/>
  <c r="CY105" i="8"/>
  <c r="CY102" i="8"/>
  <c r="CY94" i="8"/>
  <c r="CY52" i="8"/>
  <c r="CY107" i="8"/>
  <c r="CY29" i="8"/>
  <c r="CY123" i="8"/>
  <c r="CY101" i="8"/>
  <c r="CY116" i="8"/>
  <c r="CY109" i="8"/>
  <c r="CY108" i="8"/>
  <c r="CY79" i="8"/>
  <c r="CY49" i="8"/>
  <c r="CY73" i="8"/>
  <c r="CY64" i="8"/>
  <c r="CY55" i="8"/>
  <c r="CY48" i="8"/>
  <c r="CY43" i="8"/>
  <c r="CY38" i="8"/>
  <c r="CY31" i="8"/>
  <c r="CY47" i="8"/>
  <c r="CY120" i="8"/>
  <c r="CY110" i="8"/>
  <c r="CY91" i="8"/>
  <c r="CY74" i="8"/>
  <c r="CY61" i="8"/>
  <c r="CY40" i="8"/>
  <c r="CY106" i="8"/>
  <c r="CY46" i="8"/>
  <c r="CY36" i="8"/>
  <c r="CY124" i="8"/>
  <c r="CY89" i="8"/>
  <c r="CY67" i="8"/>
  <c r="CZ28" i="8"/>
  <c r="CY39" i="8"/>
  <c r="CY59" i="8"/>
  <c r="CY62" i="8"/>
  <c r="CY34" i="8"/>
  <c r="CY118" i="8"/>
  <c r="CY96" i="8"/>
  <c r="CY104" i="8"/>
  <c r="CY42" i="8"/>
  <c r="CY45" i="8"/>
  <c r="CY119" i="8"/>
  <c r="CY72" i="8"/>
  <c r="CY53" i="8"/>
  <c r="CY30" i="8"/>
  <c r="CY87" i="8"/>
  <c r="CY97" i="8"/>
  <c r="CY35" i="8"/>
  <c r="CY85" i="8"/>
  <c r="CY122" i="8"/>
  <c r="CY41" i="8"/>
  <c r="CY51" i="8"/>
  <c r="CY58" i="8"/>
  <c r="CY115" i="8"/>
  <c r="CY66" i="8"/>
  <c r="CY57" i="8"/>
  <c r="CY121" i="8"/>
  <c r="CY90" i="8"/>
  <c r="CY60" i="8"/>
  <c r="CY68" i="8"/>
  <c r="CY69" i="8"/>
  <c r="CY56" i="8"/>
  <c r="CY70" i="8"/>
  <c r="CY117" i="8"/>
  <c r="CY50" i="8"/>
  <c r="CY84" i="8"/>
  <c r="CX139" i="8"/>
  <c r="CZ75" i="8" l="1"/>
  <c r="CZ56" i="8"/>
  <c r="CZ117" i="8"/>
  <c r="CZ119" i="8"/>
  <c r="CZ32" i="8"/>
  <c r="CZ107" i="8"/>
  <c r="CZ52" i="8"/>
  <c r="CZ94" i="8"/>
  <c r="CZ78" i="8"/>
  <c r="CZ72" i="8"/>
  <c r="CZ120" i="8"/>
  <c r="CZ95" i="8"/>
  <c r="CZ74" i="8"/>
  <c r="CZ116" i="8"/>
  <c r="CZ115" i="8"/>
  <c r="CZ93" i="8"/>
  <c r="CZ49" i="8"/>
  <c r="CZ64" i="8"/>
  <c r="CZ63" i="8"/>
  <c r="CZ35" i="8"/>
  <c r="CZ98" i="8"/>
  <c r="CZ113" i="8"/>
  <c r="CZ44" i="8"/>
  <c r="CZ29" i="8"/>
  <c r="CZ111" i="8"/>
  <c r="CZ55" i="8"/>
  <c r="CZ112" i="8"/>
  <c r="CZ62" i="8"/>
  <c r="CZ39" i="8"/>
  <c r="CZ76" i="8"/>
  <c r="CZ104" i="8"/>
  <c r="CZ67" i="8"/>
  <c r="CZ46" i="8"/>
  <c r="CZ90" i="8"/>
  <c r="CZ81" i="8"/>
  <c r="CZ65" i="8"/>
  <c r="CZ57" i="8"/>
  <c r="CZ47" i="8"/>
  <c r="CZ122" i="8"/>
  <c r="CZ38" i="8"/>
  <c r="CZ82" i="8"/>
  <c r="CZ73" i="8"/>
  <c r="CZ33" i="8"/>
  <c r="CZ101" i="8"/>
  <c r="CZ124" i="8"/>
  <c r="CZ99" i="8"/>
  <c r="CZ54" i="8"/>
  <c r="CZ43" i="8"/>
  <c r="CZ79" i="8"/>
  <c r="CZ118" i="8"/>
  <c r="CZ123" i="8"/>
  <c r="CZ77" i="8"/>
  <c r="CZ36" i="8"/>
  <c r="CZ84" i="8"/>
  <c r="CZ83" i="8"/>
  <c r="CZ102" i="8"/>
  <c r="CZ70" i="8"/>
  <c r="CZ100" i="8"/>
  <c r="CZ86" i="8"/>
  <c r="CZ40" i="8"/>
  <c r="CZ110" i="8"/>
  <c r="CZ53" i="8"/>
  <c r="DA28" i="8"/>
  <c r="CZ105" i="8"/>
  <c r="CZ51" i="8"/>
  <c r="CZ41" i="8"/>
  <c r="CZ97" i="8"/>
  <c r="CZ106" i="8"/>
  <c r="CZ59" i="8"/>
  <c r="CZ45" i="8"/>
  <c r="CZ89" i="8"/>
  <c r="CZ88" i="8"/>
  <c r="CZ30" i="8"/>
  <c r="CZ31" i="8"/>
  <c r="CZ71" i="8"/>
  <c r="CZ48" i="8"/>
  <c r="CZ80" i="8"/>
  <c r="CZ50" i="8"/>
  <c r="CZ60" i="8"/>
  <c r="CZ34" i="8"/>
  <c r="CZ68" i="8"/>
  <c r="CZ114" i="8"/>
  <c r="CZ61" i="8"/>
  <c r="CZ42" i="8"/>
  <c r="CZ91" i="8"/>
  <c r="CZ85" i="8"/>
  <c r="CZ103" i="8"/>
  <c r="CZ37" i="8"/>
  <c r="CZ92" i="8"/>
  <c r="CZ66" i="8"/>
  <c r="CZ69" i="8"/>
  <c r="CZ108" i="8"/>
  <c r="CZ87" i="8"/>
  <c r="CZ109" i="8"/>
  <c r="CZ96" i="8"/>
  <c r="CZ121" i="8"/>
  <c r="CZ58" i="8"/>
  <c r="CY139" i="8"/>
  <c r="CZ139" i="8" l="1"/>
  <c r="DA92" i="8"/>
  <c r="DA67" i="8"/>
  <c r="DA59" i="8"/>
  <c r="DA66" i="8"/>
  <c r="DA79" i="8"/>
  <c r="DA35" i="8"/>
  <c r="DA78" i="8"/>
  <c r="DA123" i="8"/>
  <c r="DA112" i="8"/>
  <c r="DA30" i="8"/>
  <c r="DA62" i="8"/>
  <c r="DA43" i="8"/>
  <c r="DA32" i="8"/>
  <c r="DA45" i="8"/>
  <c r="DA74" i="8"/>
  <c r="DA48" i="8"/>
  <c r="DA109" i="8"/>
  <c r="DA75" i="8"/>
  <c r="DA40" i="8"/>
  <c r="DA53" i="8"/>
  <c r="DA47" i="8"/>
  <c r="DA38" i="8"/>
  <c r="DA51" i="8"/>
  <c r="DA101" i="8"/>
  <c r="DA57" i="8"/>
  <c r="DA119" i="8"/>
  <c r="DA89" i="8"/>
  <c r="DA86" i="8"/>
  <c r="DA68" i="8"/>
  <c r="DA54" i="8"/>
  <c r="DA50" i="8"/>
  <c r="DA76" i="8"/>
  <c r="DA106" i="8"/>
  <c r="DA73" i="8"/>
  <c r="DA37" i="8"/>
  <c r="DA104" i="8"/>
  <c r="DA44" i="8"/>
  <c r="DA71" i="8"/>
  <c r="DA60" i="8"/>
  <c r="DA72" i="8"/>
  <c r="DA83" i="8"/>
  <c r="DA29" i="8"/>
  <c r="DA90" i="8"/>
  <c r="DB28" i="8"/>
  <c r="DA122" i="8"/>
  <c r="DA70" i="8"/>
  <c r="DA111" i="8"/>
  <c r="DA93" i="8"/>
  <c r="DA103" i="8"/>
  <c r="DA117" i="8"/>
  <c r="DA69" i="8"/>
  <c r="DA34" i="8"/>
  <c r="DA87" i="8"/>
  <c r="DA52" i="8"/>
  <c r="DA33" i="8"/>
  <c r="DA39" i="8"/>
  <c r="DA110" i="8"/>
  <c r="DA61" i="8"/>
  <c r="DA88" i="8"/>
  <c r="DA100" i="8"/>
  <c r="DA115" i="8"/>
  <c r="DA99" i="8"/>
  <c r="DA107" i="8"/>
  <c r="DA31" i="8"/>
  <c r="DA49" i="8"/>
  <c r="DA65" i="8"/>
  <c r="DA82" i="8"/>
  <c r="DA81" i="8"/>
  <c r="DA46" i="8"/>
  <c r="DA64" i="8"/>
  <c r="DA91" i="8"/>
  <c r="DA63" i="8"/>
  <c r="DA95" i="8"/>
  <c r="DA113" i="8"/>
  <c r="DA97" i="8"/>
  <c r="DA42" i="8"/>
  <c r="DA36" i="8"/>
  <c r="DA102" i="8"/>
  <c r="DA55" i="8"/>
  <c r="DA41" i="8"/>
  <c r="DA96" i="8"/>
  <c r="DA120" i="8"/>
  <c r="DA116" i="8"/>
  <c r="DA84" i="8"/>
  <c r="DA124" i="8"/>
  <c r="DA108" i="8"/>
  <c r="DA56" i="8"/>
  <c r="DA85" i="8"/>
  <c r="DA98" i="8"/>
  <c r="DA118" i="8"/>
  <c r="DA105" i="8"/>
  <c r="DA77" i="8"/>
  <c r="DA114" i="8"/>
  <c r="DA121" i="8"/>
  <c r="DA58" i="8"/>
  <c r="DA94" i="8"/>
  <c r="DA80" i="8"/>
  <c r="DB99" i="8" l="1"/>
  <c r="DB92" i="8"/>
  <c r="DB82" i="8"/>
  <c r="DB88" i="8"/>
  <c r="DB124" i="8"/>
  <c r="DB61" i="8"/>
  <c r="DB117" i="8"/>
  <c r="DB79" i="8"/>
  <c r="DB40" i="8"/>
  <c r="DB64" i="8"/>
  <c r="DB53" i="8"/>
  <c r="DB46" i="8"/>
  <c r="DB59" i="8"/>
  <c r="DB84" i="8"/>
  <c r="DB75" i="8"/>
  <c r="DB68" i="8"/>
  <c r="DB30" i="8"/>
  <c r="DB120" i="8"/>
  <c r="DB73" i="8"/>
  <c r="DB65" i="8"/>
  <c r="DB57" i="8"/>
  <c r="DB78" i="8"/>
  <c r="DB36" i="8"/>
  <c r="DB69" i="8"/>
  <c r="DB85" i="8"/>
  <c r="DB49" i="8"/>
  <c r="DB29" i="8"/>
  <c r="DB83" i="8"/>
  <c r="DB67" i="8"/>
  <c r="DB72" i="8"/>
  <c r="DB102" i="8"/>
  <c r="DB42" i="8"/>
  <c r="DB103" i="8"/>
  <c r="DB97" i="8"/>
  <c r="DB56" i="8"/>
  <c r="DB44" i="8"/>
  <c r="DB96" i="8"/>
  <c r="DB81" i="8"/>
  <c r="DB100" i="8"/>
  <c r="DB93" i="8"/>
  <c r="DB60" i="8"/>
  <c r="DB119" i="8"/>
  <c r="DB109" i="8"/>
  <c r="DB122" i="8"/>
  <c r="DB54" i="8"/>
  <c r="DB123" i="8"/>
  <c r="DB114" i="8"/>
  <c r="DB111" i="8"/>
  <c r="DB47" i="8"/>
  <c r="DB91" i="8"/>
  <c r="DB77" i="8"/>
  <c r="DB52" i="8"/>
  <c r="DB86" i="8"/>
  <c r="DB55" i="8"/>
  <c r="DB38" i="8"/>
  <c r="DB94" i="8"/>
  <c r="DB41" i="8"/>
  <c r="DB90" i="8"/>
  <c r="DB118" i="8"/>
  <c r="DB116" i="8"/>
  <c r="DB98" i="8"/>
  <c r="DB45" i="8"/>
  <c r="DB31" i="8"/>
  <c r="DB37" i="8"/>
  <c r="DB87" i="8"/>
  <c r="DB70" i="8"/>
  <c r="DB101" i="8"/>
  <c r="DB121" i="8"/>
  <c r="DB39" i="8"/>
  <c r="DB71" i="8"/>
  <c r="DB50" i="8"/>
  <c r="DB80" i="8"/>
  <c r="DB108" i="8"/>
  <c r="DB89" i="8"/>
  <c r="DB35" i="8"/>
  <c r="DB110" i="8"/>
  <c r="DB107" i="8"/>
  <c r="DC28" i="8"/>
  <c r="DB74" i="8"/>
  <c r="DB51" i="8"/>
  <c r="DB34" i="8"/>
  <c r="DB33" i="8"/>
  <c r="DB58" i="8"/>
  <c r="DB63" i="8"/>
  <c r="DB76" i="8"/>
  <c r="DB62" i="8"/>
  <c r="DB66" i="8"/>
  <c r="DB104" i="8"/>
  <c r="DB95" i="8"/>
  <c r="DB43" i="8"/>
  <c r="DB105" i="8"/>
  <c r="DB115" i="8"/>
  <c r="DB48" i="8"/>
  <c r="DB106" i="8"/>
  <c r="DB113" i="8"/>
  <c r="DB32" i="8"/>
  <c r="DB112" i="8"/>
  <c r="DA139" i="8"/>
  <c r="DB139" i="8" l="1"/>
  <c r="DC109" i="8"/>
  <c r="DC94" i="8"/>
  <c r="DC95" i="8"/>
  <c r="DC96" i="8"/>
  <c r="DC39" i="8"/>
  <c r="DC119" i="8"/>
  <c r="DC97" i="8"/>
  <c r="DC46" i="8"/>
  <c r="DC116" i="8"/>
  <c r="DC72" i="8"/>
  <c r="DC65" i="8"/>
  <c r="DC57" i="8"/>
  <c r="DC77" i="8"/>
  <c r="DC124" i="8"/>
  <c r="DC52" i="8"/>
  <c r="DC30" i="8"/>
  <c r="DD28" i="8"/>
  <c r="DC70" i="8"/>
  <c r="DC85" i="8"/>
  <c r="DC66" i="8"/>
  <c r="DC73" i="8"/>
  <c r="DC84" i="8"/>
  <c r="DC64" i="8"/>
  <c r="DC71" i="8"/>
  <c r="DC47" i="8"/>
  <c r="DC58" i="8"/>
  <c r="DC79" i="8"/>
  <c r="DC91" i="8"/>
  <c r="DC80" i="8"/>
  <c r="DC83" i="8"/>
  <c r="DC107" i="8"/>
  <c r="DC76" i="8"/>
  <c r="DC78" i="8"/>
  <c r="DC56" i="8"/>
  <c r="DC101" i="8"/>
  <c r="DC93" i="8"/>
  <c r="DC98" i="8"/>
  <c r="DC68" i="8"/>
  <c r="DC102" i="8"/>
  <c r="DC118" i="8"/>
  <c r="DC90" i="8"/>
  <c r="DC100" i="8"/>
  <c r="DC74" i="8"/>
  <c r="DC38" i="8"/>
  <c r="DC108" i="8"/>
  <c r="DC63" i="8"/>
  <c r="DC33" i="8"/>
  <c r="DC122" i="8"/>
  <c r="DC37" i="8"/>
  <c r="DC61" i="8"/>
  <c r="DC69" i="8"/>
  <c r="DC54" i="8"/>
  <c r="DC86" i="8"/>
  <c r="DC40" i="8"/>
  <c r="DC53" i="8"/>
  <c r="DC59" i="8"/>
  <c r="DC115" i="8"/>
  <c r="DC34" i="8"/>
  <c r="DC103" i="8"/>
  <c r="DC43" i="8"/>
  <c r="DC29" i="8"/>
  <c r="DC104" i="8"/>
  <c r="DC62" i="8"/>
  <c r="DC31" i="8"/>
  <c r="DC81" i="8"/>
  <c r="DC75" i="8"/>
  <c r="DC36" i="8"/>
  <c r="DC110" i="8"/>
  <c r="DC105" i="8"/>
  <c r="DC111" i="8"/>
  <c r="DC114" i="8"/>
  <c r="DC48" i="8"/>
  <c r="DC99" i="8"/>
  <c r="DC123" i="8"/>
  <c r="DC82" i="8"/>
  <c r="DC50" i="8"/>
  <c r="DC113" i="8"/>
  <c r="DC88" i="8"/>
  <c r="DC49" i="8"/>
  <c r="DC55" i="8"/>
  <c r="DC112" i="8"/>
  <c r="DC67" i="8"/>
  <c r="DC121" i="8"/>
  <c r="DC117" i="8"/>
  <c r="DC87" i="8"/>
  <c r="DC42" i="8"/>
  <c r="DC92" i="8"/>
  <c r="DC44" i="8"/>
  <c r="DC45" i="8"/>
  <c r="DC106" i="8"/>
  <c r="DC120" i="8"/>
  <c r="DC35" i="8"/>
  <c r="DC51" i="8"/>
  <c r="DC32" i="8"/>
  <c r="DC41" i="8"/>
  <c r="DC89" i="8"/>
  <c r="DC60" i="8"/>
  <c r="DD57" i="8" l="1"/>
  <c r="DD44" i="8"/>
  <c r="DD120" i="8"/>
  <c r="DD122" i="8"/>
  <c r="DD35" i="8"/>
  <c r="DD113" i="8"/>
  <c r="DD91" i="8"/>
  <c r="DD81" i="8"/>
  <c r="DD34" i="8"/>
  <c r="DD108" i="8"/>
  <c r="DD103" i="8"/>
  <c r="DD93" i="8"/>
  <c r="DD101" i="8"/>
  <c r="DD88" i="8"/>
  <c r="DD95" i="8"/>
  <c r="DD102" i="8"/>
  <c r="DD119" i="8"/>
  <c r="DD78" i="8"/>
  <c r="DD118" i="8"/>
  <c r="DD98" i="8"/>
  <c r="DD90" i="8"/>
  <c r="DD111" i="8"/>
  <c r="DD114" i="8"/>
  <c r="DD123" i="8"/>
  <c r="DD29" i="8"/>
  <c r="DD30" i="8"/>
  <c r="DD50" i="8"/>
  <c r="DD117" i="8"/>
  <c r="DD92" i="8"/>
  <c r="DD115" i="8"/>
  <c r="DD69" i="8"/>
  <c r="DD36" i="8"/>
  <c r="DD39" i="8"/>
  <c r="DD55" i="8"/>
  <c r="DD107" i="8"/>
  <c r="DD116" i="8"/>
  <c r="DD112" i="8"/>
  <c r="DD38" i="8"/>
  <c r="DD84" i="8"/>
  <c r="DD41" i="8"/>
  <c r="DD65" i="8"/>
  <c r="DD70" i="8"/>
  <c r="DE28" i="8"/>
  <c r="DD67" i="8"/>
  <c r="DD54" i="8"/>
  <c r="DD43" i="8"/>
  <c r="DD60" i="8"/>
  <c r="DD106" i="8"/>
  <c r="DD109" i="8"/>
  <c r="DD31" i="8"/>
  <c r="DD40" i="8"/>
  <c r="DD58" i="8"/>
  <c r="DD97" i="8"/>
  <c r="DD80" i="8"/>
  <c r="DD77" i="8"/>
  <c r="DD82" i="8"/>
  <c r="DD74" i="8"/>
  <c r="DD47" i="8"/>
  <c r="DD52" i="8"/>
  <c r="DD87" i="8"/>
  <c r="DD121" i="8"/>
  <c r="DD61" i="8"/>
  <c r="DD79" i="8"/>
  <c r="DD124" i="8"/>
  <c r="DD72" i="8"/>
  <c r="DD62" i="8"/>
  <c r="DD32" i="8"/>
  <c r="DD86" i="8"/>
  <c r="DD99" i="8"/>
  <c r="DD51" i="8"/>
  <c r="DD75" i="8"/>
  <c r="DD100" i="8"/>
  <c r="DD105" i="8"/>
  <c r="DD83" i="8"/>
  <c r="DD104" i="8"/>
  <c r="DD85" i="8"/>
  <c r="DD33" i="8"/>
  <c r="DD46" i="8"/>
  <c r="DD37" i="8"/>
  <c r="DD64" i="8"/>
  <c r="DD63" i="8"/>
  <c r="DD48" i="8"/>
  <c r="DD66" i="8"/>
  <c r="DD71" i="8"/>
  <c r="DD76" i="8"/>
  <c r="DD96" i="8"/>
  <c r="DD42" i="8"/>
  <c r="DD49" i="8"/>
  <c r="DD56" i="8"/>
  <c r="DD53" i="8"/>
  <c r="DD73" i="8"/>
  <c r="DD94" i="8"/>
  <c r="DD89" i="8"/>
  <c r="DD59" i="8"/>
  <c r="DD68" i="8"/>
  <c r="DD110" i="8"/>
  <c r="DD45" i="8"/>
  <c r="DC139" i="8"/>
  <c r="DD139" i="8" l="1"/>
  <c r="DE73" i="8"/>
  <c r="DE52" i="8"/>
  <c r="DE38" i="8"/>
  <c r="DE35" i="8"/>
  <c r="DE49" i="8"/>
  <c r="DE96" i="8"/>
  <c r="DE72" i="8"/>
  <c r="DE104" i="8"/>
  <c r="DE31" i="8"/>
  <c r="DE71" i="8"/>
  <c r="DE108" i="8"/>
  <c r="DE107" i="8"/>
  <c r="DE99" i="8"/>
  <c r="DE122" i="8"/>
  <c r="DE80" i="8"/>
  <c r="DE77" i="8"/>
  <c r="DE46" i="8"/>
  <c r="DE39" i="8"/>
  <c r="DE124" i="8"/>
  <c r="DE98" i="8"/>
  <c r="DE110" i="8"/>
  <c r="DE36" i="8"/>
  <c r="DE113" i="8"/>
  <c r="DE95" i="8"/>
  <c r="DE62" i="8"/>
  <c r="DE33" i="8"/>
  <c r="DE123" i="8"/>
  <c r="DE121" i="8"/>
  <c r="DE57" i="8"/>
  <c r="DE120" i="8"/>
  <c r="DE63" i="8"/>
  <c r="DE43" i="8"/>
  <c r="DE32" i="8"/>
  <c r="DE44" i="8"/>
  <c r="DE67" i="8"/>
  <c r="DE34" i="8"/>
  <c r="DE30" i="8"/>
  <c r="DE82" i="8"/>
  <c r="DE40" i="8"/>
  <c r="DE84" i="8"/>
  <c r="DE69" i="8"/>
  <c r="DE51" i="8"/>
  <c r="DE86" i="8"/>
  <c r="DE117" i="8"/>
  <c r="DE89" i="8"/>
  <c r="DE74" i="8"/>
  <c r="DE118" i="8"/>
  <c r="DE48" i="8"/>
  <c r="DE93" i="8"/>
  <c r="DE112" i="8"/>
  <c r="DE41" i="8"/>
  <c r="DE83" i="8"/>
  <c r="DE66" i="8"/>
  <c r="DE59" i="8"/>
  <c r="DE103" i="8"/>
  <c r="DE42" i="8"/>
  <c r="DE55" i="8"/>
  <c r="DE92" i="8"/>
  <c r="DE68" i="8"/>
  <c r="DE37" i="8"/>
  <c r="DE54" i="8"/>
  <c r="DE91" i="8"/>
  <c r="DE47" i="8"/>
  <c r="DE53" i="8"/>
  <c r="DE65" i="8"/>
  <c r="DE29" i="8"/>
  <c r="DE70" i="8"/>
  <c r="DE79" i="8"/>
  <c r="DE64" i="8"/>
  <c r="DE94" i="8"/>
  <c r="DE88" i="8"/>
  <c r="DE75" i="8"/>
  <c r="DE60" i="8"/>
  <c r="DE50" i="8"/>
  <c r="DE106" i="8"/>
  <c r="DE100" i="8"/>
  <c r="DE97" i="8"/>
  <c r="DE102" i="8"/>
  <c r="DE111" i="8"/>
  <c r="DE116" i="8"/>
  <c r="DE58" i="8"/>
  <c r="DE81" i="8"/>
  <c r="DE78" i="8"/>
  <c r="DE101" i="8"/>
  <c r="DE85" i="8"/>
  <c r="DE76" i="8"/>
  <c r="DE61" i="8"/>
  <c r="DE115" i="8"/>
  <c r="DE87" i="8"/>
  <c r="DE119" i="8"/>
  <c r="DF28" i="8"/>
  <c r="DE114" i="8"/>
  <c r="DE56" i="8"/>
  <c r="DE105" i="8"/>
  <c r="DE90" i="8"/>
  <c r="DE45" i="8"/>
  <c r="DE109" i="8"/>
  <c r="DE139" i="8" l="1"/>
  <c r="DF81" i="8"/>
  <c r="DF65" i="8"/>
  <c r="DF46" i="8"/>
  <c r="DF58" i="8"/>
  <c r="DF73" i="8"/>
  <c r="DF42" i="8"/>
  <c r="DF90" i="8"/>
  <c r="DF31" i="8"/>
  <c r="DF49" i="8"/>
  <c r="DF29" i="8"/>
  <c r="DF121" i="8"/>
  <c r="DF114" i="8"/>
  <c r="DF105" i="8"/>
  <c r="DF40" i="8"/>
  <c r="DF123" i="8"/>
  <c r="DF110" i="8"/>
  <c r="DF55" i="8"/>
  <c r="DG28" i="8"/>
  <c r="DF54" i="8"/>
  <c r="DF50" i="8"/>
  <c r="DF38" i="8"/>
  <c r="DF74" i="8"/>
  <c r="DF103" i="8"/>
  <c r="DF84" i="8"/>
  <c r="DF44" i="8"/>
  <c r="DF60" i="8"/>
  <c r="DF79" i="8"/>
  <c r="DF98" i="8"/>
  <c r="DF82" i="8"/>
  <c r="DF80" i="8"/>
  <c r="DF95" i="8"/>
  <c r="DF67" i="8"/>
  <c r="DF30" i="8"/>
  <c r="DF96" i="8"/>
  <c r="DF59" i="8"/>
  <c r="DF119" i="8"/>
  <c r="DF53" i="8"/>
  <c r="DF106" i="8"/>
  <c r="DF85" i="8"/>
  <c r="DF45" i="8"/>
  <c r="DF86" i="8"/>
  <c r="DF88" i="8"/>
  <c r="DF63" i="8"/>
  <c r="DF94" i="8"/>
  <c r="DF36" i="8"/>
  <c r="DF37" i="8"/>
  <c r="DF64" i="8"/>
  <c r="DF108" i="8"/>
  <c r="DF66" i="8"/>
  <c r="DF99" i="8"/>
  <c r="DF47" i="8"/>
  <c r="DF75" i="8"/>
  <c r="DF122" i="8"/>
  <c r="DF41" i="8"/>
  <c r="DF101" i="8"/>
  <c r="DF32" i="8"/>
  <c r="DF120" i="8"/>
  <c r="DF51" i="8"/>
  <c r="DF76" i="8"/>
  <c r="DF77" i="8"/>
  <c r="DF34" i="8"/>
  <c r="DF87" i="8"/>
  <c r="DF56" i="8"/>
  <c r="DF116" i="8"/>
  <c r="DF43" i="8"/>
  <c r="DF115" i="8"/>
  <c r="DF33" i="8"/>
  <c r="DF109" i="8"/>
  <c r="DF69" i="8"/>
  <c r="DF39" i="8"/>
  <c r="DF57" i="8"/>
  <c r="DF100" i="8"/>
  <c r="DF62" i="8"/>
  <c r="DF83" i="8"/>
  <c r="DF48" i="8"/>
  <c r="DF71" i="8"/>
  <c r="DF61" i="8"/>
  <c r="DF35" i="8"/>
  <c r="DF104" i="8"/>
  <c r="DF117" i="8"/>
  <c r="DF97" i="8"/>
  <c r="DF118" i="8"/>
  <c r="DF93" i="8"/>
  <c r="DF72" i="8"/>
  <c r="DF89" i="8"/>
  <c r="DF107" i="8"/>
  <c r="DF78" i="8"/>
  <c r="DF113" i="8"/>
  <c r="DF70" i="8"/>
  <c r="DF52" i="8"/>
  <c r="DF102" i="8"/>
  <c r="DF68" i="8"/>
  <c r="DF92" i="8"/>
  <c r="DF91" i="8"/>
  <c r="DF111" i="8"/>
  <c r="DF112" i="8"/>
  <c r="DF124" i="8"/>
  <c r="DG112" i="8" l="1"/>
  <c r="DG86" i="8"/>
  <c r="DG79" i="8"/>
  <c r="DG88" i="8"/>
  <c r="DG97" i="8"/>
  <c r="DG70" i="8"/>
  <c r="DG120" i="8"/>
  <c r="DG115" i="8"/>
  <c r="DG58" i="8"/>
  <c r="DG56" i="8"/>
  <c r="DG50" i="8"/>
  <c r="DG39" i="8"/>
  <c r="DG60" i="8"/>
  <c r="DG92" i="8"/>
  <c r="DG55" i="8"/>
  <c r="DG35" i="8"/>
  <c r="DG118" i="8"/>
  <c r="DG65" i="8"/>
  <c r="DG85" i="8"/>
  <c r="DG68" i="8"/>
  <c r="DG67" i="8"/>
  <c r="DG106" i="8"/>
  <c r="DG54" i="8"/>
  <c r="DG116" i="8"/>
  <c r="DG81" i="8"/>
  <c r="DG89" i="8"/>
  <c r="DG71" i="8"/>
  <c r="DG111" i="8"/>
  <c r="DG108" i="8"/>
  <c r="DG109" i="8"/>
  <c r="DG37" i="8"/>
  <c r="DG99" i="8"/>
  <c r="DG57" i="8"/>
  <c r="DG119" i="8"/>
  <c r="DG90" i="8"/>
  <c r="DG42" i="8"/>
  <c r="DG84" i="8"/>
  <c r="DG69" i="8"/>
  <c r="DG102" i="8"/>
  <c r="DG38" i="8"/>
  <c r="DG104" i="8"/>
  <c r="DG62" i="8"/>
  <c r="DG61" i="8"/>
  <c r="DG122" i="8"/>
  <c r="DG113" i="8"/>
  <c r="DG49" i="8"/>
  <c r="DG66" i="8"/>
  <c r="DG105" i="8"/>
  <c r="DG63" i="8"/>
  <c r="DG78" i="8"/>
  <c r="DG34" i="8"/>
  <c r="DG41" i="8"/>
  <c r="DG77" i="8"/>
  <c r="DG76" i="8"/>
  <c r="DG48" i="8"/>
  <c r="DG91" i="8"/>
  <c r="DG124" i="8"/>
  <c r="DG87" i="8"/>
  <c r="DG107" i="8"/>
  <c r="DH28" i="8"/>
  <c r="DG51" i="8"/>
  <c r="DG103" i="8"/>
  <c r="DG83" i="8"/>
  <c r="DG95" i="8"/>
  <c r="DG31" i="8"/>
  <c r="DG73" i="8"/>
  <c r="DG101" i="8"/>
  <c r="DG46" i="8"/>
  <c r="DG80" i="8"/>
  <c r="DG74" i="8"/>
  <c r="DG53" i="8"/>
  <c r="DG47" i="8"/>
  <c r="DG40" i="8"/>
  <c r="DG94" i="8"/>
  <c r="DG82" i="8"/>
  <c r="DG43" i="8"/>
  <c r="DG52" i="8"/>
  <c r="DG32" i="8"/>
  <c r="DG100" i="8"/>
  <c r="DG93" i="8"/>
  <c r="DG45" i="8"/>
  <c r="DG110" i="8"/>
  <c r="DG64" i="8"/>
  <c r="DG75" i="8"/>
  <c r="DG59" i="8"/>
  <c r="DG72" i="8"/>
  <c r="DG114" i="8"/>
  <c r="DG121" i="8"/>
  <c r="DG117" i="8"/>
  <c r="DG44" i="8"/>
  <c r="DG30" i="8"/>
  <c r="DG29" i="8"/>
  <c r="DG36" i="8"/>
  <c r="DG96" i="8"/>
  <c r="DG33" i="8"/>
  <c r="DG98" i="8"/>
  <c r="DG123" i="8"/>
  <c r="DF139" i="8"/>
  <c r="DH63" i="8" l="1"/>
  <c r="DH124" i="8"/>
  <c r="DH75" i="8"/>
  <c r="DH109" i="8"/>
  <c r="DH123" i="8"/>
  <c r="DH37" i="8"/>
  <c r="DH84" i="8"/>
  <c r="DH66" i="8"/>
  <c r="DH105" i="8"/>
  <c r="DI28" i="8"/>
  <c r="DH74" i="8"/>
  <c r="DH60" i="8"/>
  <c r="DH51" i="8"/>
  <c r="DH80" i="8"/>
  <c r="DH119" i="8"/>
  <c r="DH79" i="8"/>
  <c r="DH76" i="8"/>
  <c r="DH64" i="8"/>
  <c r="DH89" i="8"/>
  <c r="DH107" i="8"/>
  <c r="DH97" i="8"/>
  <c r="DH95" i="8"/>
  <c r="DH116" i="8"/>
  <c r="DH77" i="8"/>
  <c r="DH33" i="8"/>
  <c r="DH112" i="8"/>
  <c r="DH69" i="8"/>
  <c r="DH29" i="8"/>
  <c r="DH35" i="8"/>
  <c r="DH114" i="8"/>
  <c r="DH34" i="8"/>
  <c r="DH53" i="8"/>
  <c r="DH104" i="8"/>
  <c r="DH121" i="8"/>
  <c r="DH45" i="8"/>
  <c r="DH39" i="8"/>
  <c r="DH47" i="8"/>
  <c r="DH98" i="8"/>
  <c r="DH100" i="8"/>
  <c r="DH49" i="8"/>
  <c r="DH81" i="8"/>
  <c r="DH71" i="8"/>
  <c r="DH82" i="8"/>
  <c r="DH46" i="8"/>
  <c r="DH72" i="8"/>
  <c r="DH54" i="8"/>
  <c r="DH106" i="8"/>
  <c r="DH91" i="8"/>
  <c r="DH118" i="8"/>
  <c r="DH52" i="8"/>
  <c r="DH115" i="8"/>
  <c r="DH65" i="8"/>
  <c r="DH103" i="8"/>
  <c r="DH59" i="8"/>
  <c r="DH55" i="8"/>
  <c r="DH96" i="8"/>
  <c r="DH56" i="8"/>
  <c r="DH120" i="8"/>
  <c r="DH57" i="8"/>
  <c r="DH67" i="8"/>
  <c r="DH85" i="8"/>
  <c r="DH32" i="8"/>
  <c r="DH86" i="8"/>
  <c r="DH108" i="8"/>
  <c r="DH36" i="8"/>
  <c r="DH38" i="8"/>
  <c r="DH101" i="8"/>
  <c r="DH50" i="8"/>
  <c r="DH58" i="8"/>
  <c r="DH113" i="8"/>
  <c r="DH73" i="8"/>
  <c r="DH122" i="8"/>
  <c r="DH88" i="8"/>
  <c r="DH42" i="8"/>
  <c r="DH62" i="8"/>
  <c r="DH90" i="8"/>
  <c r="DH110" i="8"/>
  <c r="DH92" i="8"/>
  <c r="DH43" i="8"/>
  <c r="DH87" i="8"/>
  <c r="DH44" i="8"/>
  <c r="DH111" i="8"/>
  <c r="DH48" i="8"/>
  <c r="DH68" i="8"/>
  <c r="DH30" i="8"/>
  <c r="DH41" i="8"/>
  <c r="DH83" i="8"/>
  <c r="DH99" i="8"/>
  <c r="DH70" i="8"/>
  <c r="DH78" i="8"/>
  <c r="DH102" i="8"/>
  <c r="DH94" i="8"/>
  <c r="DH61" i="8"/>
  <c r="DH93" i="8"/>
  <c r="DH117" i="8"/>
  <c r="DH31" i="8"/>
  <c r="DH40" i="8"/>
  <c r="DG139" i="8"/>
  <c r="DH139" i="8" l="1"/>
  <c r="DI55" i="8"/>
  <c r="DI40" i="8"/>
  <c r="DI121" i="8"/>
  <c r="DI119" i="8"/>
  <c r="DI38" i="8"/>
  <c r="DI78" i="8"/>
  <c r="DI122" i="8"/>
  <c r="DI72" i="8"/>
  <c r="DI81" i="8"/>
  <c r="DI98" i="8"/>
  <c r="DI90" i="8"/>
  <c r="DI77" i="8"/>
  <c r="DI76" i="8"/>
  <c r="DI105" i="8"/>
  <c r="DI49" i="8"/>
  <c r="DI104" i="8"/>
  <c r="DI79" i="8"/>
  <c r="DI83" i="8"/>
  <c r="DI65" i="8"/>
  <c r="DI113" i="8"/>
  <c r="DI107" i="8"/>
  <c r="DI108" i="8"/>
  <c r="DI47" i="8"/>
  <c r="DI102" i="8"/>
  <c r="DI70" i="8"/>
  <c r="DI29" i="8"/>
  <c r="DI31" i="8"/>
  <c r="DI62" i="8"/>
  <c r="DI58" i="8"/>
  <c r="DI85" i="8"/>
  <c r="DI56" i="8"/>
  <c r="DJ28" i="8"/>
  <c r="DI43" i="8"/>
  <c r="DI120" i="8"/>
  <c r="DI71" i="8"/>
  <c r="DI87" i="8"/>
  <c r="DI35" i="8"/>
  <c r="DI88" i="8"/>
  <c r="DI80" i="8"/>
  <c r="DI101" i="8"/>
  <c r="DI59" i="8"/>
  <c r="DI82" i="8"/>
  <c r="DI93" i="8"/>
  <c r="DI44" i="8"/>
  <c r="DI103" i="8"/>
  <c r="DI89" i="8"/>
  <c r="DI100" i="8"/>
  <c r="DI91" i="8"/>
  <c r="DI118" i="8"/>
  <c r="DI41" i="8"/>
  <c r="DI84" i="8"/>
  <c r="DI60" i="8"/>
  <c r="DI86" i="8"/>
  <c r="DI112" i="8"/>
  <c r="DI42" i="8"/>
  <c r="DI66" i="8"/>
  <c r="DI54" i="8"/>
  <c r="DI37" i="8"/>
  <c r="DI53" i="8"/>
  <c r="DI109" i="8"/>
  <c r="DI97" i="8"/>
  <c r="DI68" i="8"/>
  <c r="DI94" i="8"/>
  <c r="DI46" i="8"/>
  <c r="DI111" i="8"/>
  <c r="DI99" i="8"/>
  <c r="DI123" i="8"/>
  <c r="DI69" i="8"/>
  <c r="DI63" i="8"/>
  <c r="DI96" i="8"/>
  <c r="DI114" i="8"/>
  <c r="DI33" i="8"/>
  <c r="DI106" i="8"/>
  <c r="DI30" i="8"/>
  <c r="DI45" i="8"/>
  <c r="DI124" i="8"/>
  <c r="DI75" i="8"/>
  <c r="DI52" i="8"/>
  <c r="DI73" i="8"/>
  <c r="DI110" i="8"/>
  <c r="DI67" i="8"/>
  <c r="DI115" i="8"/>
  <c r="DI117" i="8"/>
  <c r="DI116" i="8"/>
  <c r="DI34" i="8"/>
  <c r="DI92" i="8"/>
  <c r="DI32" i="8"/>
  <c r="DI61" i="8"/>
  <c r="DI39" i="8"/>
  <c r="DI95" i="8"/>
  <c r="DI64" i="8"/>
  <c r="DI48" i="8"/>
  <c r="DI51" i="8"/>
  <c r="DI50" i="8"/>
  <c r="DI57" i="8"/>
  <c r="DI74" i="8"/>
  <c r="DI36" i="8"/>
  <c r="DI139" i="8" l="1"/>
  <c r="DJ64" i="8"/>
  <c r="DJ48" i="8"/>
  <c r="DJ29" i="8"/>
  <c r="DJ34" i="8"/>
  <c r="DJ50" i="8"/>
  <c r="DJ91" i="8"/>
  <c r="DJ45" i="8"/>
  <c r="DJ94" i="8"/>
  <c r="DJ60" i="8"/>
  <c r="DJ77" i="8"/>
  <c r="DJ102" i="8"/>
  <c r="DJ92" i="8"/>
  <c r="DJ90" i="8"/>
  <c r="DJ122" i="8"/>
  <c r="DJ68" i="8"/>
  <c r="DJ30" i="8"/>
  <c r="DJ110" i="8"/>
  <c r="DJ43" i="8"/>
  <c r="DJ121" i="8"/>
  <c r="DJ123" i="8"/>
  <c r="DJ116" i="8"/>
  <c r="DJ115" i="8"/>
  <c r="DJ61" i="8"/>
  <c r="DJ107" i="8"/>
  <c r="DJ88" i="8"/>
  <c r="DJ46" i="8"/>
  <c r="DJ49" i="8"/>
  <c r="DJ63" i="8"/>
  <c r="DJ53" i="8"/>
  <c r="DJ66" i="8"/>
  <c r="DJ111" i="8"/>
  <c r="DJ40" i="8"/>
  <c r="DJ31" i="8"/>
  <c r="DJ35" i="8"/>
  <c r="DJ55" i="8"/>
  <c r="DJ67" i="8"/>
  <c r="DJ104" i="8"/>
  <c r="DJ73" i="8"/>
  <c r="DJ70" i="8"/>
  <c r="DJ57" i="8"/>
  <c r="DJ59" i="8"/>
  <c r="DJ75" i="8"/>
  <c r="DJ81" i="8"/>
  <c r="DJ105" i="8"/>
  <c r="DJ100" i="8"/>
  <c r="DJ86" i="8"/>
  <c r="DJ76" i="8"/>
  <c r="DJ84" i="8"/>
  <c r="DJ95" i="8"/>
  <c r="DJ117" i="8"/>
  <c r="DJ74" i="8"/>
  <c r="DJ37" i="8"/>
  <c r="DJ56" i="8"/>
  <c r="DJ98" i="8"/>
  <c r="DJ78" i="8"/>
  <c r="DJ93" i="8"/>
  <c r="DJ39" i="8"/>
  <c r="DJ108" i="8"/>
  <c r="DJ103" i="8"/>
  <c r="DJ41" i="8"/>
  <c r="DJ99" i="8"/>
  <c r="DJ124" i="8"/>
  <c r="DJ118" i="8"/>
  <c r="DJ62" i="8"/>
  <c r="DJ44" i="8"/>
  <c r="DJ119" i="8"/>
  <c r="DJ42" i="8"/>
  <c r="DJ113" i="8"/>
  <c r="DJ96" i="8"/>
  <c r="DJ85" i="8"/>
  <c r="DJ89" i="8"/>
  <c r="DJ120" i="8"/>
  <c r="DJ79" i="8"/>
  <c r="DJ36" i="8"/>
  <c r="DJ33" i="8"/>
  <c r="DJ112" i="8"/>
  <c r="DJ32" i="8"/>
  <c r="DJ38" i="8"/>
  <c r="DK28" i="8"/>
  <c r="DJ54" i="8"/>
  <c r="DJ65" i="8"/>
  <c r="DJ82" i="8"/>
  <c r="DJ83" i="8"/>
  <c r="DJ97" i="8"/>
  <c r="DJ109" i="8"/>
  <c r="DJ106" i="8"/>
  <c r="DJ52" i="8"/>
  <c r="DJ51" i="8"/>
  <c r="DJ72" i="8"/>
  <c r="DJ87" i="8"/>
  <c r="DJ71" i="8"/>
  <c r="DJ80" i="8"/>
  <c r="DJ69" i="8"/>
  <c r="DJ47" i="8"/>
  <c r="DJ58" i="8"/>
  <c r="DJ101" i="8"/>
  <c r="DJ114" i="8"/>
  <c r="DK91" i="8" l="1"/>
  <c r="DK66" i="8"/>
  <c r="DK52" i="8"/>
  <c r="DK75" i="8"/>
  <c r="DK92" i="8"/>
  <c r="DK47" i="8"/>
  <c r="DK93" i="8"/>
  <c r="DK35" i="8"/>
  <c r="DK89" i="8"/>
  <c r="DK43" i="8"/>
  <c r="DK121" i="8"/>
  <c r="DK105" i="8"/>
  <c r="DK124" i="8"/>
  <c r="DK50" i="8"/>
  <c r="DK109" i="8"/>
  <c r="DK68" i="8"/>
  <c r="DK71" i="8"/>
  <c r="DK51" i="8"/>
  <c r="DK55" i="8"/>
  <c r="DK48" i="8"/>
  <c r="DK39" i="8"/>
  <c r="DK60" i="8"/>
  <c r="DK115" i="8"/>
  <c r="DK70" i="8"/>
  <c r="DK38" i="8"/>
  <c r="DK74" i="8"/>
  <c r="DK58" i="8"/>
  <c r="DK63" i="8"/>
  <c r="DK53" i="8"/>
  <c r="DK77" i="8"/>
  <c r="DK123" i="8"/>
  <c r="DK30" i="8"/>
  <c r="DL28" i="8"/>
  <c r="DK120" i="8"/>
  <c r="DK67" i="8"/>
  <c r="DK76" i="8"/>
  <c r="DK100" i="8"/>
  <c r="DK69" i="8"/>
  <c r="DK82" i="8"/>
  <c r="DK79" i="8"/>
  <c r="DK119" i="8"/>
  <c r="DK72" i="8"/>
  <c r="DK86" i="8"/>
  <c r="DK111" i="8"/>
  <c r="DK80" i="8"/>
  <c r="DK101" i="8"/>
  <c r="DK95" i="8"/>
  <c r="DK29" i="8"/>
  <c r="DK110" i="8"/>
  <c r="DK103" i="8"/>
  <c r="DK85" i="8"/>
  <c r="DK54" i="8"/>
  <c r="DK49" i="8"/>
  <c r="DK107" i="8"/>
  <c r="DK96" i="8"/>
  <c r="DK56" i="8"/>
  <c r="DK104" i="8"/>
  <c r="DK32" i="8"/>
  <c r="DK87" i="8"/>
  <c r="DK94" i="8"/>
  <c r="DK116" i="8"/>
  <c r="DK61" i="8"/>
  <c r="DK90" i="8"/>
  <c r="DK106" i="8"/>
  <c r="DK37" i="8"/>
  <c r="DK108" i="8"/>
  <c r="DK36" i="8"/>
  <c r="DK98" i="8"/>
  <c r="DK88" i="8"/>
  <c r="DK112" i="8"/>
  <c r="DK114" i="8"/>
  <c r="DK113" i="8"/>
  <c r="DK117" i="8"/>
  <c r="DK33" i="8"/>
  <c r="DK41" i="8"/>
  <c r="DK46" i="8"/>
  <c r="DK42" i="8"/>
  <c r="DK73" i="8"/>
  <c r="DK99" i="8"/>
  <c r="DK31" i="8"/>
  <c r="DK78" i="8"/>
  <c r="DK81" i="8"/>
  <c r="DK44" i="8"/>
  <c r="DK97" i="8"/>
  <c r="DK40" i="8"/>
  <c r="DK64" i="8"/>
  <c r="DK57" i="8"/>
  <c r="DK59" i="8"/>
  <c r="DK62" i="8"/>
  <c r="DK83" i="8"/>
  <c r="DK102" i="8"/>
  <c r="DK84" i="8"/>
  <c r="DK34" i="8"/>
  <c r="DK45" i="8"/>
  <c r="DK118" i="8"/>
  <c r="DK122" i="8"/>
  <c r="DK65" i="8"/>
  <c r="DJ139" i="8"/>
  <c r="DK139" i="8" l="1"/>
  <c r="DL103" i="8"/>
  <c r="DL76" i="8"/>
  <c r="DL68" i="8"/>
  <c r="DL82" i="8"/>
  <c r="DL107" i="8"/>
  <c r="DL47" i="8"/>
  <c r="DL102" i="8"/>
  <c r="DL29" i="8"/>
  <c r="DL71" i="8"/>
  <c r="DL62" i="8"/>
  <c r="DL35" i="8"/>
  <c r="DL92" i="8"/>
  <c r="DL34" i="8"/>
  <c r="DL53" i="8"/>
  <c r="DL110" i="8"/>
  <c r="DL87" i="8"/>
  <c r="DL52" i="8"/>
  <c r="DL43" i="8"/>
  <c r="DL67" i="8"/>
  <c r="DL54" i="8"/>
  <c r="DL45" i="8"/>
  <c r="DL66" i="8"/>
  <c r="DL117" i="8"/>
  <c r="DL81" i="8"/>
  <c r="DL69" i="8"/>
  <c r="DL42" i="8"/>
  <c r="DL51" i="8"/>
  <c r="DL121" i="8"/>
  <c r="DL95" i="8"/>
  <c r="DL124" i="8"/>
  <c r="DL55" i="8"/>
  <c r="DL74" i="8"/>
  <c r="DL63" i="8"/>
  <c r="DL61" i="8"/>
  <c r="DL91" i="8"/>
  <c r="DL37" i="8"/>
  <c r="DL36" i="8"/>
  <c r="DL80" i="8"/>
  <c r="DL38" i="8"/>
  <c r="DL84" i="8"/>
  <c r="DL57" i="8"/>
  <c r="DL70" i="8"/>
  <c r="DL105" i="8"/>
  <c r="DL41" i="8"/>
  <c r="DL58" i="8"/>
  <c r="DL78" i="8"/>
  <c r="DL64" i="8"/>
  <c r="DL118" i="8"/>
  <c r="DL97" i="8"/>
  <c r="DL88" i="8"/>
  <c r="DL48" i="8"/>
  <c r="DL30" i="8"/>
  <c r="DL106" i="8"/>
  <c r="DL44" i="8"/>
  <c r="DL98" i="8"/>
  <c r="DL119" i="8"/>
  <c r="DL116" i="8"/>
  <c r="DL111" i="8"/>
  <c r="DL101" i="8"/>
  <c r="DL122" i="8"/>
  <c r="DL59" i="8"/>
  <c r="DL99" i="8"/>
  <c r="DL33" i="8"/>
  <c r="DL49" i="8"/>
  <c r="DL86" i="8"/>
  <c r="DL96" i="8"/>
  <c r="DL100" i="8"/>
  <c r="DL83" i="8"/>
  <c r="DL120" i="8"/>
  <c r="DL108" i="8"/>
  <c r="DL90" i="8"/>
  <c r="DL73" i="8"/>
  <c r="DL114" i="8"/>
  <c r="DL93" i="8"/>
  <c r="DL85" i="8"/>
  <c r="DL89" i="8"/>
  <c r="DL94" i="8"/>
  <c r="DL50" i="8"/>
  <c r="DL109" i="8"/>
  <c r="DL115" i="8"/>
  <c r="DL56" i="8"/>
  <c r="DL46" i="8"/>
  <c r="DL31" i="8"/>
  <c r="DL79" i="8"/>
  <c r="DL72" i="8"/>
  <c r="DL39" i="8"/>
  <c r="DL32" i="8"/>
  <c r="DL112" i="8"/>
  <c r="DL77" i="8"/>
  <c r="DL65" i="8"/>
  <c r="DL104" i="8"/>
  <c r="DL113" i="8"/>
  <c r="DL60" i="8"/>
  <c r="DL123" i="8"/>
  <c r="DL75" i="8"/>
  <c r="DL40" i="8"/>
  <c r="DM28" i="8"/>
  <c r="DL139" i="8" l="1"/>
  <c r="DM108" i="8"/>
  <c r="DM95" i="8"/>
  <c r="DM85" i="8"/>
  <c r="DM105" i="8"/>
  <c r="DM36" i="8"/>
  <c r="DM91" i="8"/>
  <c r="DM44" i="8"/>
  <c r="DM50" i="8"/>
  <c r="DM94" i="8"/>
  <c r="DM53" i="8"/>
  <c r="DM49" i="8"/>
  <c r="DM41" i="8"/>
  <c r="DM59" i="8"/>
  <c r="DM90" i="8"/>
  <c r="DM65" i="8"/>
  <c r="DM30" i="8"/>
  <c r="DM71" i="8"/>
  <c r="DM56" i="8"/>
  <c r="DM99" i="8"/>
  <c r="DM107" i="8"/>
  <c r="DM121" i="8"/>
  <c r="DM57" i="8"/>
  <c r="DM39" i="8"/>
  <c r="DM55" i="8"/>
  <c r="DN28" i="8"/>
  <c r="DM58" i="8"/>
  <c r="DM124" i="8"/>
  <c r="DM123" i="8"/>
  <c r="DM46" i="8"/>
  <c r="DM103" i="8"/>
  <c r="DM110" i="8"/>
  <c r="DM81" i="8"/>
  <c r="DM115" i="8"/>
  <c r="DM34" i="8"/>
  <c r="DM33" i="8"/>
  <c r="DM32" i="8"/>
  <c r="DM74" i="8"/>
  <c r="DM117" i="8"/>
  <c r="DM122" i="8"/>
  <c r="DM87" i="8"/>
  <c r="DM84" i="8"/>
  <c r="DM61" i="8"/>
  <c r="DM64" i="8"/>
  <c r="DM66" i="8"/>
  <c r="DM112" i="8"/>
  <c r="DM67" i="8"/>
  <c r="DM70" i="8"/>
  <c r="DM48" i="8"/>
  <c r="DM118" i="8"/>
  <c r="DM63" i="8"/>
  <c r="DM102" i="8"/>
  <c r="DM38" i="8"/>
  <c r="DM51" i="8"/>
  <c r="DM78" i="8"/>
  <c r="DM73" i="8"/>
  <c r="DM43" i="8"/>
  <c r="DM45" i="8"/>
  <c r="DM77" i="8"/>
  <c r="DM119" i="8"/>
  <c r="DM86" i="8"/>
  <c r="DM52" i="8"/>
  <c r="DM76" i="8"/>
  <c r="DM97" i="8"/>
  <c r="DM83" i="8"/>
  <c r="DM92" i="8"/>
  <c r="DM35" i="8"/>
  <c r="DM40" i="8"/>
  <c r="DM37" i="8"/>
  <c r="DM111" i="8"/>
  <c r="DM75" i="8"/>
  <c r="DM116" i="8"/>
  <c r="DM100" i="8"/>
  <c r="DM42" i="8"/>
  <c r="DM89" i="8"/>
  <c r="DM72" i="8"/>
  <c r="DM54" i="8"/>
  <c r="DM98" i="8"/>
  <c r="DM104" i="8"/>
  <c r="DM69" i="8"/>
  <c r="DM47" i="8"/>
  <c r="DM29" i="8"/>
  <c r="DM82" i="8"/>
  <c r="DM60" i="8"/>
  <c r="DM68" i="8"/>
  <c r="DM88" i="8"/>
  <c r="DM96" i="8"/>
  <c r="DM109" i="8"/>
  <c r="DM62" i="8"/>
  <c r="DM80" i="8"/>
  <c r="DM101" i="8"/>
  <c r="DM113" i="8"/>
  <c r="DM106" i="8"/>
  <c r="DM120" i="8"/>
  <c r="DM79" i="8"/>
  <c r="DM114" i="8"/>
  <c r="DM31" i="8"/>
  <c r="DM93" i="8"/>
  <c r="DN63" i="8" l="1"/>
  <c r="DN29" i="8"/>
  <c r="DN113" i="8"/>
  <c r="DN93" i="8"/>
  <c r="DN124" i="8"/>
  <c r="DN34" i="8"/>
  <c r="DN42" i="8"/>
  <c r="DN69" i="8"/>
  <c r="DN58" i="8"/>
  <c r="DN72" i="8"/>
  <c r="DN75" i="8"/>
  <c r="DN65" i="8"/>
  <c r="DN52" i="8"/>
  <c r="DN78" i="8"/>
  <c r="DN106" i="8"/>
  <c r="DN115" i="8"/>
  <c r="DN46" i="8"/>
  <c r="DN94" i="8"/>
  <c r="DN32" i="8"/>
  <c r="DN97" i="8"/>
  <c r="DN91" i="8"/>
  <c r="DN30" i="8"/>
  <c r="DN68" i="8"/>
  <c r="DN110" i="8"/>
  <c r="DN37" i="8"/>
  <c r="DN122" i="8"/>
  <c r="DN86" i="8"/>
  <c r="DN109" i="8"/>
  <c r="DN31" i="8"/>
  <c r="DO28" i="8"/>
  <c r="DN90" i="8"/>
  <c r="DN35" i="8"/>
  <c r="DN39" i="8"/>
  <c r="DN61" i="8"/>
  <c r="DN38" i="8"/>
  <c r="DN41" i="8"/>
  <c r="DN59" i="8"/>
  <c r="DN95" i="8"/>
  <c r="DN57" i="8"/>
  <c r="DN87" i="8"/>
  <c r="DN85" i="8"/>
  <c r="DN66" i="8"/>
  <c r="DN74" i="8"/>
  <c r="DN73" i="8"/>
  <c r="DN103" i="8"/>
  <c r="DN56" i="8"/>
  <c r="DN100" i="8"/>
  <c r="DN55" i="8"/>
  <c r="DN89" i="8"/>
  <c r="DN96" i="8"/>
  <c r="DN60" i="8"/>
  <c r="DN80" i="8"/>
  <c r="DN114" i="8"/>
  <c r="DN64" i="8"/>
  <c r="DN104" i="8"/>
  <c r="DN81" i="8"/>
  <c r="DN105" i="8"/>
  <c r="DN117" i="8"/>
  <c r="DN121" i="8"/>
  <c r="DN116" i="8"/>
  <c r="DN83" i="8"/>
  <c r="DN49" i="8"/>
  <c r="DN101" i="8"/>
  <c r="DN108" i="8"/>
  <c r="DN119" i="8"/>
  <c r="DN79" i="8"/>
  <c r="DN40" i="8"/>
  <c r="DN44" i="8"/>
  <c r="DN98" i="8"/>
  <c r="DN50" i="8"/>
  <c r="DN62" i="8"/>
  <c r="DN120" i="8"/>
  <c r="DN111" i="8"/>
  <c r="DN123" i="8"/>
  <c r="DN54" i="8"/>
  <c r="DN43" i="8"/>
  <c r="DN70" i="8"/>
  <c r="DN76" i="8"/>
  <c r="DN77" i="8"/>
  <c r="DN88" i="8"/>
  <c r="DN71" i="8"/>
  <c r="DN36" i="8"/>
  <c r="DN48" i="8"/>
  <c r="DN102" i="8"/>
  <c r="DN112" i="8"/>
  <c r="DN53" i="8"/>
  <c r="DN33" i="8"/>
  <c r="DN107" i="8"/>
  <c r="DN82" i="8"/>
  <c r="DN92" i="8"/>
  <c r="DN99" i="8"/>
  <c r="DN47" i="8"/>
  <c r="DN51" i="8"/>
  <c r="DN67" i="8"/>
  <c r="DN45" i="8"/>
  <c r="DN84" i="8"/>
  <c r="DN118" i="8"/>
  <c r="DM139" i="8"/>
  <c r="DO64" i="8" l="1"/>
  <c r="DO46" i="8"/>
  <c r="DO31" i="8"/>
  <c r="DO40" i="8"/>
  <c r="DO43" i="8"/>
  <c r="DO56" i="8"/>
  <c r="DO73" i="8"/>
  <c r="DO117" i="8"/>
  <c r="DO87" i="8"/>
  <c r="DO48" i="8"/>
  <c r="DO91" i="8"/>
  <c r="DO78" i="8"/>
  <c r="DO76" i="8"/>
  <c r="DO96" i="8"/>
  <c r="DO120" i="8"/>
  <c r="DO49" i="8"/>
  <c r="DO92" i="8"/>
  <c r="DO109" i="8"/>
  <c r="DO59" i="8"/>
  <c r="DO111" i="8"/>
  <c r="DO101" i="8"/>
  <c r="DP28" i="8"/>
  <c r="DO79" i="8"/>
  <c r="DO115" i="8"/>
  <c r="DO44" i="8"/>
  <c r="DO37" i="8"/>
  <c r="DO88" i="8"/>
  <c r="DO33" i="8"/>
  <c r="DO39" i="8"/>
  <c r="DO65" i="8"/>
  <c r="DO100" i="8"/>
  <c r="DO38" i="8"/>
  <c r="DO75" i="8"/>
  <c r="DO54" i="8"/>
  <c r="DO62" i="8"/>
  <c r="DO42" i="8"/>
  <c r="DO50" i="8"/>
  <c r="DO77" i="8"/>
  <c r="DO105" i="8"/>
  <c r="DO58" i="8"/>
  <c r="DO99" i="8"/>
  <c r="DO80" i="8"/>
  <c r="DO72" i="8"/>
  <c r="DO68" i="8"/>
  <c r="DO90" i="8"/>
  <c r="DO118" i="8"/>
  <c r="DO71" i="8"/>
  <c r="DO104" i="8"/>
  <c r="DO106" i="8"/>
  <c r="DO60" i="8"/>
  <c r="DO119" i="8"/>
  <c r="DO114" i="8"/>
  <c r="DO45" i="8"/>
  <c r="DO69" i="8"/>
  <c r="DO116" i="8"/>
  <c r="DO53" i="8"/>
  <c r="DO29" i="8"/>
  <c r="DO66" i="8"/>
  <c r="DO30" i="8"/>
  <c r="DO124" i="8"/>
  <c r="DO61" i="8"/>
  <c r="DO51" i="8"/>
  <c r="DO93" i="8"/>
  <c r="DO74" i="8"/>
  <c r="DO86" i="8"/>
  <c r="DO52" i="8"/>
  <c r="DO35" i="8"/>
  <c r="DO94" i="8"/>
  <c r="DO67" i="8"/>
  <c r="DO36" i="8"/>
  <c r="DO108" i="8"/>
  <c r="DO84" i="8"/>
  <c r="DO81" i="8"/>
  <c r="DO122" i="8"/>
  <c r="DO34" i="8"/>
  <c r="DO97" i="8"/>
  <c r="DO57" i="8"/>
  <c r="DO102" i="8"/>
  <c r="DO41" i="8"/>
  <c r="DO63" i="8"/>
  <c r="DO70" i="8"/>
  <c r="DO123" i="8"/>
  <c r="DO113" i="8"/>
  <c r="DO55" i="8"/>
  <c r="DO110" i="8"/>
  <c r="DO83" i="8"/>
  <c r="DO47" i="8"/>
  <c r="DO98" i="8"/>
  <c r="DO85" i="8"/>
  <c r="DO112" i="8"/>
  <c r="DO82" i="8"/>
  <c r="DO103" i="8"/>
  <c r="DO32" i="8"/>
  <c r="DO95" i="8"/>
  <c r="DO107" i="8"/>
  <c r="DO121" i="8"/>
  <c r="DO89" i="8"/>
  <c r="DN139" i="8"/>
  <c r="DO139" i="8" l="1"/>
  <c r="DP97" i="8"/>
  <c r="DP68" i="8"/>
  <c r="DP58" i="8"/>
  <c r="DP79" i="8"/>
  <c r="DP91" i="8"/>
  <c r="DP111" i="8"/>
  <c r="DP117" i="8"/>
  <c r="DP116" i="8"/>
  <c r="DP109" i="8"/>
  <c r="DP41" i="8"/>
  <c r="DP119" i="8"/>
  <c r="DP85" i="8"/>
  <c r="DP123" i="8"/>
  <c r="DP44" i="8"/>
  <c r="DP69" i="8"/>
  <c r="DP101" i="8"/>
  <c r="DP95" i="8"/>
  <c r="DP31" i="8"/>
  <c r="DP35" i="8"/>
  <c r="DP30" i="8"/>
  <c r="DP61" i="8"/>
  <c r="DP90" i="8"/>
  <c r="DP50" i="8"/>
  <c r="DP121" i="8"/>
  <c r="DP114" i="8"/>
  <c r="DP62" i="8"/>
  <c r="DP49" i="8"/>
  <c r="DP45" i="8"/>
  <c r="DP103" i="8"/>
  <c r="DP33" i="8"/>
  <c r="DP71" i="8"/>
  <c r="DP55" i="8"/>
  <c r="DP77" i="8"/>
  <c r="DP57" i="8"/>
  <c r="DP54" i="8"/>
  <c r="DP70" i="8"/>
  <c r="DP102" i="8"/>
  <c r="DP46" i="8"/>
  <c r="DP72" i="8"/>
  <c r="DP43" i="8"/>
  <c r="DP94" i="8"/>
  <c r="DP86" i="8"/>
  <c r="DP93" i="8"/>
  <c r="DP88" i="8"/>
  <c r="DP51" i="8"/>
  <c r="DP99" i="8"/>
  <c r="DP38" i="8"/>
  <c r="DP124" i="8"/>
  <c r="DP100" i="8"/>
  <c r="DP83" i="8"/>
  <c r="DP89" i="8"/>
  <c r="DP108" i="8"/>
  <c r="DP80" i="8"/>
  <c r="DP98" i="8"/>
  <c r="DP122" i="8"/>
  <c r="DP36" i="8"/>
  <c r="DQ28" i="8"/>
  <c r="DP63" i="8"/>
  <c r="DP115" i="8"/>
  <c r="DP32" i="8"/>
  <c r="DP59" i="8"/>
  <c r="DP66" i="8"/>
  <c r="DP105" i="8"/>
  <c r="DP42" i="8"/>
  <c r="DP112" i="8"/>
  <c r="DP37" i="8"/>
  <c r="DP96" i="8"/>
  <c r="DP52" i="8"/>
  <c r="DP47" i="8"/>
  <c r="DP76" i="8"/>
  <c r="DP118" i="8"/>
  <c r="DP67" i="8"/>
  <c r="DP53" i="8"/>
  <c r="DP106" i="8"/>
  <c r="DP39" i="8"/>
  <c r="DP81" i="8"/>
  <c r="DP87" i="8"/>
  <c r="DP60" i="8"/>
  <c r="DP107" i="8"/>
  <c r="DP48" i="8"/>
  <c r="DP120" i="8"/>
  <c r="DP104" i="8"/>
  <c r="DP64" i="8"/>
  <c r="DP40" i="8"/>
  <c r="DP56" i="8"/>
  <c r="DP92" i="8"/>
  <c r="DP75" i="8"/>
  <c r="DP82" i="8"/>
  <c r="DP74" i="8"/>
  <c r="DP84" i="8"/>
  <c r="DP29" i="8"/>
  <c r="DP65" i="8"/>
  <c r="DP78" i="8"/>
  <c r="DP110" i="8"/>
  <c r="DP113" i="8"/>
  <c r="DP73" i="8"/>
  <c r="DP34" i="8"/>
  <c r="DQ111" i="8" l="1"/>
  <c r="DQ88" i="8"/>
  <c r="DQ75" i="8"/>
  <c r="DQ95" i="8"/>
  <c r="DQ112" i="8"/>
  <c r="DQ113" i="8"/>
  <c r="DQ39" i="8"/>
  <c r="DQ42" i="8"/>
  <c r="DQ87" i="8"/>
  <c r="DQ63" i="8"/>
  <c r="DQ32" i="8"/>
  <c r="DQ123" i="8"/>
  <c r="DQ41" i="8"/>
  <c r="DQ61" i="8"/>
  <c r="DQ94" i="8"/>
  <c r="DQ102" i="8"/>
  <c r="DQ114" i="8"/>
  <c r="DQ118" i="8"/>
  <c r="DQ40" i="8"/>
  <c r="DQ38" i="8"/>
  <c r="DQ76" i="8"/>
  <c r="DQ121" i="8"/>
  <c r="DQ56" i="8"/>
  <c r="DQ80" i="8"/>
  <c r="DQ117" i="8"/>
  <c r="DQ53" i="8"/>
  <c r="DQ54" i="8"/>
  <c r="DQ64" i="8"/>
  <c r="DQ108" i="8"/>
  <c r="DQ44" i="8"/>
  <c r="DQ82" i="8"/>
  <c r="DQ36" i="8"/>
  <c r="DQ57" i="8"/>
  <c r="DQ68" i="8"/>
  <c r="DQ60" i="8"/>
  <c r="DQ69" i="8"/>
  <c r="DQ119" i="8"/>
  <c r="DQ59" i="8"/>
  <c r="DQ96" i="8"/>
  <c r="DQ86" i="8"/>
  <c r="DR28" i="8"/>
  <c r="DQ92" i="8"/>
  <c r="DQ93" i="8"/>
  <c r="DQ115" i="8"/>
  <c r="DQ52" i="8"/>
  <c r="DQ98" i="8"/>
  <c r="DQ45" i="8"/>
  <c r="DQ110" i="8"/>
  <c r="DQ120" i="8"/>
  <c r="DQ62" i="8"/>
  <c r="DQ100" i="8"/>
  <c r="DQ43" i="8"/>
  <c r="DQ72" i="8"/>
  <c r="DQ58" i="8"/>
  <c r="DQ71" i="8"/>
  <c r="DQ31" i="8"/>
  <c r="DQ78" i="8"/>
  <c r="DQ103" i="8"/>
  <c r="DQ90" i="8"/>
  <c r="DQ84" i="8"/>
  <c r="DQ50" i="8"/>
  <c r="DQ85" i="8"/>
  <c r="DQ124" i="8"/>
  <c r="DQ49" i="8"/>
  <c r="DQ89" i="8"/>
  <c r="DQ77" i="8"/>
  <c r="DQ46" i="8"/>
  <c r="DQ109" i="8"/>
  <c r="DQ116" i="8"/>
  <c r="DQ65" i="8"/>
  <c r="DQ30" i="8"/>
  <c r="DQ37" i="8"/>
  <c r="DQ91" i="8"/>
  <c r="DQ97" i="8"/>
  <c r="DQ51" i="8"/>
  <c r="DQ48" i="8"/>
  <c r="DQ74" i="8"/>
  <c r="DQ106" i="8"/>
  <c r="DQ66" i="8"/>
  <c r="DQ73" i="8"/>
  <c r="DQ101" i="8"/>
  <c r="DQ122" i="8"/>
  <c r="DQ83" i="8"/>
  <c r="DQ105" i="8"/>
  <c r="DQ29" i="8"/>
  <c r="DQ47" i="8"/>
  <c r="DQ33" i="8"/>
  <c r="DQ34" i="8"/>
  <c r="DQ67" i="8"/>
  <c r="DQ81" i="8"/>
  <c r="DQ107" i="8"/>
  <c r="DQ99" i="8"/>
  <c r="DQ79" i="8"/>
  <c r="DQ35" i="8"/>
  <c r="DQ70" i="8"/>
  <c r="DQ104" i="8"/>
  <c r="DQ55" i="8"/>
  <c r="DP139" i="8"/>
  <c r="DQ139" i="8" l="1"/>
  <c r="DR63" i="8"/>
  <c r="DR119" i="8"/>
  <c r="DR87" i="8"/>
  <c r="DR91" i="8"/>
  <c r="DR111" i="8"/>
  <c r="DR34" i="8"/>
  <c r="DR44" i="8"/>
  <c r="DR61" i="8"/>
  <c r="DR76" i="8"/>
  <c r="DR86" i="8"/>
  <c r="DR55" i="8"/>
  <c r="DR50" i="8"/>
  <c r="DR38" i="8"/>
  <c r="DR59" i="8"/>
  <c r="DR90" i="8"/>
  <c r="DR109" i="8"/>
  <c r="DR37" i="8"/>
  <c r="DR29" i="8"/>
  <c r="DR120" i="8"/>
  <c r="DR43" i="8"/>
  <c r="DR46" i="8"/>
  <c r="DR88" i="8"/>
  <c r="DR107" i="8"/>
  <c r="DR72" i="8"/>
  <c r="DR68" i="8"/>
  <c r="DR83" i="8"/>
  <c r="DR64" i="8"/>
  <c r="DR65" i="8"/>
  <c r="DR71" i="8"/>
  <c r="DR113" i="8"/>
  <c r="DR56" i="8"/>
  <c r="DR100" i="8"/>
  <c r="DR115" i="8"/>
  <c r="DR45" i="8"/>
  <c r="DR73" i="8"/>
  <c r="DR67" i="8"/>
  <c r="DR85" i="8"/>
  <c r="DR33" i="8"/>
  <c r="DR70" i="8"/>
  <c r="DR79" i="8"/>
  <c r="DR74" i="8"/>
  <c r="DR54" i="8"/>
  <c r="DR106" i="8"/>
  <c r="DR102" i="8"/>
  <c r="DR30" i="8"/>
  <c r="DR66" i="8"/>
  <c r="DR112" i="8"/>
  <c r="DR48" i="8"/>
  <c r="DR36" i="8"/>
  <c r="DR94" i="8"/>
  <c r="DR96" i="8"/>
  <c r="DR60" i="8"/>
  <c r="DR108" i="8"/>
  <c r="DR117" i="8"/>
  <c r="DR105" i="8"/>
  <c r="DR99" i="8"/>
  <c r="DR97" i="8"/>
  <c r="DR93" i="8"/>
  <c r="DR95" i="8"/>
  <c r="DR40" i="8"/>
  <c r="DR118" i="8"/>
  <c r="DR122" i="8"/>
  <c r="DR49" i="8"/>
  <c r="DR84" i="8"/>
  <c r="DR58" i="8"/>
  <c r="DR81" i="8"/>
  <c r="DR52" i="8"/>
  <c r="DR101" i="8"/>
  <c r="DR92" i="8"/>
  <c r="DR80" i="8"/>
  <c r="DR110" i="8"/>
  <c r="DR114" i="8"/>
  <c r="DR77" i="8"/>
  <c r="DR89" i="8"/>
  <c r="DR121" i="8"/>
  <c r="DR98" i="8"/>
  <c r="DR69" i="8"/>
  <c r="DR32" i="8"/>
  <c r="DR123" i="8"/>
  <c r="DR103" i="8"/>
  <c r="DR41" i="8"/>
  <c r="DR35" i="8"/>
  <c r="DR39" i="8"/>
  <c r="DR62" i="8"/>
  <c r="DR51" i="8"/>
  <c r="DR57" i="8"/>
  <c r="DR124" i="8"/>
  <c r="DR31" i="8"/>
  <c r="DR53" i="8"/>
  <c r="DR78" i="8"/>
  <c r="DR42" i="8"/>
  <c r="DR75" i="8"/>
  <c r="DR104" i="8"/>
  <c r="DR47" i="8"/>
  <c r="DR82" i="8"/>
  <c r="DR116" i="8"/>
  <c r="DS28" i="8"/>
  <c r="DR139" i="8" l="1"/>
  <c r="DS62" i="8"/>
  <c r="DS32" i="8"/>
  <c r="DS113" i="8"/>
  <c r="DS116" i="8"/>
  <c r="DS33" i="8"/>
  <c r="DS45" i="8"/>
  <c r="DS58" i="8"/>
  <c r="DS115" i="8"/>
  <c r="DS65" i="8"/>
  <c r="DS64" i="8"/>
  <c r="DS53" i="8"/>
  <c r="DS48" i="8"/>
  <c r="DS77" i="8"/>
  <c r="DS100" i="8"/>
  <c r="DS121" i="8"/>
  <c r="DS50" i="8"/>
  <c r="DS46" i="8"/>
  <c r="DS74" i="8"/>
  <c r="DS35" i="8"/>
  <c r="DS40" i="8"/>
  <c r="DS82" i="8"/>
  <c r="DS122" i="8"/>
  <c r="DS75" i="8"/>
  <c r="DS78" i="8"/>
  <c r="DS92" i="8"/>
  <c r="DS55" i="8"/>
  <c r="DS59" i="8"/>
  <c r="DS70" i="8"/>
  <c r="DS107" i="8"/>
  <c r="DS57" i="8"/>
  <c r="DS95" i="8"/>
  <c r="DS47" i="8"/>
  <c r="DS56" i="8"/>
  <c r="DS72" i="8"/>
  <c r="DS66" i="8"/>
  <c r="DS87" i="8"/>
  <c r="DS120" i="8"/>
  <c r="DS73" i="8"/>
  <c r="DS102" i="8"/>
  <c r="DS60" i="8"/>
  <c r="DS97" i="8"/>
  <c r="DS98" i="8"/>
  <c r="DS94" i="8"/>
  <c r="DS29" i="8"/>
  <c r="DS69" i="8"/>
  <c r="DS101" i="8"/>
  <c r="DS37" i="8"/>
  <c r="DS88" i="8"/>
  <c r="DS36" i="8"/>
  <c r="DS109" i="8"/>
  <c r="DS108" i="8"/>
  <c r="DS34" i="8"/>
  <c r="DS41" i="8"/>
  <c r="DS104" i="8"/>
  <c r="DS117" i="8"/>
  <c r="DS42" i="8"/>
  <c r="DS68" i="8"/>
  <c r="DS54" i="8"/>
  <c r="DS81" i="8"/>
  <c r="DS44" i="8"/>
  <c r="DS51" i="8"/>
  <c r="DS93" i="8"/>
  <c r="DS114" i="8"/>
  <c r="DS112" i="8"/>
  <c r="DS83" i="8"/>
  <c r="DS67" i="8"/>
  <c r="DS80" i="8"/>
  <c r="DS30" i="8"/>
  <c r="DS91" i="8"/>
  <c r="DS96" i="8"/>
  <c r="DS105" i="8"/>
  <c r="DS39" i="8"/>
  <c r="DS110" i="8"/>
  <c r="DS43" i="8"/>
  <c r="DS119" i="8"/>
  <c r="DS76" i="8"/>
  <c r="DS52" i="8"/>
  <c r="DS85" i="8"/>
  <c r="DS86" i="8"/>
  <c r="DS79" i="8"/>
  <c r="DS89" i="8"/>
  <c r="DS106" i="8"/>
  <c r="DS84" i="8"/>
  <c r="DS118" i="8"/>
  <c r="DS124" i="8"/>
  <c r="DS111" i="8"/>
  <c r="DS99" i="8"/>
  <c r="DS63" i="8"/>
  <c r="DS31" i="8"/>
  <c r="DS61" i="8"/>
  <c r="DS90" i="8"/>
  <c r="DS103" i="8"/>
  <c r="DS71" i="8"/>
  <c r="DS38" i="8"/>
  <c r="DS123" i="8"/>
  <c r="DS49" i="8"/>
  <c r="DT28" i="8"/>
  <c r="DT75" i="8" l="1"/>
  <c r="DT54" i="8"/>
  <c r="DT42" i="8"/>
  <c r="DT52" i="8"/>
  <c r="DT65" i="8"/>
  <c r="DT76" i="8"/>
  <c r="DT99" i="8"/>
  <c r="DT113" i="8"/>
  <c r="DT121" i="8"/>
  <c r="DT86" i="8"/>
  <c r="DT62" i="8"/>
  <c r="DT35" i="8"/>
  <c r="DT124" i="8"/>
  <c r="DT37" i="8"/>
  <c r="DT81" i="8"/>
  <c r="DT109" i="8"/>
  <c r="DT122" i="8"/>
  <c r="DT40" i="8"/>
  <c r="DT49" i="8"/>
  <c r="DT57" i="8"/>
  <c r="DT47" i="8"/>
  <c r="DT39" i="8"/>
  <c r="DT79" i="8"/>
  <c r="DT105" i="8"/>
  <c r="DT118" i="8"/>
  <c r="DT45" i="8"/>
  <c r="DT108" i="8"/>
  <c r="DT101" i="8"/>
  <c r="DT67" i="8"/>
  <c r="DT61" i="8"/>
  <c r="DT58" i="8"/>
  <c r="DT85" i="8"/>
  <c r="DT104" i="8"/>
  <c r="DT36" i="8"/>
  <c r="DT73" i="8"/>
  <c r="DT46" i="8"/>
  <c r="DT110" i="8"/>
  <c r="DT103" i="8"/>
  <c r="DT91" i="8"/>
  <c r="DT82" i="8"/>
  <c r="DT106" i="8"/>
  <c r="DT50" i="8"/>
  <c r="DT71" i="8"/>
  <c r="DT77" i="8"/>
  <c r="DT41" i="8"/>
  <c r="DT44" i="8"/>
  <c r="DT123" i="8"/>
  <c r="DT33" i="8"/>
  <c r="DT38" i="8"/>
  <c r="DT93" i="8"/>
  <c r="DT66" i="8"/>
  <c r="DT29" i="8"/>
  <c r="DT55" i="8"/>
  <c r="DT107" i="8"/>
  <c r="DT96" i="8"/>
  <c r="DT80" i="8"/>
  <c r="DT60" i="8"/>
  <c r="DT69" i="8"/>
  <c r="DT31" i="8"/>
  <c r="DT64" i="8"/>
  <c r="DT115" i="8"/>
  <c r="DT89" i="8"/>
  <c r="DT70" i="8"/>
  <c r="DT30" i="8"/>
  <c r="DT114" i="8"/>
  <c r="DT102" i="8"/>
  <c r="DT63" i="8"/>
  <c r="DT74" i="8"/>
  <c r="DT97" i="8"/>
  <c r="DT84" i="8"/>
  <c r="DT78" i="8"/>
  <c r="DT87" i="8"/>
  <c r="DT112" i="8"/>
  <c r="DT53" i="8"/>
  <c r="DT95" i="8"/>
  <c r="DT94" i="8"/>
  <c r="DT43" i="8"/>
  <c r="DT72" i="8"/>
  <c r="DT98" i="8"/>
  <c r="DT100" i="8"/>
  <c r="DT56" i="8"/>
  <c r="DT59" i="8"/>
  <c r="DT119" i="8"/>
  <c r="DT88" i="8"/>
  <c r="DT83" i="8"/>
  <c r="DU28" i="8"/>
  <c r="DT116" i="8"/>
  <c r="DT68" i="8"/>
  <c r="DT90" i="8"/>
  <c r="DT92" i="8"/>
  <c r="DT32" i="8"/>
  <c r="DT120" i="8"/>
  <c r="DT48" i="8"/>
  <c r="DT51" i="8"/>
  <c r="DT111" i="8"/>
  <c r="DT117" i="8"/>
  <c r="DT34" i="8"/>
  <c r="DS139" i="8"/>
  <c r="DU92" i="8" l="1"/>
  <c r="DU71" i="8"/>
  <c r="DU60" i="8"/>
  <c r="DU80" i="8"/>
  <c r="DU85" i="8"/>
  <c r="DU100" i="8"/>
  <c r="DU108" i="8"/>
  <c r="DU120" i="8"/>
  <c r="DU37" i="8"/>
  <c r="DU48" i="8"/>
  <c r="DU53" i="8"/>
  <c r="DU47" i="8"/>
  <c r="DU38" i="8"/>
  <c r="DU65" i="8"/>
  <c r="DU99" i="8"/>
  <c r="DU118" i="8"/>
  <c r="DU45" i="8"/>
  <c r="DU102" i="8"/>
  <c r="DU114" i="8"/>
  <c r="DU76" i="8"/>
  <c r="DU58" i="8"/>
  <c r="DU73" i="8"/>
  <c r="DU95" i="8"/>
  <c r="DU121" i="8"/>
  <c r="DU50" i="8"/>
  <c r="DU90" i="8"/>
  <c r="DU101" i="8"/>
  <c r="DU54" i="8"/>
  <c r="DU84" i="8"/>
  <c r="DU79" i="8"/>
  <c r="DU77" i="8"/>
  <c r="DU106" i="8"/>
  <c r="DU35" i="8"/>
  <c r="DU57" i="8"/>
  <c r="DU117" i="8"/>
  <c r="DU29" i="8"/>
  <c r="DU81" i="8"/>
  <c r="DU97" i="8"/>
  <c r="DU104" i="8"/>
  <c r="DU83" i="8"/>
  <c r="DU72" i="8"/>
  <c r="DU34" i="8"/>
  <c r="DU105" i="8"/>
  <c r="DU111" i="8"/>
  <c r="DU123" i="8"/>
  <c r="DU119" i="8"/>
  <c r="DU67" i="8"/>
  <c r="DU59" i="8"/>
  <c r="DU75" i="8"/>
  <c r="DU112" i="8"/>
  <c r="DU31" i="8"/>
  <c r="DU33" i="8"/>
  <c r="DU94" i="8"/>
  <c r="DU49" i="8"/>
  <c r="DU98" i="8"/>
  <c r="DU62" i="8"/>
  <c r="DU43" i="8"/>
  <c r="DU61" i="8"/>
  <c r="DU122" i="8"/>
  <c r="DU42" i="8"/>
  <c r="DU63" i="8"/>
  <c r="DU89" i="8"/>
  <c r="DU110" i="8"/>
  <c r="DU64" i="8"/>
  <c r="DU113" i="8"/>
  <c r="DU66" i="8"/>
  <c r="DU109" i="8"/>
  <c r="DU46" i="8"/>
  <c r="DU87" i="8"/>
  <c r="DU124" i="8"/>
  <c r="DU115" i="8"/>
  <c r="DU56" i="8"/>
  <c r="DV28" i="8"/>
  <c r="DU32" i="8"/>
  <c r="DU30" i="8"/>
  <c r="DU116" i="8"/>
  <c r="DU70" i="8"/>
  <c r="DU40" i="8"/>
  <c r="DU41" i="8"/>
  <c r="DU39" i="8"/>
  <c r="DU91" i="8"/>
  <c r="DU55" i="8"/>
  <c r="DU51" i="8"/>
  <c r="DU96" i="8"/>
  <c r="DU103" i="8"/>
  <c r="DU88" i="8"/>
  <c r="DU69" i="8"/>
  <c r="DU82" i="8"/>
  <c r="DU93" i="8"/>
  <c r="DU78" i="8"/>
  <c r="DU107" i="8"/>
  <c r="DU36" i="8"/>
  <c r="DU44" i="8"/>
  <c r="DU86" i="8"/>
  <c r="DU52" i="8"/>
  <c r="DU68" i="8"/>
  <c r="DU74" i="8"/>
  <c r="DT139" i="8"/>
  <c r="DU139" i="8" l="1"/>
  <c r="DV104" i="8"/>
  <c r="DV94" i="8"/>
  <c r="DV87" i="8"/>
  <c r="DV102" i="8"/>
  <c r="DV106" i="8"/>
  <c r="DV114" i="8"/>
  <c r="DV109" i="8"/>
  <c r="DV88" i="8"/>
  <c r="DV40" i="8"/>
  <c r="DV68" i="8"/>
  <c r="DV65" i="8"/>
  <c r="DV69" i="8"/>
  <c r="DV90" i="8"/>
  <c r="DV107" i="8"/>
  <c r="DV35" i="8"/>
  <c r="DV75" i="8"/>
  <c r="DV96" i="8"/>
  <c r="DV108" i="8"/>
  <c r="DV77" i="8"/>
  <c r="DV82" i="8"/>
  <c r="DV89" i="8"/>
  <c r="DV113" i="8"/>
  <c r="DV36" i="8"/>
  <c r="DV58" i="8"/>
  <c r="DV39" i="8"/>
  <c r="DV48" i="8"/>
  <c r="DV31" i="8"/>
  <c r="DV98" i="8"/>
  <c r="DV99" i="8"/>
  <c r="DV124" i="8"/>
  <c r="DV33" i="8"/>
  <c r="DV47" i="8"/>
  <c r="DV70" i="8"/>
  <c r="DV83" i="8"/>
  <c r="DV61" i="8"/>
  <c r="DV76" i="8"/>
  <c r="DV63" i="8"/>
  <c r="DV86" i="8"/>
  <c r="DV51" i="8"/>
  <c r="DV115" i="8"/>
  <c r="DV112" i="8"/>
  <c r="DV60" i="8"/>
  <c r="DV56" i="8"/>
  <c r="DV116" i="8"/>
  <c r="DV66" i="8"/>
  <c r="DV57" i="8"/>
  <c r="DV118" i="8"/>
  <c r="DV91" i="8"/>
  <c r="DV71" i="8"/>
  <c r="DV105" i="8"/>
  <c r="DV78" i="8"/>
  <c r="DV64" i="8"/>
  <c r="DV37" i="8"/>
  <c r="DV85" i="8"/>
  <c r="DV53" i="8"/>
  <c r="DV45" i="8"/>
  <c r="DV44" i="8"/>
  <c r="DV117" i="8"/>
  <c r="DV74" i="8"/>
  <c r="DW28" i="8"/>
  <c r="DV73" i="8"/>
  <c r="DV67" i="8"/>
  <c r="DV32" i="8"/>
  <c r="DV52" i="8"/>
  <c r="DV81" i="8"/>
  <c r="DV93" i="8"/>
  <c r="DV38" i="8"/>
  <c r="DV59" i="8"/>
  <c r="DV46" i="8"/>
  <c r="DV119" i="8"/>
  <c r="DV62" i="8"/>
  <c r="DV54" i="8"/>
  <c r="DV80" i="8"/>
  <c r="DV101" i="8"/>
  <c r="DV72" i="8"/>
  <c r="DV97" i="8"/>
  <c r="DV84" i="8"/>
  <c r="DV92" i="8"/>
  <c r="DV111" i="8"/>
  <c r="DV29" i="8"/>
  <c r="DV30" i="8"/>
  <c r="DV122" i="8"/>
  <c r="DV41" i="8"/>
  <c r="DV49" i="8"/>
  <c r="DV50" i="8"/>
  <c r="DV95" i="8"/>
  <c r="DV103" i="8"/>
  <c r="DV79" i="8"/>
  <c r="DV100" i="8"/>
  <c r="DV43" i="8"/>
  <c r="DV120" i="8"/>
  <c r="DV110" i="8"/>
  <c r="DV121" i="8"/>
  <c r="DV123" i="8"/>
  <c r="DV34" i="8"/>
  <c r="DV42" i="8"/>
  <c r="DV55" i="8"/>
  <c r="DV139" i="8" l="1"/>
  <c r="DW107" i="8"/>
  <c r="DW99" i="8"/>
  <c r="DW80" i="8"/>
  <c r="DW75" i="8"/>
  <c r="DW122" i="8"/>
  <c r="DW65" i="8"/>
  <c r="DW73" i="8"/>
  <c r="DW51" i="8"/>
  <c r="DW30" i="8"/>
  <c r="DW87" i="8"/>
  <c r="DW79" i="8"/>
  <c r="DW71" i="8"/>
  <c r="DW59" i="8"/>
  <c r="DW31" i="8"/>
  <c r="DW104" i="8"/>
  <c r="DW124" i="8"/>
  <c r="DW29" i="8"/>
  <c r="DW103" i="8"/>
  <c r="DW98" i="8"/>
  <c r="DW95" i="8"/>
  <c r="DW88" i="8"/>
  <c r="DW53" i="8"/>
  <c r="DW46" i="8"/>
  <c r="DW38" i="8"/>
  <c r="DW70" i="8"/>
  <c r="DW54" i="8"/>
  <c r="DW48" i="8"/>
  <c r="DW112" i="8"/>
  <c r="DW109" i="8"/>
  <c r="DW102" i="8"/>
  <c r="DW61" i="8"/>
  <c r="DW57" i="8"/>
  <c r="DW67" i="8"/>
  <c r="DW93" i="8"/>
  <c r="DW74" i="8"/>
  <c r="DW62" i="8"/>
  <c r="DW58" i="8"/>
  <c r="DW113" i="8"/>
  <c r="DW94" i="8"/>
  <c r="DW118" i="8"/>
  <c r="DW41" i="8"/>
  <c r="DW96" i="8"/>
  <c r="DW63" i="8"/>
  <c r="DW69" i="8"/>
  <c r="DW116" i="8"/>
  <c r="DW108" i="8"/>
  <c r="DW84" i="8"/>
  <c r="DW77" i="8"/>
  <c r="DW32" i="8"/>
  <c r="DW55" i="8"/>
  <c r="DW76" i="8"/>
  <c r="DW117" i="8"/>
  <c r="DW101" i="8"/>
  <c r="DW106" i="8"/>
  <c r="DW90" i="8"/>
  <c r="DW119" i="8"/>
  <c r="DW81" i="8"/>
  <c r="DW100" i="8"/>
  <c r="DW105" i="8"/>
  <c r="DW33" i="8"/>
  <c r="DW35" i="8"/>
  <c r="DW111" i="8"/>
  <c r="DW123" i="8"/>
  <c r="DW42" i="8"/>
  <c r="DW45" i="8"/>
  <c r="DW34" i="8"/>
  <c r="DW115" i="8"/>
  <c r="DW50" i="8"/>
  <c r="DW52" i="8"/>
  <c r="DW44" i="8"/>
  <c r="DW47" i="8"/>
  <c r="DW114" i="8"/>
  <c r="DW78" i="8"/>
  <c r="DW82" i="8"/>
  <c r="DW92" i="8"/>
  <c r="DW121" i="8"/>
  <c r="DW68" i="8"/>
  <c r="DW120" i="8"/>
  <c r="DW97" i="8"/>
  <c r="DW83" i="8"/>
  <c r="DW85" i="8"/>
  <c r="DW49" i="8"/>
  <c r="DW60" i="8"/>
  <c r="DW86" i="8"/>
  <c r="DW56" i="8"/>
  <c r="DW39" i="8"/>
  <c r="DW64" i="8"/>
  <c r="DW66" i="8"/>
  <c r="DW72" i="8"/>
  <c r="DW37" i="8"/>
  <c r="DW91" i="8"/>
  <c r="DW89" i="8"/>
  <c r="DW36" i="8"/>
  <c r="DW110" i="8"/>
  <c r="DW43" i="8"/>
  <c r="DW40" i="8"/>
  <c r="DX28" i="8"/>
  <c r="DX62" i="8" l="1"/>
  <c r="DX112" i="8"/>
  <c r="DX70" i="8"/>
  <c r="DX83" i="8"/>
  <c r="DX84" i="8"/>
  <c r="DX92" i="8"/>
  <c r="DX123" i="8"/>
  <c r="DX30" i="8"/>
  <c r="DX64" i="8"/>
  <c r="DX111" i="8"/>
  <c r="DX91" i="8"/>
  <c r="DX54" i="8"/>
  <c r="DX47" i="8"/>
  <c r="DX74" i="8"/>
  <c r="DX121" i="8"/>
  <c r="DX42" i="8"/>
  <c r="DX79" i="8"/>
  <c r="DX106" i="8"/>
  <c r="DX61" i="8"/>
  <c r="DX113" i="8"/>
  <c r="DX68" i="8"/>
  <c r="DX76" i="8"/>
  <c r="DX119" i="8"/>
  <c r="DX39" i="8"/>
  <c r="DX56" i="8"/>
  <c r="DX107" i="8"/>
  <c r="DX32" i="8"/>
  <c r="DX87" i="8"/>
  <c r="DX99" i="8"/>
  <c r="DX90" i="8"/>
  <c r="DX116" i="8"/>
  <c r="DX43" i="8"/>
  <c r="DX77" i="8"/>
  <c r="DX85" i="8"/>
  <c r="DX50" i="8"/>
  <c r="DX36" i="8"/>
  <c r="DX31" i="8"/>
  <c r="DX33" i="8"/>
  <c r="DX98" i="8"/>
  <c r="DX95" i="8"/>
  <c r="DX110" i="8"/>
  <c r="DX48" i="8"/>
  <c r="DX40" i="8"/>
  <c r="DX49" i="8"/>
  <c r="DX102" i="8"/>
  <c r="DX114" i="8"/>
  <c r="DX94" i="8"/>
  <c r="DX63" i="8"/>
  <c r="DY28" i="8"/>
  <c r="DX67" i="8"/>
  <c r="DX51" i="8"/>
  <c r="DX29" i="8"/>
  <c r="DX35" i="8"/>
  <c r="DX34" i="8"/>
  <c r="DX65" i="8"/>
  <c r="DX100" i="8"/>
  <c r="DX73" i="8"/>
  <c r="DX82" i="8"/>
  <c r="DX101" i="8"/>
  <c r="DX59" i="8"/>
  <c r="DX117" i="8"/>
  <c r="DX86" i="8"/>
  <c r="DX118" i="8"/>
  <c r="DX41" i="8"/>
  <c r="DX66" i="8"/>
  <c r="DX124" i="8"/>
  <c r="DX96" i="8"/>
  <c r="DX44" i="8"/>
  <c r="DX81" i="8"/>
  <c r="DX115" i="8"/>
  <c r="DX122" i="8"/>
  <c r="DX58" i="8"/>
  <c r="DX88" i="8"/>
  <c r="DX104" i="8"/>
  <c r="DX53" i="8"/>
  <c r="DX46" i="8"/>
  <c r="DX108" i="8"/>
  <c r="DX38" i="8"/>
  <c r="DX72" i="8"/>
  <c r="DX75" i="8"/>
  <c r="DX89" i="8"/>
  <c r="DX57" i="8"/>
  <c r="DX37" i="8"/>
  <c r="DX55" i="8"/>
  <c r="DX93" i="8"/>
  <c r="DX45" i="8"/>
  <c r="DX69" i="8"/>
  <c r="DX103" i="8"/>
  <c r="DX80" i="8"/>
  <c r="DX60" i="8"/>
  <c r="DX97" i="8"/>
  <c r="DX105" i="8"/>
  <c r="DX109" i="8"/>
  <c r="DX120" i="8"/>
  <c r="DX52" i="8"/>
  <c r="DX78" i="8"/>
  <c r="DX71" i="8"/>
  <c r="DW139" i="8"/>
  <c r="DY65" i="8" l="1"/>
  <c r="DY55" i="8"/>
  <c r="DY41" i="8"/>
  <c r="DY50" i="8"/>
  <c r="DY64" i="8"/>
  <c r="DY69" i="8"/>
  <c r="DY79" i="8"/>
  <c r="DY83" i="8"/>
  <c r="DY97" i="8"/>
  <c r="DY118" i="8"/>
  <c r="DY115" i="8"/>
  <c r="DY116" i="8"/>
  <c r="DY122" i="8"/>
  <c r="DY49" i="8"/>
  <c r="DY84" i="8"/>
  <c r="DY111" i="8"/>
  <c r="DY119" i="8"/>
  <c r="DY46" i="8"/>
  <c r="DY63" i="8"/>
  <c r="DY37" i="8"/>
  <c r="DY31" i="8"/>
  <c r="DY59" i="8"/>
  <c r="DY82" i="8"/>
  <c r="DY109" i="8"/>
  <c r="DY29" i="8"/>
  <c r="DY43" i="8"/>
  <c r="DY78" i="8"/>
  <c r="DY62" i="8"/>
  <c r="DY44" i="8"/>
  <c r="DY36" i="8"/>
  <c r="DY72" i="8"/>
  <c r="DY96" i="8"/>
  <c r="DY110" i="8"/>
  <c r="DY42" i="8"/>
  <c r="DY53" i="8"/>
  <c r="DY88" i="8"/>
  <c r="DY104" i="8"/>
  <c r="DY70" i="8"/>
  <c r="DY120" i="8"/>
  <c r="DY30" i="8"/>
  <c r="DY73" i="8"/>
  <c r="DY68" i="8"/>
  <c r="DY124" i="8"/>
  <c r="DY80" i="8"/>
  <c r="DY34" i="8"/>
  <c r="DY40" i="8"/>
  <c r="DY95" i="8"/>
  <c r="DY99" i="8"/>
  <c r="DY61" i="8"/>
  <c r="DY90" i="8"/>
  <c r="DY74" i="8"/>
  <c r="DY47" i="8"/>
  <c r="DY102" i="8"/>
  <c r="DY112" i="8"/>
  <c r="DY87" i="8"/>
  <c r="DY103" i="8"/>
  <c r="DY71" i="8"/>
  <c r="DY108" i="8"/>
  <c r="DY93" i="8"/>
  <c r="DY113" i="8"/>
  <c r="DY91" i="8"/>
  <c r="DY121" i="8"/>
  <c r="DY107" i="8"/>
  <c r="DY105" i="8"/>
  <c r="DY117" i="8"/>
  <c r="DY33" i="8"/>
  <c r="DY56" i="8"/>
  <c r="DY123" i="8"/>
  <c r="DY106" i="8"/>
  <c r="DZ28" i="8"/>
  <c r="DY35" i="8"/>
  <c r="DY75" i="8"/>
  <c r="DY54" i="8"/>
  <c r="DY100" i="8"/>
  <c r="DY51" i="8"/>
  <c r="DY52" i="8"/>
  <c r="DY86" i="8"/>
  <c r="DY98" i="8"/>
  <c r="DY38" i="8"/>
  <c r="DY58" i="8"/>
  <c r="DY48" i="8"/>
  <c r="DY67" i="8"/>
  <c r="DY32" i="8"/>
  <c r="DY45" i="8"/>
  <c r="DY77" i="8"/>
  <c r="DY66" i="8"/>
  <c r="DY114" i="8"/>
  <c r="DY76" i="8"/>
  <c r="DY57" i="8"/>
  <c r="DY39" i="8"/>
  <c r="DY85" i="8"/>
  <c r="DY81" i="8"/>
  <c r="DY101" i="8"/>
  <c r="DY92" i="8"/>
  <c r="DY60" i="8"/>
  <c r="DY94" i="8"/>
  <c r="DY89" i="8"/>
  <c r="DX139" i="8"/>
  <c r="DY139" i="8" l="1"/>
  <c r="DZ100" i="8"/>
  <c r="DZ67" i="8"/>
  <c r="DZ54" i="8"/>
  <c r="DZ72" i="8"/>
  <c r="DZ79" i="8"/>
  <c r="DZ83" i="8"/>
  <c r="DZ95" i="8"/>
  <c r="DZ107" i="8"/>
  <c r="DZ33" i="8"/>
  <c r="DZ34" i="8"/>
  <c r="DZ62" i="8"/>
  <c r="DZ45" i="8"/>
  <c r="DZ29" i="8"/>
  <c r="DZ42" i="8"/>
  <c r="DZ74" i="8"/>
  <c r="DZ93" i="8"/>
  <c r="DZ32" i="8"/>
  <c r="DZ52" i="8"/>
  <c r="DZ66" i="8"/>
  <c r="DZ68" i="8"/>
  <c r="DZ53" i="8"/>
  <c r="DZ44" i="8"/>
  <c r="DZ82" i="8"/>
  <c r="DZ110" i="8"/>
  <c r="DZ30" i="8"/>
  <c r="DZ51" i="8"/>
  <c r="DZ80" i="8"/>
  <c r="DZ94" i="8"/>
  <c r="DZ78" i="8"/>
  <c r="DZ65" i="8"/>
  <c r="DZ70" i="8"/>
  <c r="DZ98" i="8"/>
  <c r="DZ120" i="8"/>
  <c r="DZ43" i="8"/>
  <c r="DZ59" i="8"/>
  <c r="DZ90" i="8"/>
  <c r="DZ102" i="8"/>
  <c r="DZ103" i="8"/>
  <c r="DZ117" i="8"/>
  <c r="DZ118" i="8"/>
  <c r="DZ69" i="8"/>
  <c r="DZ76" i="8"/>
  <c r="DZ47" i="8"/>
  <c r="DZ124" i="8"/>
  <c r="DZ41" i="8"/>
  <c r="DZ123" i="8"/>
  <c r="DZ85" i="8"/>
  <c r="DZ88" i="8"/>
  <c r="DZ55" i="8"/>
  <c r="DZ121" i="8"/>
  <c r="DZ77" i="8"/>
  <c r="DZ37" i="8"/>
  <c r="DZ122" i="8"/>
  <c r="DZ36" i="8"/>
  <c r="DZ119" i="8"/>
  <c r="DZ60" i="8"/>
  <c r="DZ31" i="8"/>
  <c r="EA28" i="8"/>
  <c r="DZ35" i="8"/>
  <c r="DZ50" i="8"/>
  <c r="DZ40" i="8"/>
  <c r="DZ81" i="8"/>
  <c r="DZ56" i="8"/>
  <c r="DZ61" i="8"/>
  <c r="DZ64" i="8"/>
  <c r="DZ92" i="8"/>
  <c r="DZ108" i="8"/>
  <c r="DZ75" i="8"/>
  <c r="DZ101" i="8"/>
  <c r="DZ91" i="8"/>
  <c r="DZ46" i="8"/>
  <c r="DZ87" i="8"/>
  <c r="DZ105" i="8"/>
  <c r="DZ112" i="8"/>
  <c r="DZ58" i="8"/>
  <c r="DZ84" i="8"/>
  <c r="DZ115" i="8"/>
  <c r="DZ106" i="8"/>
  <c r="DZ49" i="8"/>
  <c r="DZ114" i="8"/>
  <c r="DZ71" i="8"/>
  <c r="DZ86" i="8"/>
  <c r="DZ73" i="8"/>
  <c r="DZ109" i="8"/>
  <c r="DZ89" i="8"/>
  <c r="DZ111" i="8"/>
  <c r="DZ113" i="8"/>
  <c r="DZ97" i="8"/>
  <c r="DZ99" i="8"/>
  <c r="DZ63" i="8"/>
  <c r="DZ39" i="8"/>
  <c r="DZ57" i="8"/>
  <c r="DZ48" i="8"/>
  <c r="DZ96" i="8"/>
  <c r="DZ104" i="8"/>
  <c r="DZ38" i="8"/>
  <c r="DZ116" i="8"/>
  <c r="EA101" i="8" l="1"/>
  <c r="EA91" i="8"/>
  <c r="EA76" i="8"/>
  <c r="EA86" i="8"/>
  <c r="EA106" i="8"/>
  <c r="EA116" i="8"/>
  <c r="EA30" i="8"/>
  <c r="EA32" i="8"/>
  <c r="EA45" i="8"/>
  <c r="EA58" i="8"/>
  <c r="EA53" i="8"/>
  <c r="EA44" i="8"/>
  <c r="EA73" i="8"/>
  <c r="EA90" i="8"/>
  <c r="EA29" i="8"/>
  <c r="EB28" i="8"/>
  <c r="EA67" i="8"/>
  <c r="EA64" i="8"/>
  <c r="EA79" i="8"/>
  <c r="EA66" i="8"/>
  <c r="EA71" i="8"/>
  <c r="EA104" i="8"/>
  <c r="EA124" i="8"/>
  <c r="EA50" i="8"/>
  <c r="EA59" i="8"/>
  <c r="EA89" i="8"/>
  <c r="EA93" i="8"/>
  <c r="EA78" i="8"/>
  <c r="EA80" i="8"/>
  <c r="EA95" i="8"/>
  <c r="EA109" i="8"/>
  <c r="EA37" i="8"/>
  <c r="EA61" i="8"/>
  <c r="EA77" i="8"/>
  <c r="EA100" i="8"/>
  <c r="EA97" i="8"/>
  <c r="EA69" i="8"/>
  <c r="EA105" i="8"/>
  <c r="EA57" i="8"/>
  <c r="EA56" i="8"/>
  <c r="EA120" i="8"/>
  <c r="EA111" i="8"/>
  <c r="EA88" i="8"/>
  <c r="EA121" i="8"/>
  <c r="EA83" i="8"/>
  <c r="EA70" i="8"/>
  <c r="EA42" i="8"/>
  <c r="EA117" i="8"/>
  <c r="EA96" i="8"/>
  <c r="EA119" i="8"/>
  <c r="EA110" i="8"/>
  <c r="EA122" i="8"/>
  <c r="EA103" i="8"/>
  <c r="EA108" i="8"/>
  <c r="EA35" i="8"/>
  <c r="EA40" i="8"/>
  <c r="EA41" i="8"/>
  <c r="EA63" i="8"/>
  <c r="EA31" i="8"/>
  <c r="EA46" i="8"/>
  <c r="EA72" i="8"/>
  <c r="EA52" i="8"/>
  <c r="EA62" i="8"/>
  <c r="EA39" i="8"/>
  <c r="EA60" i="8"/>
  <c r="EA82" i="8"/>
  <c r="EA81" i="8"/>
  <c r="EA107" i="8"/>
  <c r="EA55" i="8"/>
  <c r="EA75" i="8"/>
  <c r="EA94" i="8"/>
  <c r="EA33" i="8"/>
  <c r="EA118" i="8"/>
  <c r="EA102" i="8"/>
  <c r="EA85" i="8"/>
  <c r="EA112" i="8"/>
  <c r="EA34" i="8"/>
  <c r="EA38" i="8"/>
  <c r="EA54" i="8"/>
  <c r="EA49" i="8"/>
  <c r="EA47" i="8"/>
  <c r="EA114" i="8"/>
  <c r="EA68" i="8"/>
  <c r="EA74" i="8"/>
  <c r="EA99" i="8"/>
  <c r="EA48" i="8"/>
  <c r="EA115" i="8"/>
  <c r="EA123" i="8"/>
  <c r="EA87" i="8"/>
  <c r="EA43" i="8"/>
  <c r="EA98" i="8"/>
  <c r="EA36" i="8"/>
  <c r="EA92" i="8"/>
  <c r="EA113" i="8"/>
  <c r="EA51" i="8"/>
  <c r="EA65" i="8"/>
  <c r="EA84" i="8"/>
  <c r="DZ139" i="8"/>
  <c r="EB62" i="8" l="1"/>
  <c r="EB110" i="8"/>
  <c r="EB112" i="8"/>
  <c r="EB108" i="8"/>
  <c r="EB116" i="8"/>
  <c r="EB37" i="8"/>
  <c r="EB41" i="8"/>
  <c r="EB52" i="8"/>
  <c r="EB68" i="8"/>
  <c r="EB53" i="8"/>
  <c r="EB78" i="8"/>
  <c r="EB80" i="8"/>
  <c r="EB76" i="8"/>
  <c r="EB83" i="8"/>
  <c r="EB114" i="8"/>
  <c r="EB64" i="8"/>
  <c r="EB72" i="8"/>
  <c r="EB107" i="8"/>
  <c r="EB95" i="8"/>
  <c r="EB111" i="8"/>
  <c r="EB103" i="8"/>
  <c r="EB113" i="8"/>
  <c r="EB38" i="8"/>
  <c r="EB58" i="8"/>
  <c r="EB85" i="8"/>
  <c r="EB105" i="8"/>
  <c r="EB120" i="8"/>
  <c r="EB104" i="8"/>
  <c r="EB92" i="8"/>
  <c r="EB96" i="8"/>
  <c r="EB122" i="8"/>
  <c r="EB47" i="8"/>
  <c r="EB70" i="8"/>
  <c r="EB100" i="8"/>
  <c r="EB102" i="8"/>
  <c r="EB33" i="8"/>
  <c r="EB56" i="8"/>
  <c r="EB93" i="8"/>
  <c r="EB55" i="8"/>
  <c r="EB117" i="8"/>
  <c r="EB123" i="8"/>
  <c r="EB79" i="8"/>
  <c r="EB65" i="8"/>
  <c r="EB106" i="8"/>
  <c r="EB71" i="8"/>
  <c r="EB49" i="8"/>
  <c r="EB30" i="8"/>
  <c r="EB91" i="8"/>
  <c r="EB31" i="8"/>
  <c r="EB115" i="8"/>
  <c r="EB29" i="8"/>
  <c r="EB44" i="8"/>
  <c r="EB63" i="8"/>
  <c r="EB39" i="8"/>
  <c r="EB59" i="8"/>
  <c r="EB40" i="8"/>
  <c r="EB51" i="8"/>
  <c r="EB77" i="8"/>
  <c r="EB45" i="8"/>
  <c r="EB73" i="8"/>
  <c r="EB74" i="8"/>
  <c r="EB86" i="8"/>
  <c r="EB101" i="8"/>
  <c r="EB57" i="8"/>
  <c r="EB82" i="8"/>
  <c r="EB98" i="8"/>
  <c r="EB48" i="8"/>
  <c r="EB121" i="8"/>
  <c r="EB69" i="8"/>
  <c r="EB87" i="8"/>
  <c r="EB42" i="8"/>
  <c r="EB118" i="8"/>
  <c r="EB34" i="8"/>
  <c r="EB97" i="8"/>
  <c r="EB88" i="8"/>
  <c r="EC28" i="8"/>
  <c r="EB35" i="8"/>
  <c r="EB75" i="8"/>
  <c r="EB50" i="8"/>
  <c r="EB99" i="8"/>
  <c r="EB60" i="8"/>
  <c r="EB124" i="8"/>
  <c r="EB84" i="8"/>
  <c r="EB81" i="8"/>
  <c r="EB94" i="8"/>
  <c r="EB109" i="8"/>
  <c r="EB46" i="8"/>
  <c r="EB90" i="8"/>
  <c r="EB43" i="8"/>
  <c r="EB54" i="8"/>
  <c r="EB119" i="8"/>
  <c r="EB61" i="8"/>
  <c r="EB67" i="8"/>
  <c r="EB66" i="8"/>
  <c r="EB89" i="8"/>
  <c r="EB36" i="8"/>
  <c r="EB32" i="8"/>
  <c r="EA139" i="8"/>
  <c r="EC57" i="8" l="1"/>
  <c r="EC44" i="8"/>
  <c r="EC31" i="8"/>
  <c r="EC37" i="8"/>
  <c r="EC47" i="8"/>
  <c r="EC58" i="8"/>
  <c r="EC73" i="8"/>
  <c r="EC76" i="8"/>
  <c r="EC90" i="8"/>
  <c r="EC48" i="8"/>
  <c r="EC67" i="8"/>
  <c r="EC97" i="8"/>
  <c r="EC100" i="8"/>
  <c r="EC122" i="8"/>
  <c r="EC49" i="8"/>
  <c r="EC85" i="8"/>
  <c r="EC99" i="8"/>
  <c r="EC119" i="8"/>
  <c r="EC87" i="8"/>
  <c r="EC112" i="8"/>
  <c r="EC98" i="8"/>
  <c r="EC120" i="8"/>
  <c r="EC59" i="8"/>
  <c r="EC81" i="8"/>
  <c r="EC111" i="8"/>
  <c r="EC117" i="8"/>
  <c r="EC46" i="8"/>
  <c r="EC124" i="8"/>
  <c r="EC121" i="8"/>
  <c r="EC50" i="8"/>
  <c r="EC74" i="8"/>
  <c r="EC93" i="8"/>
  <c r="EC115" i="8"/>
  <c r="EC33" i="8"/>
  <c r="EC114" i="8"/>
  <c r="EC62" i="8"/>
  <c r="EC69" i="8"/>
  <c r="EC116" i="8"/>
  <c r="EC105" i="8"/>
  <c r="EC60" i="8"/>
  <c r="EC52" i="8"/>
  <c r="EC79" i="8"/>
  <c r="EC63" i="8"/>
  <c r="EC84" i="8"/>
  <c r="EC56" i="8"/>
  <c r="EC104" i="8"/>
  <c r="EC95" i="8"/>
  <c r="EC61" i="8"/>
  <c r="EC94" i="8"/>
  <c r="EC68" i="8"/>
  <c r="EC34" i="8"/>
  <c r="EC102" i="8"/>
  <c r="EC41" i="8"/>
  <c r="EC80" i="8"/>
  <c r="EC78" i="8"/>
  <c r="EC43" i="8"/>
  <c r="EC39" i="8"/>
  <c r="EC45" i="8"/>
  <c r="EC101" i="8"/>
  <c r="EC83" i="8"/>
  <c r="EC53" i="8"/>
  <c r="EC77" i="8"/>
  <c r="EC29" i="8"/>
  <c r="EC113" i="8"/>
  <c r="EC89" i="8"/>
  <c r="EC70" i="8"/>
  <c r="EC91" i="8"/>
  <c r="EC40" i="8"/>
  <c r="EC35" i="8"/>
  <c r="EC110" i="8"/>
  <c r="EC82" i="8"/>
  <c r="EC118" i="8"/>
  <c r="ED28" i="8"/>
  <c r="EC123" i="8"/>
  <c r="EC36" i="8"/>
  <c r="EC96" i="8"/>
  <c r="EC38" i="8"/>
  <c r="EC51" i="8"/>
  <c r="EC32" i="8"/>
  <c r="EC75" i="8"/>
  <c r="EC55" i="8"/>
  <c r="EC103" i="8"/>
  <c r="EC66" i="8"/>
  <c r="EC71" i="8"/>
  <c r="EC109" i="8"/>
  <c r="EC42" i="8"/>
  <c r="EC54" i="8"/>
  <c r="EC108" i="8"/>
  <c r="EC64" i="8"/>
  <c r="EC30" i="8"/>
  <c r="EC92" i="8"/>
  <c r="EC65" i="8"/>
  <c r="EC86" i="8"/>
  <c r="EC107" i="8"/>
  <c r="EC88" i="8"/>
  <c r="EC72" i="8"/>
  <c r="EC106" i="8"/>
  <c r="EB139" i="8"/>
  <c r="EC139" i="8" l="1"/>
  <c r="ED67" i="8"/>
  <c r="ED53" i="8"/>
  <c r="ED41" i="8"/>
  <c r="ED42" i="8"/>
  <c r="ED58" i="8"/>
  <c r="ED73" i="8"/>
  <c r="ED84" i="8"/>
  <c r="ED88" i="8"/>
  <c r="ED104" i="8"/>
  <c r="ED40" i="8"/>
  <c r="ED95" i="8"/>
  <c r="ED93" i="8"/>
  <c r="ED113" i="8"/>
  <c r="ED37" i="8"/>
  <c r="ED60" i="8"/>
  <c r="ED89" i="8"/>
  <c r="ED119" i="8"/>
  <c r="ED115" i="8"/>
  <c r="ED35" i="8"/>
  <c r="ED74" i="8"/>
  <c r="ED85" i="8"/>
  <c r="ED124" i="8"/>
  <c r="ED33" i="8"/>
  <c r="ED106" i="8"/>
  <c r="ED62" i="8"/>
  <c r="ED29" i="8"/>
  <c r="ED31" i="8"/>
  <c r="ED56" i="8"/>
  <c r="ED83" i="8"/>
  <c r="ED97" i="8"/>
  <c r="ED32" i="8"/>
  <c r="ED47" i="8"/>
  <c r="ED49" i="8"/>
  <c r="ED71" i="8"/>
  <c r="ED46" i="8"/>
  <c r="ED43" i="8"/>
  <c r="ED102" i="8"/>
  <c r="ED38" i="8"/>
  <c r="ED65" i="8"/>
  <c r="ED96" i="8"/>
  <c r="ED77" i="8"/>
  <c r="ED50" i="8"/>
  <c r="ED103" i="8"/>
  <c r="ED111" i="8"/>
  <c r="ED57" i="8"/>
  <c r="ED114" i="8"/>
  <c r="ED116" i="8"/>
  <c r="ED61" i="8"/>
  <c r="ED66" i="8"/>
  <c r="ED69" i="8"/>
  <c r="ED78" i="8"/>
  <c r="ED44" i="8"/>
  <c r="ED109" i="8"/>
  <c r="ED75" i="8"/>
  <c r="ED80" i="8"/>
  <c r="ED94" i="8"/>
  <c r="ED87" i="8"/>
  <c r="ED55" i="8"/>
  <c r="ED91" i="8"/>
  <c r="ED101" i="8"/>
  <c r="ED90" i="8"/>
  <c r="ED100" i="8"/>
  <c r="ED70" i="8"/>
  <c r="ED118" i="8"/>
  <c r="ED45" i="8"/>
  <c r="ED107" i="8"/>
  <c r="ED108" i="8"/>
  <c r="ED110" i="8"/>
  <c r="ED105" i="8"/>
  <c r="EE28" i="8"/>
  <c r="ED123" i="8"/>
  <c r="ED122" i="8"/>
  <c r="ED121" i="8"/>
  <c r="ED39" i="8"/>
  <c r="ED51" i="8"/>
  <c r="ED34" i="8"/>
  <c r="ED98" i="8"/>
  <c r="ED117" i="8"/>
  <c r="ED82" i="8"/>
  <c r="ED112" i="8"/>
  <c r="ED36" i="8"/>
  <c r="ED52" i="8"/>
  <c r="ED48" i="8"/>
  <c r="ED54" i="8"/>
  <c r="ED63" i="8"/>
  <c r="ED86" i="8"/>
  <c r="ED68" i="8"/>
  <c r="ED64" i="8"/>
  <c r="ED120" i="8"/>
  <c r="ED79" i="8"/>
  <c r="ED30" i="8"/>
  <c r="ED92" i="8"/>
  <c r="ED59" i="8"/>
  <c r="ED99" i="8"/>
  <c r="ED76" i="8"/>
  <c r="ED72" i="8"/>
  <c r="ED81" i="8"/>
  <c r="ED139" i="8" l="1"/>
  <c r="EE86" i="8"/>
  <c r="EE68" i="8"/>
  <c r="EE55" i="8"/>
  <c r="EE73" i="8"/>
  <c r="EE85" i="8"/>
  <c r="EE90" i="8"/>
  <c r="EE112" i="8"/>
  <c r="EE120" i="8"/>
  <c r="EE33" i="8"/>
  <c r="EE81" i="8"/>
  <c r="EE58" i="8"/>
  <c r="EF28" i="8"/>
  <c r="EE39" i="8"/>
  <c r="EE69" i="8"/>
  <c r="EE61" i="8"/>
  <c r="EE74" i="8"/>
  <c r="EE104" i="8"/>
  <c r="EE121" i="8"/>
  <c r="EE48" i="8"/>
  <c r="EE66" i="8"/>
  <c r="EE98" i="8"/>
  <c r="EE47" i="8"/>
  <c r="EE77" i="8"/>
  <c r="EE78" i="8"/>
  <c r="EE93" i="8"/>
  <c r="EE111" i="8"/>
  <c r="EE37" i="8"/>
  <c r="EE59" i="8"/>
  <c r="EE82" i="8"/>
  <c r="EE109" i="8"/>
  <c r="EE67" i="8"/>
  <c r="EE43" i="8"/>
  <c r="EE102" i="8"/>
  <c r="EE44" i="8"/>
  <c r="EE110" i="8"/>
  <c r="EE51" i="8"/>
  <c r="EE122" i="8"/>
  <c r="EE53" i="8"/>
  <c r="EE97" i="8"/>
  <c r="EE60" i="8"/>
  <c r="EE114" i="8"/>
  <c r="EE65" i="8"/>
  <c r="EE45" i="8"/>
  <c r="EE62" i="8"/>
  <c r="EE89" i="8"/>
  <c r="EE124" i="8"/>
  <c r="EE75" i="8"/>
  <c r="EE29" i="8"/>
  <c r="EE96" i="8"/>
  <c r="EE91" i="8"/>
  <c r="EE63" i="8"/>
  <c r="EE94" i="8"/>
  <c r="EE38" i="8"/>
  <c r="EE88" i="8"/>
  <c r="EE40" i="8"/>
  <c r="EE103" i="8"/>
  <c r="EE100" i="8"/>
  <c r="EE76" i="8"/>
  <c r="EE108" i="8"/>
  <c r="EE49" i="8"/>
  <c r="EE106" i="8"/>
  <c r="EE72" i="8"/>
  <c r="EE32" i="8"/>
  <c r="EE115" i="8"/>
  <c r="EE99" i="8"/>
  <c r="EE107" i="8"/>
  <c r="EE56" i="8"/>
  <c r="EE113" i="8"/>
  <c r="EE80" i="8"/>
  <c r="EE41" i="8"/>
  <c r="EE123" i="8"/>
  <c r="EE50" i="8"/>
  <c r="EE92" i="8"/>
  <c r="EE71" i="8"/>
  <c r="EE118" i="8"/>
  <c r="EE83" i="8"/>
  <c r="EE30" i="8"/>
  <c r="EE34" i="8"/>
  <c r="EE31" i="8"/>
  <c r="EE95" i="8"/>
  <c r="EE42" i="8"/>
  <c r="EE70" i="8"/>
  <c r="EE105" i="8"/>
  <c r="EE101" i="8"/>
  <c r="EE52" i="8"/>
  <c r="EE87" i="8"/>
  <c r="EE116" i="8"/>
  <c r="EE35" i="8"/>
  <c r="EE64" i="8"/>
  <c r="EE117" i="8"/>
  <c r="EE46" i="8"/>
  <c r="EE79" i="8"/>
  <c r="EE54" i="8"/>
  <c r="EE36" i="8"/>
  <c r="EE57" i="8"/>
  <c r="EE84" i="8"/>
  <c r="EE119" i="8"/>
  <c r="EE139" i="8" l="1"/>
  <c r="EF109" i="8"/>
  <c r="EF101" i="8"/>
  <c r="EF111" i="8"/>
  <c r="EF117" i="8"/>
  <c r="EF122" i="8"/>
  <c r="EF42" i="8"/>
  <c r="EF49" i="8"/>
  <c r="EF43" i="8"/>
  <c r="EG28" i="8"/>
  <c r="EF86" i="8"/>
  <c r="EF88" i="8"/>
  <c r="EF120" i="8"/>
  <c r="EF50" i="8"/>
  <c r="EF70" i="8"/>
  <c r="EF98" i="8"/>
  <c r="EF102" i="8"/>
  <c r="EF104" i="8"/>
  <c r="EF46" i="8"/>
  <c r="EF76" i="8"/>
  <c r="EF115" i="8"/>
  <c r="EF36" i="8"/>
  <c r="EF58" i="8"/>
  <c r="EF83" i="8"/>
  <c r="EF100" i="8"/>
  <c r="EF116" i="8"/>
  <c r="EF35" i="8"/>
  <c r="EF67" i="8"/>
  <c r="EF63" i="8"/>
  <c r="EF60" i="8"/>
  <c r="EF99" i="8"/>
  <c r="EF73" i="8"/>
  <c r="EF121" i="8"/>
  <c r="EF61" i="8"/>
  <c r="EF105" i="8"/>
  <c r="EF62" i="8"/>
  <c r="EF68" i="8"/>
  <c r="EF110" i="8"/>
  <c r="EF82" i="8"/>
  <c r="EF29" i="8"/>
  <c r="EF77" i="8"/>
  <c r="EF90" i="8"/>
  <c r="EF59" i="8"/>
  <c r="EF78" i="8"/>
  <c r="EF48" i="8"/>
  <c r="EF85" i="8"/>
  <c r="EF47" i="8"/>
  <c r="EF91" i="8"/>
  <c r="EF44" i="8"/>
  <c r="EF66" i="8"/>
  <c r="EF95" i="8"/>
  <c r="EF56" i="8"/>
  <c r="EF94" i="8"/>
  <c r="EF55" i="8"/>
  <c r="EF103" i="8"/>
  <c r="EF72" i="8"/>
  <c r="EF79" i="8"/>
  <c r="EF124" i="8"/>
  <c r="EF71" i="8"/>
  <c r="EF119" i="8"/>
  <c r="EF75" i="8"/>
  <c r="EF32" i="8"/>
  <c r="EF97" i="8"/>
  <c r="EF87" i="8"/>
  <c r="EF30" i="8"/>
  <c r="EF80" i="8"/>
  <c r="EF37" i="8"/>
  <c r="EF89" i="8"/>
  <c r="EF41" i="8"/>
  <c r="EF107" i="8"/>
  <c r="EF84" i="8"/>
  <c r="EF39" i="8"/>
  <c r="EF108" i="8"/>
  <c r="EF113" i="8"/>
  <c r="EF52" i="8"/>
  <c r="EF123" i="8"/>
  <c r="EF114" i="8"/>
  <c r="EF51" i="8"/>
  <c r="EF118" i="8"/>
  <c r="EF38" i="8"/>
  <c r="EF65" i="8"/>
  <c r="EF74" i="8"/>
  <c r="EF34" i="8"/>
  <c r="EF45" i="8"/>
  <c r="EF81" i="8"/>
  <c r="EF69" i="8"/>
  <c r="EF53" i="8"/>
  <c r="EF54" i="8"/>
  <c r="EF64" i="8"/>
  <c r="EF93" i="8"/>
  <c r="EF40" i="8"/>
  <c r="EF92" i="8"/>
  <c r="EF106" i="8"/>
  <c r="EF31" i="8"/>
  <c r="EF57" i="8"/>
  <c r="EF96" i="8"/>
  <c r="EF112" i="8"/>
  <c r="EF33" i="8"/>
  <c r="EF139" i="8" l="1"/>
  <c r="EG112" i="8"/>
  <c r="EG91" i="8"/>
  <c r="EG77" i="8"/>
  <c r="EG66" i="8"/>
  <c r="EG45" i="8"/>
  <c r="EG32" i="8"/>
  <c r="EG110" i="8"/>
  <c r="EG98" i="8"/>
  <c r="EG37" i="8"/>
  <c r="EG103" i="8"/>
  <c r="EG105" i="8"/>
  <c r="EG93" i="8"/>
  <c r="EG90" i="8"/>
  <c r="EG82" i="8"/>
  <c r="EG73" i="8"/>
  <c r="EG65" i="8"/>
  <c r="EG57" i="8"/>
  <c r="EG119" i="8"/>
  <c r="EG114" i="8"/>
  <c r="EG107" i="8"/>
  <c r="EG95" i="8"/>
  <c r="EG92" i="8"/>
  <c r="EG84" i="8"/>
  <c r="EG76" i="8"/>
  <c r="EG113" i="8"/>
  <c r="EG63" i="8"/>
  <c r="EG46" i="8"/>
  <c r="EG55" i="8"/>
  <c r="EG69" i="8"/>
  <c r="EG97" i="8"/>
  <c r="EG100" i="8"/>
  <c r="EG120" i="8"/>
  <c r="EG108" i="8"/>
  <c r="EG62" i="8"/>
  <c r="EG52" i="8"/>
  <c r="EG60" i="8"/>
  <c r="EG81" i="8"/>
  <c r="EG111" i="8"/>
  <c r="EG124" i="8"/>
  <c r="EG34" i="8"/>
  <c r="EG117" i="8"/>
  <c r="EG51" i="8"/>
  <c r="EG64" i="8"/>
  <c r="EG67" i="8"/>
  <c r="EG109" i="8"/>
  <c r="EG106" i="8"/>
  <c r="EG35" i="8"/>
  <c r="EG43" i="8"/>
  <c r="EG58" i="8"/>
  <c r="EG74" i="8"/>
  <c r="EG88" i="8"/>
  <c r="EG102" i="8"/>
  <c r="EG122" i="8"/>
  <c r="EG42" i="8"/>
  <c r="EH28" i="8"/>
  <c r="EG72" i="8"/>
  <c r="EG75" i="8"/>
  <c r="EG116" i="8"/>
  <c r="EG118" i="8"/>
  <c r="EG40" i="8"/>
  <c r="EG49" i="8"/>
  <c r="EG70" i="8"/>
  <c r="EG80" i="8"/>
  <c r="EG85" i="8"/>
  <c r="EG123" i="8"/>
  <c r="EG33" i="8"/>
  <c r="EG47" i="8"/>
  <c r="EG56" i="8"/>
  <c r="EG78" i="8"/>
  <c r="EG83" i="8"/>
  <c r="EG50" i="8"/>
  <c r="EG86" i="8"/>
  <c r="EG89" i="8"/>
  <c r="EG53" i="8"/>
  <c r="EG96" i="8"/>
  <c r="EG30" i="8"/>
  <c r="EG41" i="8"/>
  <c r="EG104" i="8"/>
  <c r="EG38" i="8"/>
  <c r="EG39" i="8"/>
  <c r="EG54" i="8"/>
  <c r="EG115" i="8"/>
  <c r="EG94" i="8"/>
  <c r="EG99" i="8"/>
  <c r="EG121" i="8"/>
  <c r="EG68" i="8"/>
  <c r="EG44" i="8"/>
  <c r="EG29" i="8"/>
  <c r="EG71" i="8"/>
  <c r="EG79" i="8"/>
  <c r="EG36" i="8"/>
  <c r="EG59" i="8"/>
  <c r="EG87" i="8"/>
  <c r="EG48" i="8"/>
  <c r="EG61" i="8"/>
  <c r="EG101" i="8"/>
  <c r="EG31" i="8"/>
  <c r="EG139" i="8" l="1"/>
  <c r="EH51" i="8"/>
  <c r="EH37" i="8"/>
  <c r="EH107" i="8"/>
  <c r="EH89" i="8"/>
  <c r="EH96" i="8"/>
  <c r="EH73" i="8"/>
  <c r="EH56" i="8"/>
  <c r="EH45" i="8"/>
  <c r="EH115" i="8"/>
  <c r="EH32" i="8"/>
  <c r="EH63" i="8"/>
  <c r="EH30" i="8"/>
  <c r="EH29" i="8"/>
  <c r="EH119" i="8"/>
  <c r="EH116" i="8"/>
  <c r="EH99" i="8"/>
  <c r="EH108" i="8"/>
  <c r="EH83" i="8"/>
  <c r="EH58" i="8"/>
  <c r="EH62" i="8"/>
  <c r="EH40" i="8"/>
  <c r="EH39" i="8"/>
  <c r="EH33" i="8"/>
  <c r="EH123" i="8"/>
  <c r="EH118" i="8"/>
  <c r="EH101" i="8"/>
  <c r="EH110" i="8"/>
  <c r="EH117" i="8"/>
  <c r="EH52" i="8"/>
  <c r="EH65" i="8"/>
  <c r="EH71" i="8"/>
  <c r="EH98" i="8"/>
  <c r="EH120" i="8"/>
  <c r="EH35" i="8"/>
  <c r="EI28" i="8"/>
  <c r="EH61" i="8"/>
  <c r="EH67" i="8"/>
  <c r="EH81" i="8"/>
  <c r="EH106" i="8"/>
  <c r="EH111" i="8"/>
  <c r="EH47" i="8"/>
  <c r="EH60" i="8"/>
  <c r="EH74" i="8"/>
  <c r="EH77" i="8"/>
  <c r="EH104" i="8"/>
  <c r="EH124" i="8"/>
  <c r="EH36" i="8"/>
  <c r="EH86" i="8"/>
  <c r="EH72" i="8"/>
  <c r="EH75" i="8"/>
  <c r="EH94" i="8"/>
  <c r="EH91" i="8"/>
  <c r="EH34" i="8"/>
  <c r="EH42" i="8"/>
  <c r="EH112" i="8"/>
  <c r="EH69" i="8"/>
  <c r="EH92" i="8"/>
  <c r="EH102" i="8"/>
  <c r="EH31" i="8"/>
  <c r="EH43" i="8"/>
  <c r="EH57" i="8"/>
  <c r="EH113" i="8"/>
  <c r="EH90" i="8"/>
  <c r="EH97" i="8"/>
  <c r="EH114" i="8"/>
  <c r="EH41" i="8"/>
  <c r="EH105" i="8"/>
  <c r="EH48" i="8"/>
  <c r="EH78" i="8"/>
  <c r="EH121" i="8"/>
  <c r="EH55" i="8"/>
  <c r="EH79" i="8"/>
  <c r="EH88" i="8"/>
  <c r="EH87" i="8"/>
  <c r="EH64" i="8"/>
  <c r="EH103" i="8"/>
  <c r="EH95" i="8"/>
  <c r="EH109" i="8"/>
  <c r="EH82" i="8"/>
  <c r="EH122" i="8"/>
  <c r="EH44" i="8"/>
  <c r="EH50" i="8"/>
  <c r="EH93" i="8"/>
  <c r="EH54" i="8"/>
  <c r="EH68" i="8"/>
  <c r="EH53" i="8"/>
  <c r="EH66" i="8"/>
  <c r="EH70" i="8"/>
  <c r="EH38" i="8"/>
  <c r="EH76" i="8"/>
  <c r="EH80" i="8"/>
  <c r="EH59" i="8"/>
  <c r="EH46" i="8"/>
  <c r="EH85" i="8"/>
  <c r="EH49" i="8"/>
  <c r="EH100" i="8"/>
  <c r="EH84" i="8"/>
  <c r="EI56" i="8" l="1"/>
  <c r="EI47" i="8"/>
  <c r="EI30" i="8"/>
  <c r="EI103" i="8"/>
  <c r="EI96" i="8"/>
  <c r="EI85" i="8"/>
  <c r="EI64" i="8"/>
  <c r="EI46" i="8"/>
  <c r="EI36" i="8"/>
  <c r="EI88" i="8"/>
  <c r="EI62" i="8"/>
  <c r="EI37" i="8"/>
  <c r="EI39" i="8"/>
  <c r="EI31" i="8"/>
  <c r="EI117" i="8"/>
  <c r="EI105" i="8"/>
  <c r="EI101" i="8"/>
  <c r="EI97" i="8"/>
  <c r="EI45" i="8"/>
  <c r="EI51" i="8"/>
  <c r="EI52" i="8"/>
  <c r="EI49" i="8"/>
  <c r="EI40" i="8"/>
  <c r="EI32" i="8"/>
  <c r="EI121" i="8"/>
  <c r="EI109" i="8"/>
  <c r="EI107" i="8"/>
  <c r="EI78" i="8"/>
  <c r="EI118" i="8"/>
  <c r="EI53" i="8"/>
  <c r="EI59" i="8"/>
  <c r="EI72" i="8"/>
  <c r="EI93" i="8"/>
  <c r="EI114" i="8"/>
  <c r="EI111" i="8"/>
  <c r="EI29" i="8"/>
  <c r="EI65" i="8"/>
  <c r="EI70" i="8"/>
  <c r="EI91" i="8"/>
  <c r="EI100" i="8"/>
  <c r="EI123" i="8"/>
  <c r="EI116" i="8"/>
  <c r="EI61" i="8"/>
  <c r="EI66" i="8"/>
  <c r="EI83" i="8"/>
  <c r="EI98" i="8"/>
  <c r="EI119" i="8"/>
  <c r="EI43" i="8"/>
  <c r="EI63" i="8"/>
  <c r="EI75" i="8"/>
  <c r="EI80" i="8"/>
  <c r="EI89" i="8"/>
  <c r="EI112" i="8"/>
  <c r="EI34" i="8"/>
  <c r="EI60" i="8"/>
  <c r="EI73" i="8"/>
  <c r="EI76" i="8"/>
  <c r="EI86" i="8"/>
  <c r="EI110" i="8"/>
  <c r="EI33" i="8"/>
  <c r="EI41" i="8"/>
  <c r="EI124" i="8"/>
  <c r="EI82" i="8"/>
  <c r="EI108" i="8"/>
  <c r="EI44" i="8"/>
  <c r="EI38" i="8"/>
  <c r="EI68" i="8"/>
  <c r="EI90" i="8"/>
  <c r="EI122" i="8"/>
  <c r="EI57" i="8"/>
  <c r="EI81" i="8"/>
  <c r="EI94" i="8"/>
  <c r="EI104" i="8"/>
  <c r="EI48" i="8"/>
  <c r="EI77" i="8"/>
  <c r="EJ28" i="8"/>
  <c r="EI71" i="8"/>
  <c r="EI115" i="8"/>
  <c r="EI54" i="8"/>
  <c r="EI87" i="8"/>
  <c r="EI102" i="8"/>
  <c r="EI67" i="8"/>
  <c r="EI35" i="8"/>
  <c r="EI84" i="8"/>
  <c r="EI113" i="8"/>
  <c r="EI58" i="8"/>
  <c r="EI95" i="8"/>
  <c r="EI92" i="8"/>
  <c r="EI42" i="8"/>
  <c r="EI69" i="8"/>
  <c r="EI106" i="8"/>
  <c r="EI50" i="8"/>
  <c r="EI79" i="8"/>
  <c r="EI99" i="8"/>
  <c r="EI55" i="8"/>
  <c r="EI74" i="8"/>
  <c r="EI120" i="8"/>
  <c r="EH139" i="8"/>
  <c r="EJ89" i="8" l="1"/>
  <c r="EJ65" i="8"/>
  <c r="EJ54" i="8"/>
  <c r="EJ42" i="8"/>
  <c r="EJ96" i="8"/>
  <c r="EJ98" i="8"/>
  <c r="EJ99" i="8"/>
  <c r="EJ79" i="8"/>
  <c r="EJ111" i="8"/>
  <c r="EK28" i="8"/>
  <c r="EJ73" i="8"/>
  <c r="EJ64" i="8"/>
  <c r="EJ61" i="8"/>
  <c r="EJ53" i="8"/>
  <c r="EJ47" i="8"/>
  <c r="EJ44" i="8"/>
  <c r="EJ33" i="8"/>
  <c r="EJ106" i="8"/>
  <c r="EJ81" i="8"/>
  <c r="EJ70" i="8"/>
  <c r="EJ72" i="8"/>
  <c r="EJ66" i="8"/>
  <c r="EJ60" i="8"/>
  <c r="EJ57" i="8"/>
  <c r="EJ49" i="8"/>
  <c r="EJ46" i="8"/>
  <c r="EJ34" i="8"/>
  <c r="EJ50" i="8"/>
  <c r="EJ29" i="8"/>
  <c r="EJ40" i="8"/>
  <c r="EJ74" i="8"/>
  <c r="EJ84" i="8"/>
  <c r="EJ107" i="8"/>
  <c r="EJ104" i="8"/>
  <c r="EJ86" i="8"/>
  <c r="EJ38" i="8"/>
  <c r="EJ43" i="8"/>
  <c r="EJ80" i="8"/>
  <c r="EJ97" i="8"/>
  <c r="EJ102" i="8"/>
  <c r="EJ88" i="8"/>
  <c r="EJ62" i="8"/>
  <c r="EJ41" i="8"/>
  <c r="EJ76" i="8"/>
  <c r="EJ95" i="8"/>
  <c r="EJ105" i="8"/>
  <c r="EJ123" i="8"/>
  <c r="EJ48" i="8"/>
  <c r="EJ63" i="8"/>
  <c r="EJ51" i="8"/>
  <c r="EJ93" i="8"/>
  <c r="EJ103" i="8"/>
  <c r="EJ121" i="8"/>
  <c r="EJ120" i="8"/>
  <c r="EJ82" i="8"/>
  <c r="EJ91" i="8"/>
  <c r="EJ30" i="8"/>
  <c r="EJ55" i="8"/>
  <c r="EJ108" i="8"/>
  <c r="EJ110" i="8"/>
  <c r="EJ100" i="8"/>
  <c r="EJ45" i="8"/>
  <c r="EJ68" i="8"/>
  <c r="EJ114" i="8"/>
  <c r="EJ92" i="8"/>
  <c r="EJ94" i="8"/>
  <c r="EJ77" i="8"/>
  <c r="EJ59" i="8"/>
  <c r="EJ112" i="8"/>
  <c r="EJ115" i="8"/>
  <c r="EJ119" i="8"/>
  <c r="EJ87" i="8"/>
  <c r="EJ124" i="8"/>
  <c r="EJ78" i="8"/>
  <c r="EJ35" i="8"/>
  <c r="EJ52" i="8"/>
  <c r="EJ118" i="8"/>
  <c r="EJ32" i="8"/>
  <c r="EJ39" i="8"/>
  <c r="EJ71" i="8"/>
  <c r="EJ122" i="8"/>
  <c r="EJ58" i="8"/>
  <c r="EJ31" i="8"/>
  <c r="EJ37" i="8"/>
  <c r="EJ56" i="8"/>
  <c r="EJ36" i="8"/>
  <c r="EJ90" i="8"/>
  <c r="EJ101" i="8"/>
  <c r="EJ67" i="8"/>
  <c r="EJ69" i="8"/>
  <c r="EJ116" i="8"/>
  <c r="EJ109" i="8"/>
  <c r="EJ113" i="8"/>
  <c r="EJ83" i="8"/>
  <c r="EJ75" i="8"/>
  <c r="EJ85" i="8"/>
  <c r="EJ117" i="8"/>
  <c r="EI139" i="8"/>
  <c r="EK89" i="8" l="1"/>
  <c r="EK75" i="8"/>
  <c r="EK58" i="8"/>
  <c r="EK43" i="8"/>
  <c r="EK33" i="8"/>
  <c r="EK112" i="8"/>
  <c r="EK99" i="8"/>
  <c r="EK77" i="8"/>
  <c r="EK118" i="8"/>
  <c r="EK80" i="8"/>
  <c r="EK74" i="8"/>
  <c r="EK69" i="8"/>
  <c r="EK65" i="8"/>
  <c r="EK53" i="8"/>
  <c r="EK47" i="8"/>
  <c r="EK42" i="8"/>
  <c r="EK37" i="8"/>
  <c r="EK101" i="8"/>
  <c r="EK83" i="8"/>
  <c r="EK85" i="8"/>
  <c r="EK79" i="8"/>
  <c r="EK71" i="8"/>
  <c r="EK66" i="8"/>
  <c r="EK56" i="8"/>
  <c r="EK119" i="8"/>
  <c r="EK29" i="8"/>
  <c r="EK38" i="8"/>
  <c r="EK73" i="8"/>
  <c r="EK86" i="8"/>
  <c r="EK96" i="8"/>
  <c r="EK39" i="8"/>
  <c r="EK30" i="8"/>
  <c r="EK36" i="8"/>
  <c r="EK34" i="8"/>
  <c r="EK50" i="8"/>
  <c r="EK82" i="8"/>
  <c r="EK62" i="8"/>
  <c r="EK48" i="8"/>
  <c r="EK55" i="8"/>
  <c r="EK90" i="8"/>
  <c r="EK97" i="8"/>
  <c r="EK103" i="8"/>
  <c r="EK107" i="8"/>
  <c r="EK45" i="8"/>
  <c r="EK106" i="8"/>
  <c r="EK115" i="8"/>
  <c r="EK114" i="8"/>
  <c r="EK87" i="8"/>
  <c r="EK116" i="8"/>
  <c r="EK104" i="8"/>
  <c r="EK84" i="8"/>
  <c r="EK113" i="8"/>
  <c r="EK122" i="8"/>
  <c r="EK117" i="8"/>
  <c r="EK67" i="8"/>
  <c r="EK52" i="8"/>
  <c r="EK123" i="8"/>
  <c r="EK92" i="8"/>
  <c r="EK124" i="8"/>
  <c r="EK44" i="8"/>
  <c r="EK102" i="8"/>
  <c r="EK72" i="8"/>
  <c r="EK64" i="8"/>
  <c r="EK31" i="8"/>
  <c r="EK111" i="8"/>
  <c r="EK35" i="8"/>
  <c r="EL28" i="8"/>
  <c r="EK46" i="8"/>
  <c r="EK94" i="8"/>
  <c r="EK91" i="8"/>
  <c r="EK54" i="8"/>
  <c r="EK120" i="8"/>
  <c r="EK49" i="8"/>
  <c r="EK59" i="8"/>
  <c r="EK88" i="8"/>
  <c r="EK93" i="8"/>
  <c r="EK105" i="8"/>
  <c r="EK95" i="8"/>
  <c r="EK32" i="8"/>
  <c r="EK57" i="8"/>
  <c r="EK81" i="8"/>
  <c r="EK63" i="8"/>
  <c r="EK98" i="8"/>
  <c r="EK109" i="8"/>
  <c r="EK40" i="8"/>
  <c r="EK61" i="8"/>
  <c r="EK70" i="8"/>
  <c r="EK41" i="8"/>
  <c r="EK51" i="8"/>
  <c r="EK121" i="8"/>
  <c r="EK108" i="8"/>
  <c r="EK68" i="8"/>
  <c r="EK76" i="8"/>
  <c r="EK78" i="8"/>
  <c r="EK60" i="8"/>
  <c r="EK100" i="8"/>
  <c r="EK110" i="8"/>
  <c r="EJ139" i="8"/>
  <c r="EL62" i="8" l="1"/>
  <c r="EL119" i="8"/>
  <c r="EL112" i="8"/>
  <c r="EL94" i="8"/>
  <c r="EL71" i="8"/>
  <c r="EL56" i="8"/>
  <c r="EL42" i="8"/>
  <c r="EL123" i="8"/>
  <c r="EL103" i="8"/>
  <c r="EL113" i="8"/>
  <c r="EL110" i="8"/>
  <c r="EL77" i="8"/>
  <c r="EL93" i="8"/>
  <c r="EL96" i="8"/>
  <c r="EL81" i="8"/>
  <c r="EL78" i="8"/>
  <c r="EL67" i="8"/>
  <c r="EL108" i="8"/>
  <c r="EL73" i="8"/>
  <c r="EL79" i="8"/>
  <c r="EL82" i="8"/>
  <c r="EL99" i="8"/>
  <c r="EL102" i="8"/>
  <c r="EL104" i="8"/>
  <c r="EL106" i="8"/>
  <c r="EL37" i="8"/>
  <c r="EL39" i="8"/>
  <c r="EL44" i="8"/>
  <c r="EL55" i="8"/>
  <c r="EL76" i="8"/>
  <c r="EL100" i="8"/>
  <c r="EL109" i="8"/>
  <c r="EL47" i="8"/>
  <c r="EL38" i="8"/>
  <c r="EL49" i="8"/>
  <c r="EL53" i="8"/>
  <c r="EL59" i="8"/>
  <c r="EL98" i="8"/>
  <c r="EL101" i="8"/>
  <c r="EL105" i="8"/>
  <c r="EL88" i="8"/>
  <c r="EL66" i="8"/>
  <c r="EL63" i="8"/>
  <c r="EL52" i="8"/>
  <c r="EL65" i="8"/>
  <c r="EL75" i="8"/>
  <c r="EL97" i="8"/>
  <c r="EL122" i="8"/>
  <c r="EL35" i="8"/>
  <c r="EM28" i="8"/>
  <c r="EL114" i="8"/>
  <c r="EL29" i="8"/>
  <c r="EL70" i="8"/>
  <c r="EL30" i="8"/>
  <c r="EL85" i="8"/>
  <c r="EL51" i="8"/>
  <c r="EL61" i="8"/>
  <c r="EL69" i="8"/>
  <c r="EL89" i="8"/>
  <c r="EL120" i="8"/>
  <c r="EL36" i="8"/>
  <c r="EL45" i="8"/>
  <c r="EL68" i="8"/>
  <c r="EL83" i="8"/>
  <c r="EL60" i="8"/>
  <c r="EL74" i="8"/>
  <c r="EL95" i="8"/>
  <c r="EL118" i="8"/>
  <c r="EL115" i="8"/>
  <c r="EL43" i="8"/>
  <c r="EL86" i="8"/>
  <c r="EL111" i="8"/>
  <c r="EL84" i="8"/>
  <c r="EL46" i="8"/>
  <c r="EL72" i="8"/>
  <c r="EL92" i="8"/>
  <c r="EL116" i="8"/>
  <c r="EL124" i="8"/>
  <c r="EL34" i="8"/>
  <c r="EL40" i="8"/>
  <c r="EL91" i="8"/>
  <c r="EL90" i="8"/>
  <c r="EL121" i="8"/>
  <c r="EL32" i="8"/>
  <c r="EL50" i="8"/>
  <c r="EL57" i="8"/>
  <c r="EL107" i="8"/>
  <c r="EL31" i="8"/>
  <c r="EL64" i="8"/>
  <c r="EL87" i="8"/>
  <c r="EL117" i="8"/>
  <c r="EL33" i="8"/>
  <c r="EL41" i="8"/>
  <c r="EL54" i="8"/>
  <c r="EL80" i="8"/>
  <c r="EL58" i="8"/>
  <c r="EL48" i="8"/>
  <c r="EK139" i="8"/>
  <c r="EM63" i="8" l="1"/>
  <c r="EM29" i="8"/>
  <c r="EM101" i="8"/>
  <c r="EM96" i="8"/>
  <c r="EM83" i="8"/>
  <c r="EM64" i="8"/>
  <c r="EM50" i="8"/>
  <c r="EM34" i="8"/>
  <c r="EM116" i="8"/>
  <c r="EM45" i="8"/>
  <c r="EM115" i="8"/>
  <c r="EM106" i="8"/>
  <c r="EM108" i="8"/>
  <c r="EM98" i="8"/>
  <c r="EM93" i="8"/>
  <c r="EM87" i="8"/>
  <c r="EM79" i="8"/>
  <c r="EM117" i="8"/>
  <c r="EM66" i="8"/>
  <c r="EM74" i="8"/>
  <c r="EM78" i="8"/>
  <c r="EM91" i="8"/>
  <c r="EM100" i="8"/>
  <c r="EM86" i="8"/>
  <c r="EM99" i="8"/>
  <c r="EM80" i="8"/>
  <c r="EM104" i="8"/>
  <c r="EM30" i="8"/>
  <c r="EM39" i="8"/>
  <c r="EM48" i="8"/>
  <c r="EM67" i="8"/>
  <c r="EM76" i="8"/>
  <c r="EM81" i="8"/>
  <c r="EM58" i="8"/>
  <c r="EM35" i="8"/>
  <c r="EM120" i="8"/>
  <c r="EM37" i="8"/>
  <c r="EM46" i="8"/>
  <c r="EM55" i="8"/>
  <c r="EM77" i="8"/>
  <c r="EM88" i="8"/>
  <c r="EM90" i="8"/>
  <c r="EM94" i="8"/>
  <c r="EM38" i="8"/>
  <c r="EM49" i="8"/>
  <c r="EM54" i="8"/>
  <c r="EM72" i="8"/>
  <c r="EM95" i="8"/>
  <c r="EM109" i="8"/>
  <c r="EM102" i="8"/>
  <c r="EM57" i="8"/>
  <c r="EM89" i="8"/>
  <c r="EM97" i="8"/>
  <c r="EN28" i="8"/>
  <c r="EM42" i="8"/>
  <c r="EM122" i="8"/>
  <c r="EM47" i="8"/>
  <c r="EM53" i="8"/>
  <c r="EM65" i="8"/>
  <c r="EM85" i="8"/>
  <c r="EM105" i="8"/>
  <c r="EM124" i="8"/>
  <c r="EM113" i="8"/>
  <c r="EM119" i="8"/>
  <c r="EM40" i="8"/>
  <c r="EM62" i="8"/>
  <c r="EM52" i="8"/>
  <c r="EM61" i="8"/>
  <c r="EM70" i="8"/>
  <c r="EM112" i="8"/>
  <c r="EM114" i="8"/>
  <c r="EM36" i="8"/>
  <c r="EM118" i="8"/>
  <c r="EM32" i="8"/>
  <c r="EM92" i="8"/>
  <c r="EM56" i="8"/>
  <c r="EM51" i="8"/>
  <c r="EM59" i="8"/>
  <c r="EM68" i="8"/>
  <c r="EM110" i="8"/>
  <c r="EM111" i="8"/>
  <c r="EM121" i="8"/>
  <c r="EM43" i="8"/>
  <c r="EM75" i="8"/>
  <c r="EM107" i="8"/>
  <c r="EM41" i="8"/>
  <c r="EM31" i="8"/>
  <c r="EM73" i="8"/>
  <c r="EM84" i="8"/>
  <c r="EM103" i="8"/>
  <c r="EM123" i="8"/>
  <c r="EM33" i="8"/>
  <c r="EM44" i="8"/>
  <c r="EM60" i="8"/>
  <c r="EM82" i="8"/>
  <c r="EM71" i="8"/>
  <c r="EM69" i="8"/>
  <c r="EL139" i="8"/>
  <c r="EN71" i="8" l="1"/>
  <c r="EN51" i="8"/>
  <c r="EN40" i="8"/>
  <c r="EN108" i="8"/>
  <c r="EN87" i="8"/>
  <c r="EN75" i="8"/>
  <c r="EN79" i="8"/>
  <c r="EN55" i="8"/>
  <c r="EN46" i="8"/>
  <c r="EN78" i="8"/>
  <c r="EN62" i="8"/>
  <c r="EN39" i="8"/>
  <c r="EN30" i="8"/>
  <c r="EN31" i="8"/>
  <c r="EN114" i="8"/>
  <c r="EN119" i="8"/>
  <c r="EN100" i="8"/>
  <c r="EN109" i="8"/>
  <c r="EN59" i="8"/>
  <c r="EN96" i="8"/>
  <c r="EN98" i="8"/>
  <c r="EN101" i="8"/>
  <c r="EN103" i="8"/>
  <c r="EN92" i="8"/>
  <c r="EN121" i="8"/>
  <c r="EN123" i="8"/>
  <c r="EN38" i="8"/>
  <c r="EN113" i="8"/>
  <c r="EN110" i="8"/>
  <c r="EN42" i="8"/>
  <c r="EN45" i="8"/>
  <c r="EN56" i="8"/>
  <c r="EN81" i="8"/>
  <c r="EN104" i="8"/>
  <c r="EN37" i="8"/>
  <c r="EN106" i="8"/>
  <c r="EN124" i="8"/>
  <c r="EN43" i="8"/>
  <c r="EN57" i="8"/>
  <c r="EN67" i="8"/>
  <c r="EN89" i="8"/>
  <c r="EN118" i="8"/>
  <c r="EN32" i="8"/>
  <c r="EN47" i="8"/>
  <c r="EN122" i="8"/>
  <c r="EN41" i="8"/>
  <c r="EN53" i="8"/>
  <c r="EN65" i="8"/>
  <c r="EN83" i="8"/>
  <c r="EN82" i="8"/>
  <c r="EN69" i="8"/>
  <c r="EN86" i="8"/>
  <c r="EN34" i="8"/>
  <c r="EN90" i="8"/>
  <c r="EN85" i="8"/>
  <c r="EN29" i="8"/>
  <c r="EN54" i="8"/>
  <c r="EN61" i="8"/>
  <c r="EN77" i="8"/>
  <c r="EN84" i="8"/>
  <c r="EN102" i="8"/>
  <c r="EN48" i="8"/>
  <c r="EN95" i="8"/>
  <c r="EN111" i="8"/>
  <c r="EN115" i="8"/>
  <c r="EN94" i="8"/>
  <c r="EN50" i="8"/>
  <c r="EN60" i="8"/>
  <c r="EN72" i="8"/>
  <c r="EN80" i="8"/>
  <c r="EN107" i="8"/>
  <c r="EN116" i="8"/>
  <c r="EN91" i="8"/>
  <c r="EO28" i="8"/>
  <c r="EN74" i="8"/>
  <c r="EN49" i="8"/>
  <c r="EN33" i="8"/>
  <c r="EN63" i="8"/>
  <c r="EN64" i="8"/>
  <c r="EN68" i="8"/>
  <c r="EN70" i="8"/>
  <c r="EN105" i="8"/>
  <c r="EN112" i="8"/>
  <c r="EN36" i="8"/>
  <c r="EN52" i="8"/>
  <c r="EN73" i="8"/>
  <c r="EN120" i="8"/>
  <c r="EN93" i="8"/>
  <c r="EN66" i="8"/>
  <c r="EN99" i="8"/>
  <c r="EN58" i="8"/>
  <c r="EN76" i="8"/>
  <c r="EN97" i="8"/>
  <c r="EN117" i="8"/>
  <c r="EN35" i="8"/>
  <c r="EN44" i="8"/>
  <c r="EN88" i="8"/>
  <c r="EM139" i="8"/>
  <c r="EN139" i="8" l="1"/>
  <c r="EO78" i="8"/>
  <c r="EO80" i="8"/>
  <c r="EO61" i="8"/>
  <c r="EO49" i="8"/>
  <c r="EO33" i="8"/>
  <c r="EO113" i="8"/>
  <c r="EO122" i="8"/>
  <c r="EO104" i="8"/>
  <c r="EO76" i="8"/>
  <c r="EO115" i="8"/>
  <c r="EO51" i="8"/>
  <c r="EO60" i="8"/>
  <c r="EO55" i="8"/>
  <c r="EO54" i="8"/>
  <c r="EO43" i="8"/>
  <c r="EO58" i="8"/>
  <c r="EO56" i="8"/>
  <c r="EP28" i="8"/>
  <c r="EO101" i="8"/>
  <c r="EO89" i="8"/>
  <c r="EO114" i="8"/>
  <c r="EO116" i="8"/>
  <c r="EO100" i="8"/>
  <c r="EO118" i="8"/>
  <c r="EO47" i="8"/>
  <c r="EO57" i="8"/>
  <c r="EO108" i="8"/>
  <c r="EO72" i="8"/>
  <c r="EO105" i="8"/>
  <c r="EO121" i="8"/>
  <c r="EO41" i="8"/>
  <c r="EO84" i="8"/>
  <c r="EO94" i="8"/>
  <c r="EO79" i="8"/>
  <c r="EO75" i="8"/>
  <c r="EO83" i="8"/>
  <c r="EO119" i="8"/>
  <c r="EO31" i="8"/>
  <c r="EO52" i="8"/>
  <c r="EO92" i="8"/>
  <c r="EO98" i="8"/>
  <c r="EO34" i="8"/>
  <c r="EO59" i="8"/>
  <c r="EO103" i="8"/>
  <c r="EO29" i="8"/>
  <c r="EO36" i="8"/>
  <c r="EO68" i="8"/>
  <c r="EO99" i="8"/>
  <c r="EO110" i="8"/>
  <c r="EO96" i="8"/>
  <c r="EO77" i="8"/>
  <c r="EO42" i="8"/>
  <c r="EO45" i="8"/>
  <c r="EO85" i="8"/>
  <c r="EO32" i="8"/>
  <c r="EO91" i="8"/>
  <c r="EO39" i="8"/>
  <c r="EO112" i="8"/>
  <c r="EO38" i="8"/>
  <c r="EO66" i="8"/>
  <c r="EO71" i="8"/>
  <c r="EO102" i="8"/>
  <c r="EO124" i="8"/>
  <c r="EO40" i="8"/>
  <c r="EO97" i="8"/>
  <c r="EO93" i="8"/>
  <c r="EO123" i="8"/>
  <c r="EO117" i="8"/>
  <c r="EO50" i="8"/>
  <c r="EO69" i="8"/>
  <c r="EO82" i="8"/>
  <c r="EO106" i="8"/>
  <c r="EO37" i="8"/>
  <c r="EO46" i="8"/>
  <c r="EO109" i="8"/>
  <c r="EO64" i="8"/>
  <c r="EO73" i="8"/>
  <c r="EO30" i="8"/>
  <c r="EO67" i="8"/>
  <c r="EO81" i="8"/>
  <c r="EO90" i="8"/>
  <c r="EO35" i="8"/>
  <c r="EO44" i="8"/>
  <c r="EO48" i="8"/>
  <c r="EO53" i="8"/>
  <c r="EO88" i="8"/>
  <c r="EO120" i="8"/>
  <c r="EO107" i="8"/>
  <c r="EO63" i="8"/>
  <c r="EO74" i="8"/>
  <c r="EO87" i="8"/>
  <c r="EO95" i="8"/>
  <c r="EO111" i="8"/>
  <c r="EO65" i="8"/>
  <c r="EO70" i="8"/>
  <c r="EO62" i="8"/>
  <c r="EO86" i="8"/>
  <c r="EP91" i="8" l="1"/>
  <c r="EP81" i="8"/>
  <c r="EP59" i="8"/>
  <c r="EP46" i="8"/>
  <c r="EP36" i="8"/>
  <c r="EP122" i="8"/>
  <c r="EP104" i="8"/>
  <c r="EP112" i="8"/>
  <c r="EP89" i="8"/>
  <c r="EP74" i="8"/>
  <c r="EP65" i="8"/>
  <c r="EP55" i="8"/>
  <c r="EP56" i="8"/>
  <c r="EP50" i="8"/>
  <c r="EP45" i="8"/>
  <c r="EP73" i="8"/>
  <c r="EP99" i="8"/>
  <c r="EP72" i="8"/>
  <c r="EP93" i="8"/>
  <c r="EP84" i="8"/>
  <c r="EP95" i="8"/>
  <c r="EP101" i="8"/>
  <c r="EP103" i="8"/>
  <c r="EP47" i="8"/>
  <c r="EP87" i="8"/>
  <c r="EP79" i="8"/>
  <c r="EP52" i="8"/>
  <c r="EP67" i="8"/>
  <c r="EP94" i="8"/>
  <c r="EP106" i="8"/>
  <c r="EP117" i="8"/>
  <c r="EP110" i="8"/>
  <c r="EP64" i="8"/>
  <c r="EP37" i="8"/>
  <c r="EP62" i="8"/>
  <c r="EP61" i="8"/>
  <c r="EP92" i="8"/>
  <c r="EP102" i="8"/>
  <c r="EP120" i="8"/>
  <c r="EP32" i="8"/>
  <c r="EP124" i="8"/>
  <c r="EP88" i="8"/>
  <c r="EP30" i="8"/>
  <c r="EP54" i="8"/>
  <c r="EP77" i="8"/>
  <c r="EP97" i="8"/>
  <c r="EP116" i="8"/>
  <c r="EP111" i="8"/>
  <c r="EP75" i="8"/>
  <c r="EP49" i="8"/>
  <c r="EP34" i="8"/>
  <c r="EP41" i="8"/>
  <c r="EP78" i="8"/>
  <c r="EP35" i="8"/>
  <c r="EP85" i="8"/>
  <c r="EP108" i="8"/>
  <c r="EP90" i="8"/>
  <c r="EP114" i="8"/>
  <c r="EP123" i="8"/>
  <c r="EP43" i="8"/>
  <c r="EP83" i="8"/>
  <c r="EP58" i="8"/>
  <c r="EP70" i="8"/>
  <c r="EP63" i="8"/>
  <c r="EP100" i="8"/>
  <c r="EP98" i="8"/>
  <c r="EP109" i="8"/>
  <c r="EP119" i="8"/>
  <c r="EP33" i="8"/>
  <c r="EP57" i="8"/>
  <c r="EP113" i="8"/>
  <c r="EP71" i="8"/>
  <c r="EP96" i="8"/>
  <c r="EP51" i="8"/>
  <c r="EP69" i="8"/>
  <c r="EP82" i="8"/>
  <c r="EP121" i="8"/>
  <c r="EP31" i="8"/>
  <c r="EP38" i="8"/>
  <c r="EP68" i="8"/>
  <c r="EP40" i="8"/>
  <c r="EP107" i="8"/>
  <c r="EP105" i="8"/>
  <c r="EP29" i="8"/>
  <c r="EP66" i="8"/>
  <c r="EP48" i="8"/>
  <c r="EP115" i="8"/>
  <c r="EP53" i="8"/>
  <c r="EQ28" i="8"/>
  <c r="EP39" i="8"/>
  <c r="EP44" i="8"/>
  <c r="EP76" i="8"/>
  <c r="EP86" i="8"/>
  <c r="EP80" i="8"/>
  <c r="EP60" i="8"/>
  <c r="EP118" i="8"/>
  <c r="EP42" i="8"/>
  <c r="EO139" i="8"/>
  <c r="EQ101" i="8" l="1"/>
  <c r="EQ94" i="8"/>
  <c r="EQ83" i="8"/>
  <c r="EQ64" i="8"/>
  <c r="EQ50" i="8"/>
  <c r="EQ36" i="8"/>
  <c r="EQ33" i="8"/>
  <c r="EQ90" i="8"/>
  <c r="EQ102" i="8"/>
  <c r="EQ74" i="8"/>
  <c r="EQ80" i="8"/>
  <c r="EQ70" i="8"/>
  <c r="EQ68" i="8"/>
  <c r="EQ69" i="8"/>
  <c r="EQ61" i="8"/>
  <c r="EQ38" i="8"/>
  <c r="EQ98" i="8"/>
  <c r="EQ103" i="8"/>
  <c r="EQ106" i="8"/>
  <c r="EQ105" i="8"/>
  <c r="EQ109" i="8"/>
  <c r="EQ116" i="8"/>
  <c r="EQ118" i="8"/>
  <c r="EQ71" i="8"/>
  <c r="EQ52" i="8"/>
  <c r="EQ104" i="8"/>
  <c r="EQ62" i="8"/>
  <c r="EQ53" i="8"/>
  <c r="EQ59" i="8"/>
  <c r="EQ95" i="8"/>
  <c r="EQ97" i="8"/>
  <c r="EQ115" i="8"/>
  <c r="EQ79" i="8"/>
  <c r="EQ51" i="8"/>
  <c r="EQ56" i="8"/>
  <c r="EQ91" i="8"/>
  <c r="EQ100" i="8"/>
  <c r="EQ111" i="8"/>
  <c r="EQ93" i="8"/>
  <c r="EQ122" i="8"/>
  <c r="EQ65" i="8"/>
  <c r="EQ66" i="8"/>
  <c r="EQ96" i="8"/>
  <c r="EQ107" i="8"/>
  <c r="EQ123" i="8"/>
  <c r="EQ99" i="8"/>
  <c r="EQ45" i="8"/>
  <c r="EQ31" i="8"/>
  <c r="EQ112" i="8"/>
  <c r="EQ44" i="8"/>
  <c r="EQ120" i="8"/>
  <c r="EQ63" i="8"/>
  <c r="EQ86" i="8"/>
  <c r="EQ75" i="8"/>
  <c r="EQ89" i="8"/>
  <c r="EQ110" i="8"/>
  <c r="EQ119" i="8"/>
  <c r="EQ43" i="8"/>
  <c r="EQ73" i="8"/>
  <c r="EQ57" i="8"/>
  <c r="EQ35" i="8"/>
  <c r="EQ58" i="8"/>
  <c r="EQ85" i="8"/>
  <c r="EQ55" i="8"/>
  <c r="EQ42" i="8"/>
  <c r="EQ76" i="8"/>
  <c r="EQ108" i="8"/>
  <c r="EQ121" i="8"/>
  <c r="EQ34" i="8"/>
  <c r="ER28" i="8"/>
  <c r="EQ88" i="8"/>
  <c r="EQ81" i="8"/>
  <c r="EQ60" i="8"/>
  <c r="EQ37" i="8"/>
  <c r="EQ67" i="8"/>
  <c r="EQ49" i="8"/>
  <c r="EQ84" i="8"/>
  <c r="EQ92" i="8"/>
  <c r="EQ117" i="8"/>
  <c r="EQ32" i="8"/>
  <c r="EQ41" i="8"/>
  <c r="EQ82" i="8"/>
  <c r="EQ114" i="8"/>
  <c r="EQ124" i="8"/>
  <c r="EQ113" i="8"/>
  <c r="EQ40" i="8"/>
  <c r="EQ47" i="8"/>
  <c r="EQ87" i="8"/>
  <c r="EQ30" i="8"/>
  <c r="EQ39" i="8"/>
  <c r="EQ46" i="8"/>
  <c r="EQ77" i="8"/>
  <c r="EQ29" i="8"/>
  <c r="EQ72" i="8"/>
  <c r="EQ54" i="8"/>
  <c r="EQ78" i="8"/>
  <c r="EQ48" i="8"/>
  <c r="EP139" i="8"/>
  <c r="ER51" i="8" l="1"/>
  <c r="ER37" i="8"/>
  <c r="ER116" i="8"/>
  <c r="ER90" i="8"/>
  <c r="ER87" i="8"/>
  <c r="ER79" i="8"/>
  <c r="ER101" i="8"/>
  <c r="ER78" i="8"/>
  <c r="ER98" i="8"/>
  <c r="ER36" i="8"/>
  <c r="ER112" i="8"/>
  <c r="ER86" i="8"/>
  <c r="ER107" i="8"/>
  <c r="ER111" i="8"/>
  <c r="ER94" i="8"/>
  <c r="ER52" i="8"/>
  <c r="ER82" i="8"/>
  <c r="ER104" i="8"/>
  <c r="ER106" i="8"/>
  <c r="ER31" i="8"/>
  <c r="ER32" i="8"/>
  <c r="ER35" i="8"/>
  <c r="ER34" i="8"/>
  <c r="ER65" i="8"/>
  <c r="ES28" i="8"/>
  <c r="ER38" i="8"/>
  <c r="ER62" i="8"/>
  <c r="ER54" i="8"/>
  <c r="ER61" i="8"/>
  <c r="ER77" i="8"/>
  <c r="ER113" i="8"/>
  <c r="ER110" i="8"/>
  <c r="ER89" i="8"/>
  <c r="ER119" i="8"/>
  <c r="ER69" i="8"/>
  <c r="ER85" i="8"/>
  <c r="ER63" i="8"/>
  <c r="ER60" i="8"/>
  <c r="ER74" i="8"/>
  <c r="ER84" i="8"/>
  <c r="ER92" i="8"/>
  <c r="ER48" i="8"/>
  <c r="ER29" i="8"/>
  <c r="ER45" i="8"/>
  <c r="ER64" i="8"/>
  <c r="ER70" i="8"/>
  <c r="ER80" i="8"/>
  <c r="ER102" i="8"/>
  <c r="ER123" i="8"/>
  <c r="ER57" i="8"/>
  <c r="ER67" i="8"/>
  <c r="ER103" i="8"/>
  <c r="ER41" i="8"/>
  <c r="ER55" i="8"/>
  <c r="ER43" i="8"/>
  <c r="ER100" i="8"/>
  <c r="ER66" i="8"/>
  <c r="ER76" i="8"/>
  <c r="ER97" i="8"/>
  <c r="ER121" i="8"/>
  <c r="ER124" i="8"/>
  <c r="ER118" i="8"/>
  <c r="ER91" i="8"/>
  <c r="ER83" i="8"/>
  <c r="ER81" i="8"/>
  <c r="ER109" i="8"/>
  <c r="ER75" i="8"/>
  <c r="ER95" i="8"/>
  <c r="ER117" i="8"/>
  <c r="ER122" i="8"/>
  <c r="ER46" i="8"/>
  <c r="ER50" i="8"/>
  <c r="ER33" i="8"/>
  <c r="ER115" i="8"/>
  <c r="ER99" i="8"/>
  <c r="ER30" i="8"/>
  <c r="ER49" i="8"/>
  <c r="ER68" i="8"/>
  <c r="ER93" i="8"/>
  <c r="ER105" i="8"/>
  <c r="ER120" i="8"/>
  <c r="ER44" i="8"/>
  <c r="ER72" i="8"/>
  <c r="ER59" i="8"/>
  <c r="ER71" i="8"/>
  <c r="ER40" i="8"/>
  <c r="ER88" i="8"/>
  <c r="ER53" i="8"/>
  <c r="ER58" i="8"/>
  <c r="ER96" i="8"/>
  <c r="ER39" i="8"/>
  <c r="ER47" i="8"/>
  <c r="ER56" i="8"/>
  <c r="ER42" i="8"/>
  <c r="ER114" i="8"/>
  <c r="ER108" i="8"/>
  <c r="ER73" i="8"/>
  <c r="EQ139" i="8"/>
  <c r="ES60" i="8" l="1"/>
  <c r="ES50" i="8"/>
  <c r="ES31" i="8"/>
  <c r="ES104" i="8"/>
  <c r="ES100" i="8"/>
  <c r="ES77" i="8"/>
  <c r="ES106" i="8"/>
  <c r="ES37" i="8"/>
  <c r="ES80" i="8"/>
  <c r="ES86" i="8"/>
  <c r="ES121" i="8"/>
  <c r="ES102" i="8"/>
  <c r="ES111" i="8"/>
  <c r="ES110" i="8"/>
  <c r="ES101" i="8"/>
  <c r="ES66" i="8"/>
  <c r="ES39" i="8"/>
  <c r="ES87" i="8"/>
  <c r="ES123" i="8"/>
  <c r="ES33" i="8"/>
  <c r="ES35" i="8"/>
  <c r="ES36" i="8"/>
  <c r="ES92" i="8"/>
  <c r="ES99" i="8"/>
  <c r="ES118" i="8"/>
  <c r="ES29" i="8"/>
  <c r="ES47" i="8"/>
  <c r="ES56" i="8"/>
  <c r="ES61" i="8"/>
  <c r="ET28" i="8"/>
  <c r="ES91" i="8"/>
  <c r="ES48" i="8"/>
  <c r="ES103" i="8"/>
  <c r="ES38" i="8"/>
  <c r="ES55" i="8"/>
  <c r="ES68" i="8"/>
  <c r="ES78" i="8"/>
  <c r="ES83" i="8"/>
  <c r="ES117" i="8"/>
  <c r="ES59" i="8"/>
  <c r="ES40" i="8"/>
  <c r="ES45" i="8"/>
  <c r="ES41" i="8"/>
  <c r="ES62" i="8"/>
  <c r="ES54" i="8"/>
  <c r="ES65" i="8"/>
  <c r="ES76" i="8"/>
  <c r="ES96" i="8"/>
  <c r="ES114" i="8"/>
  <c r="ES105" i="8"/>
  <c r="ES79" i="8"/>
  <c r="ES124" i="8"/>
  <c r="ES93" i="8"/>
  <c r="ES81" i="8"/>
  <c r="ES73" i="8"/>
  <c r="ES63" i="8"/>
  <c r="ES64" i="8"/>
  <c r="ES71" i="8"/>
  <c r="ES75" i="8"/>
  <c r="ES113" i="8"/>
  <c r="ES32" i="8"/>
  <c r="ES51" i="8"/>
  <c r="ES43" i="8"/>
  <c r="ES88" i="8"/>
  <c r="ES72" i="8"/>
  <c r="ES109" i="8"/>
  <c r="ES108" i="8"/>
  <c r="ES57" i="8"/>
  <c r="ES52" i="8"/>
  <c r="ES69" i="8"/>
  <c r="ES84" i="8"/>
  <c r="ES94" i="8"/>
  <c r="ES115" i="8"/>
  <c r="ES70" i="8"/>
  <c r="ES119" i="8"/>
  <c r="ES44" i="8"/>
  <c r="ES34" i="8"/>
  <c r="ES107" i="8"/>
  <c r="ES30" i="8"/>
  <c r="ES74" i="8"/>
  <c r="ES82" i="8"/>
  <c r="ES90" i="8"/>
  <c r="ES112" i="8"/>
  <c r="ES122" i="8"/>
  <c r="ES116" i="8"/>
  <c r="ES46" i="8"/>
  <c r="ES97" i="8"/>
  <c r="ES53" i="8"/>
  <c r="ES49" i="8"/>
  <c r="ES120" i="8"/>
  <c r="ES85" i="8"/>
  <c r="ES95" i="8"/>
  <c r="ES98" i="8"/>
  <c r="ES42" i="8"/>
  <c r="ES58" i="8"/>
  <c r="ES89" i="8"/>
  <c r="ES67" i="8"/>
  <c r="ER139" i="8"/>
  <c r="ET79" i="8" l="1"/>
  <c r="ET65" i="8"/>
  <c r="ET44" i="8"/>
  <c r="ET33" i="8"/>
  <c r="ET120" i="8"/>
  <c r="ET106" i="8"/>
  <c r="ET83" i="8"/>
  <c r="ET117" i="8"/>
  <c r="ET66" i="8"/>
  <c r="ET98" i="8"/>
  <c r="ET112" i="8"/>
  <c r="ET89" i="8"/>
  <c r="ET90" i="8"/>
  <c r="ET86" i="8"/>
  <c r="ET78" i="8"/>
  <c r="ET95" i="8"/>
  <c r="ET108" i="8"/>
  <c r="ET81" i="8"/>
  <c r="ET84" i="8"/>
  <c r="ET88" i="8"/>
  <c r="ET99" i="8"/>
  <c r="ET104" i="8"/>
  <c r="ET103" i="8"/>
  <c r="ET102" i="8"/>
  <c r="ET57" i="8"/>
  <c r="ET35" i="8"/>
  <c r="ET113" i="8"/>
  <c r="ET96" i="8"/>
  <c r="ET85" i="8"/>
  <c r="ET91" i="8"/>
  <c r="ET93" i="8"/>
  <c r="ET101" i="8"/>
  <c r="ET122" i="8"/>
  <c r="ET105" i="8"/>
  <c r="ET71" i="8"/>
  <c r="ET118" i="8"/>
  <c r="ET51" i="8"/>
  <c r="ET114" i="8"/>
  <c r="ET116" i="8"/>
  <c r="ET121" i="8"/>
  <c r="ET124" i="8"/>
  <c r="ET40" i="8"/>
  <c r="ET97" i="8"/>
  <c r="ET70" i="8"/>
  <c r="ET63" i="8"/>
  <c r="ET58" i="8"/>
  <c r="ET74" i="8"/>
  <c r="ET87" i="8"/>
  <c r="ET92" i="8"/>
  <c r="ET94" i="8"/>
  <c r="ET123" i="8"/>
  <c r="ET109" i="8"/>
  <c r="ET115" i="8"/>
  <c r="ET36" i="8"/>
  <c r="ET32" i="8"/>
  <c r="ET110" i="8"/>
  <c r="ET30" i="8"/>
  <c r="ET37" i="8"/>
  <c r="ET54" i="8"/>
  <c r="ET38" i="8"/>
  <c r="ET76" i="8"/>
  <c r="ET82" i="8"/>
  <c r="ET111" i="8"/>
  <c r="ET29" i="8"/>
  <c r="ET31" i="8"/>
  <c r="ET43" i="8"/>
  <c r="ET47" i="8"/>
  <c r="ET49" i="8"/>
  <c r="ET55" i="8"/>
  <c r="EU28" i="8"/>
  <c r="ET42" i="8"/>
  <c r="ET100" i="8"/>
  <c r="ET61" i="8"/>
  <c r="ET119" i="8"/>
  <c r="ET72" i="8"/>
  <c r="ET48" i="8"/>
  <c r="ET62" i="8"/>
  <c r="ET39" i="8"/>
  <c r="ET41" i="8"/>
  <c r="ET46" i="8"/>
  <c r="ET50" i="8"/>
  <c r="ET75" i="8"/>
  <c r="ET69" i="8"/>
  <c r="ET107" i="8"/>
  <c r="ET56" i="8"/>
  <c r="ET34" i="8"/>
  <c r="ET80" i="8"/>
  <c r="ET52" i="8"/>
  <c r="ET53" i="8"/>
  <c r="ET59" i="8"/>
  <c r="ET68" i="8"/>
  <c r="ET64" i="8"/>
  <c r="ET45" i="8"/>
  <c r="ET60" i="8"/>
  <c r="ET67" i="8"/>
  <c r="ET73" i="8"/>
  <c r="ET77" i="8"/>
  <c r="ES139" i="8"/>
  <c r="EU92" i="8" l="1"/>
  <c r="EU78" i="8"/>
  <c r="EU57" i="8"/>
  <c r="EU44" i="8"/>
  <c r="EU34" i="8"/>
  <c r="EU116" i="8"/>
  <c r="EU82" i="8"/>
  <c r="EU35" i="8"/>
  <c r="EU55" i="8"/>
  <c r="EU122" i="8"/>
  <c r="EU107" i="8"/>
  <c r="EU110" i="8"/>
  <c r="EU100" i="8"/>
  <c r="EU86" i="8"/>
  <c r="EV28" i="8"/>
  <c r="EU113" i="8"/>
  <c r="EU74" i="8"/>
  <c r="EU84" i="8"/>
  <c r="EU94" i="8"/>
  <c r="EU96" i="8"/>
  <c r="EU97" i="8"/>
  <c r="EU103" i="8"/>
  <c r="EU33" i="8"/>
  <c r="EU42" i="8"/>
  <c r="EU46" i="8"/>
  <c r="EU101" i="8"/>
  <c r="EU85" i="8"/>
  <c r="EU75" i="8"/>
  <c r="EU106" i="8"/>
  <c r="EU108" i="8"/>
  <c r="EU111" i="8"/>
  <c r="EU114" i="8"/>
  <c r="EU117" i="8"/>
  <c r="EU71" i="8"/>
  <c r="EU52" i="8"/>
  <c r="EU60" i="8"/>
  <c r="EU119" i="8"/>
  <c r="EU93" i="8"/>
  <c r="EU64" i="8"/>
  <c r="EU105" i="8"/>
  <c r="EU115" i="8"/>
  <c r="EU123" i="8"/>
  <c r="EU36" i="8"/>
  <c r="EU81" i="8"/>
  <c r="EU53" i="8"/>
  <c r="EU54" i="8"/>
  <c r="EU112" i="8"/>
  <c r="EU83" i="8"/>
  <c r="EU90" i="8"/>
  <c r="EU66" i="8"/>
  <c r="EU99" i="8"/>
  <c r="EU30" i="8"/>
  <c r="EU31" i="8"/>
  <c r="EU32" i="8"/>
  <c r="EU41" i="8"/>
  <c r="EU43" i="8"/>
  <c r="EU109" i="8"/>
  <c r="EU98" i="8"/>
  <c r="EU124" i="8"/>
  <c r="EU69" i="8"/>
  <c r="EU68" i="8"/>
  <c r="EU91" i="8"/>
  <c r="EU118" i="8"/>
  <c r="EU62" i="8"/>
  <c r="EU37" i="8"/>
  <c r="EU39" i="8"/>
  <c r="EU40" i="8"/>
  <c r="EU48" i="8"/>
  <c r="EU59" i="8"/>
  <c r="EU38" i="8"/>
  <c r="EU120" i="8"/>
  <c r="EU51" i="8"/>
  <c r="EU88" i="8"/>
  <c r="EU87" i="8"/>
  <c r="EU47" i="8"/>
  <c r="EU95" i="8"/>
  <c r="EU63" i="8"/>
  <c r="EU49" i="8"/>
  <c r="EU50" i="8"/>
  <c r="EU56" i="8"/>
  <c r="EU58" i="8"/>
  <c r="EU80" i="8"/>
  <c r="EU73" i="8"/>
  <c r="EU45" i="8"/>
  <c r="EU67" i="8"/>
  <c r="EU102" i="8"/>
  <c r="EU89" i="8"/>
  <c r="EU104" i="8"/>
  <c r="EU61" i="8"/>
  <c r="EU65" i="8"/>
  <c r="EU70" i="8"/>
  <c r="EU77" i="8"/>
  <c r="EU79" i="8"/>
  <c r="EU29" i="8"/>
  <c r="EU72" i="8"/>
  <c r="EU121" i="8"/>
  <c r="EU76" i="8"/>
  <c r="ET139" i="8"/>
  <c r="EU139" i="8" l="1"/>
  <c r="EV63" i="8"/>
  <c r="EV118" i="8"/>
  <c r="EV85" i="8"/>
  <c r="EV51" i="8"/>
  <c r="EV50" i="8"/>
  <c r="EV40" i="8"/>
  <c r="EV104" i="8"/>
  <c r="EV100" i="8"/>
  <c r="EV84" i="8"/>
  <c r="EV39" i="8"/>
  <c r="EV48" i="8"/>
  <c r="EW28" i="8"/>
  <c r="EV38" i="8"/>
  <c r="EV94" i="8"/>
  <c r="EV117" i="8"/>
  <c r="EV88" i="8"/>
  <c r="EV107" i="8"/>
  <c r="EV109" i="8"/>
  <c r="EV81" i="8"/>
  <c r="EV113" i="8"/>
  <c r="EV35" i="8"/>
  <c r="EV32" i="8"/>
  <c r="EV114" i="8"/>
  <c r="EV95" i="8"/>
  <c r="EV82" i="8"/>
  <c r="EV115" i="8"/>
  <c r="EV124" i="8"/>
  <c r="EV119" i="8"/>
  <c r="EV123" i="8"/>
  <c r="EV102" i="8"/>
  <c r="EV105" i="8"/>
  <c r="EV108" i="8"/>
  <c r="EV69" i="8"/>
  <c r="EV31" i="8"/>
  <c r="EV112" i="8"/>
  <c r="EV47" i="8"/>
  <c r="EV55" i="8"/>
  <c r="EV30" i="8"/>
  <c r="EV90" i="8"/>
  <c r="EV99" i="8"/>
  <c r="EV73" i="8"/>
  <c r="EV75" i="8"/>
  <c r="EV97" i="8"/>
  <c r="EV91" i="8"/>
  <c r="EV101" i="8"/>
  <c r="EV87" i="8"/>
  <c r="EV37" i="8"/>
  <c r="EV43" i="8"/>
  <c r="EV42" i="8"/>
  <c r="EV33" i="8"/>
  <c r="EV122" i="8"/>
  <c r="EV46" i="8"/>
  <c r="EV58" i="8"/>
  <c r="EV110" i="8"/>
  <c r="EV68" i="8"/>
  <c r="EV59" i="8"/>
  <c r="EV71" i="8"/>
  <c r="EV93" i="8"/>
  <c r="EV116" i="8"/>
  <c r="EV103" i="8"/>
  <c r="EV62" i="8"/>
  <c r="EV54" i="8"/>
  <c r="EV53" i="8"/>
  <c r="EV45" i="8"/>
  <c r="EV41" i="8"/>
  <c r="EV34" i="8"/>
  <c r="EV56" i="8"/>
  <c r="EV89" i="8"/>
  <c r="EV36" i="8"/>
  <c r="EV70" i="8"/>
  <c r="EV111" i="8"/>
  <c r="EV83" i="8"/>
  <c r="EV98" i="8"/>
  <c r="EV106" i="8"/>
  <c r="EV64" i="8"/>
  <c r="EV60" i="8"/>
  <c r="EV65" i="8"/>
  <c r="EV57" i="8"/>
  <c r="EV49" i="8"/>
  <c r="EV44" i="8"/>
  <c r="EV74" i="8"/>
  <c r="EV96" i="8"/>
  <c r="EV86" i="8"/>
  <c r="EV66" i="8"/>
  <c r="EV29" i="8"/>
  <c r="EV52" i="8"/>
  <c r="EV78" i="8"/>
  <c r="EV72" i="8"/>
  <c r="EV76" i="8"/>
  <c r="EV77" i="8"/>
  <c r="EV61" i="8"/>
  <c r="EV92" i="8"/>
  <c r="EV120" i="8"/>
  <c r="EV67" i="8"/>
  <c r="EV121" i="8"/>
  <c r="EV79" i="8"/>
  <c r="EV80" i="8"/>
  <c r="EW85" i="8" l="1"/>
  <c r="EW53" i="8"/>
  <c r="EW96" i="8"/>
  <c r="EW43" i="8"/>
  <c r="EW99" i="8"/>
  <c r="EW86" i="8"/>
  <c r="EW121" i="8"/>
  <c r="EW31" i="8"/>
  <c r="EW41" i="8"/>
  <c r="EW32" i="8"/>
  <c r="EW62" i="8"/>
  <c r="EW81" i="8"/>
  <c r="EW65" i="8"/>
  <c r="EW35" i="8"/>
  <c r="EW44" i="8"/>
  <c r="EW114" i="8"/>
  <c r="EW36" i="8"/>
  <c r="EW54" i="8"/>
  <c r="EW122" i="8"/>
  <c r="EW64" i="8"/>
  <c r="EW68" i="8"/>
  <c r="EW51" i="8"/>
  <c r="EW60" i="8"/>
  <c r="EW52" i="8"/>
  <c r="EW88" i="8"/>
  <c r="EW76" i="8"/>
  <c r="EW42" i="8"/>
  <c r="EW66" i="8"/>
  <c r="EW119" i="8"/>
  <c r="EW50" i="8"/>
  <c r="EW71" i="8"/>
  <c r="EW40" i="8"/>
  <c r="EW93" i="8"/>
  <c r="EW84" i="8"/>
  <c r="EW92" i="8"/>
  <c r="EW75" i="8"/>
  <c r="EW30" i="8"/>
  <c r="EW49" i="8"/>
  <c r="EW105" i="8"/>
  <c r="EW120" i="8"/>
  <c r="EW100" i="8"/>
  <c r="EW113" i="8"/>
  <c r="EW67" i="8"/>
  <c r="EW124" i="8"/>
  <c r="EW29" i="8"/>
  <c r="EW74" i="8"/>
  <c r="EW107" i="8"/>
  <c r="EW98" i="8"/>
  <c r="EW58" i="8"/>
  <c r="EW97" i="8"/>
  <c r="EW39" i="8"/>
  <c r="EW72" i="8"/>
  <c r="EW109" i="8"/>
  <c r="EW57" i="8"/>
  <c r="EW108" i="8"/>
  <c r="EW33" i="8"/>
  <c r="EW95" i="8"/>
  <c r="EW73" i="8"/>
  <c r="EW63" i="8"/>
  <c r="EX28" i="8"/>
  <c r="EW77" i="8"/>
  <c r="EW61" i="8"/>
  <c r="EW56" i="8"/>
  <c r="EW80" i="8"/>
  <c r="EW112" i="8"/>
  <c r="EW48" i="8"/>
  <c r="EW83" i="8"/>
  <c r="EW102" i="8"/>
  <c r="EW94" i="8"/>
  <c r="EW87" i="8"/>
  <c r="EW110" i="8"/>
  <c r="EW38" i="8"/>
  <c r="EW34" i="8"/>
  <c r="EW111" i="8"/>
  <c r="EW91" i="8"/>
  <c r="EW69" i="8"/>
  <c r="EW78" i="8"/>
  <c r="EW89" i="8"/>
  <c r="EW117" i="8"/>
  <c r="EW70" i="8"/>
  <c r="EW103" i="8"/>
  <c r="EW118" i="8"/>
  <c r="EW106" i="8"/>
  <c r="EW82" i="8"/>
  <c r="EW79" i="8"/>
  <c r="EW116" i="8"/>
  <c r="EW59" i="8"/>
  <c r="EW45" i="8"/>
  <c r="EW55" i="8"/>
  <c r="EW90" i="8"/>
  <c r="EW104" i="8"/>
  <c r="EW115" i="8"/>
  <c r="EW37" i="8"/>
  <c r="EW101" i="8"/>
  <c r="EW123" i="8"/>
  <c r="EW47" i="8"/>
  <c r="EW46" i="8"/>
  <c r="EV139" i="8"/>
  <c r="EX112" i="8" l="1"/>
  <c r="EX58" i="8"/>
  <c r="EX47" i="8"/>
  <c r="EX79" i="8"/>
  <c r="EX30" i="8"/>
  <c r="EX75" i="8"/>
  <c r="EX101" i="8"/>
  <c r="EX100" i="8"/>
  <c r="EX110" i="8"/>
  <c r="EX56" i="8"/>
  <c r="EX42" i="8"/>
  <c r="EX93" i="8"/>
  <c r="EX92" i="8"/>
  <c r="EX114" i="8"/>
  <c r="EX29" i="8"/>
  <c r="EX119" i="8"/>
  <c r="EX120" i="8"/>
  <c r="EX55" i="8"/>
  <c r="EX78" i="8"/>
  <c r="EX109" i="8"/>
  <c r="EX38" i="8"/>
  <c r="EX36" i="8"/>
  <c r="EX66" i="8"/>
  <c r="EX51" i="8"/>
  <c r="EX121" i="8"/>
  <c r="EX97" i="8"/>
  <c r="EX40" i="8"/>
  <c r="EX32" i="8"/>
  <c r="EX33" i="8"/>
  <c r="EX123" i="8"/>
  <c r="EX76" i="8"/>
  <c r="EX102" i="8"/>
  <c r="EX52" i="8"/>
  <c r="EX44" i="8"/>
  <c r="EX83" i="8"/>
  <c r="EX63" i="8"/>
  <c r="EX105" i="8"/>
  <c r="EX35" i="8"/>
  <c r="EX31" i="8"/>
  <c r="EX90" i="8"/>
  <c r="EX96" i="8"/>
  <c r="EX85" i="8"/>
  <c r="EX89" i="8"/>
  <c r="EX108" i="8"/>
  <c r="EX62" i="8"/>
  <c r="EX94" i="8"/>
  <c r="EX43" i="8"/>
  <c r="EX88" i="8"/>
  <c r="EX117" i="8"/>
  <c r="EY28" i="8"/>
  <c r="EX111" i="8"/>
  <c r="EX61" i="8"/>
  <c r="EX53" i="8"/>
  <c r="EX46" i="8"/>
  <c r="EX41" i="8"/>
  <c r="EX84" i="8"/>
  <c r="EX39" i="8"/>
  <c r="EX73" i="8"/>
  <c r="EX77" i="8"/>
  <c r="EX34" i="8"/>
  <c r="EX45" i="8"/>
  <c r="EX118" i="8"/>
  <c r="EX87" i="8"/>
  <c r="EX68" i="8"/>
  <c r="EX72" i="8"/>
  <c r="EX115" i="8"/>
  <c r="EX67" i="8"/>
  <c r="EX65" i="8"/>
  <c r="EX54" i="8"/>
  <c r="EX48" i="8"/>
  <c r="EX124" i="8"/>
  <c r="EX82" i="8"/>
  <c r="EX70" i="8"/>
  <c r="EX106" i="8"/>
  <c r="EX116" i="8"/>
  <c r="EX113" i="8"/>
  <c r="EX80" i="8"/>
  <c r="EX91" i="8"/>
  <c r="EX37" i="8"/>
  <c r="EX81" i="8"/>
  <c r="EX71" i="8"/>
  <c r="EX59" i="8"/>
  <c r="EX64" i="8"/>
  <c r="EX50" i="8"/>
  <c r="EX86" i="8"/>
  <c r="EX49" i="8"/>
  <c r="EX74" i="8"/>
  <c r="EX107" i="8"/>
  <c r="EX95" i="8"/>
  <c r="EX60" i="8"/>
  <c r="EX57" i="8"/>
  <c r="EX104" i="8"/>
  <c r="EX98" i="8"/>
  <c r="EX69" i="8"/>
  <c r="EX122" i="8"/>
  <c r="EX99" i="8"/>
  <c r="EX103" i="8"/>
  <c r="EW139" i="8"/>
  <c r="EY114" i="8" l="1"/>
  <c r="EY60" i="8"/>
  <c r="EY43" i="8"/>
  <c r="EY88" i="8"/>
  <c r="EY53" i="8"/>
  <c r="EY39" i="8"/>
  <c r="EY117" i="8"/>
  <c r="EY96" i="8"/>
  <c r="EY112" i="8"/>
  <c r="EY74" i="8"/>
  <c r="EY81" i="8"/>
  <c r="EY116" i="8"/>
  <c r="EY79" i="8"/>
  <c r="EY29" i="8"/>
  <c r="EY49" i="8"/>
  <c r="EY40" i="8"/>
  <c r="EY121" i="8"/>
  <c r="EY91" i="8"/>
  <c r="EY93" i="8"/>
  <c r="EY36" i="8"/>
  <c r="EY56" i="8"/>
  <c r="EY42" i="8"/>
  <c r="EY46" i="8"/>
  <c r="EY52" i="8"/>
  <c r="EY85" i="8"/>
  <c r="EY90" i="8"/>
  <c r="EY124" i="8"/>
  <c r="EY82" i="8"/>
  <c r="EY59" i="8"/>
  <c r="EY51" i="8"/>
  <c r="EY48" i="8"/>
  <c r="EY32" i="8"/>
  <c r="EY109" i="8"/>
  <c r="EY120" i="8"/>
  <c r="EY75" i="8"/>
  <c r="EY83" i="8"/>
  <c r="EY33" i="8"/>
  <c r="EY80" i="8"/>
  <c r="EY58" i="8"/>
  <c r="EY102" i="8"/>
  <c r="EY115" i="8"/>
  <c r="EY98" i="8"/>
  <c r="EY73" i="8"/>
  <c r="EY41" i="8"/>
  <c r="EY104" i="8"/>
  <c r="EY105" i="8"/>
  <c r="EY100" i="8"/>
  <c r="EY47" i="8"/>
  <c r="EZ28" i="8"/>
  <c r="EY111" i="8"/>
  <c r="EY68" i="8"/>
  <c r="EY66" i="8"/>
  <c r="EY54" i="8"/>
  <c r="EY50" i="8"/>
  <c r="EY44" i="8"/>
  <c r="EY78" i="8"/>
  <c r="EY94" i="8"/>
  <c r="EY61" i="8"/>
  <c r="EY110" i="8"/>
  <c r="EY71" i="8"/>
  <c r="EY31" i="8"/>
  <c r="EY101" i="8"/>
  <c r="EY69" i="8"/>
  <c r="EY65" i="8"/>
  <c r="EY118" i="8"/>
  <c r="EY86" i="8"/>
  <c r="EY76" i="8"/>
  <c r="EY57" i="8"/>
  <c r="EY55" i="8"/>
  <c r="EY34" i="8"/>
  <c r="EY106" i="8"/>
  <c r="EY97" i="8"/>
  <c r="EY113" i="8"/>
  <c r="EY107" i="8"/>
  <c r="EY67" i="8"/>
  <c r="EY99" i="8"/>
  <c r="EY77" i="8"/>
  <c r="EY84" i="8"/>
  <c r="EY119" i="8"/>
  <c r="EY92" i="8"/>
  <c r="EY87" i="8"/>
  <c r="EY70" i="8"/>
  <c r="EY72" i="8"/>
  <c r="EY63" i="8"/>
  <c r="EY38" i="8"/>
  <c r="EY64" i="8"/>
  <c r="EY30" i="8"/>
  <c r="EY62" i="8"/>
  <c r="EY35" i="8"/>
  <c r="EY95" i="8"/>
  <c r="EY37" i="8"/>
  <c r="EY45" i="8"/>
  <c r="EY103" i="8"/>
  <c r="EY108" i="8"/>
  <c r="EY89" i="8"/>
  <c r="EY123" i="8"/>
  <c r="EY122" i="8"/>
  <c r="EX139" i="8"/>
  <c r="EZ56" i="8" l="1"/>
  <c r="EZ44" i="8"/>
  <c r="EZ72" i="8"/>
  <c r="EZ38" i="8"/>
  <c r="EZ36" i="8"/>
  <c r="EZ76" i="8"/>
  <c r="EZ61" i="8"/>
  <c r="EZ43" i="8"/>
  <c r="EZ30" i="8"/>
  <c r="EZ67" i="8"/>
  <c r="EZ105" i="8"/>
  <c r="EZ57" i="8"/>
  <c r="EZ58" i="8"/>
  <c r="EZ88" i="8"/>
  <c r="EZ73" i="8"/>
  <c r="EZ66" i="8"/>
  <c r="EZ60" i="8"/>
  <c r="EZ55" i="8"/>
  <c r="EZ35" i="8"/>
  <c r="EZ79" i="8"/>
  <c r="EZ48" i="8"/>
  <c r="EZ93" i="8"/>
  <c r="EZ78" i="8"/>
  <c r="EZ115" i="8"/>
  <c r="EZ65" i="8"/>
  <c r="EZ111" i="8"/>
  <c r="EZ102" i="8"/>
  <c r="EZ68" i="8"/>
  <c r="EZ89" i="8"/>
  <c r="EZ124" i="8"/>
  <c r="EZ91" i="8"/>
  <c r="EZ80" i="8"/>
  <c r="EZ75" i="8"/>
  <c r="EZ74" i="8"/>
  <c r="EZ108" i="8"/>
  <c r="EZ90" i="8"/>
  <c r="EZ97" i="8"/>
  <c r="EZ94" i="8"/>
  <c r="EZ85" i="8"/>
  <c r="EZ119" i="8"/>
  <c r="EZ121" i="8"/>
  <c r="EZ106" i="8"/>
  <c r="EZ47" i="8"/>
  <c r="EZ41" i="8"/>
  <c r="EZ103" i="8"/>
  <c r="EZ29" i="8"/>
  <c r="EZ54" i="8"/>
  <c r="EZ122" i="8"/>
  <c r="EZ86" i="8"/>
  <c r="EZ59" i="8"/>
  <c r="FA28" i="8"/>
  <c r="EZ113" i="8"/>
  <c r="EZ100" i="8"/>
  <c r="EZ95" i="8"/>
  <c r="EZ98" i="8"/>
  <c r="EZ87" i="8"/>
  <c r="EZ117" i="8"/>
  <c r="EZ109" i="8"/>
  <c r="EZ37" i="8"/>
  <c r="EZ46" i="8"/>
  <c r="EZ53" i="8"/>
  <c r="EZ62" i="8"/>
  <c r="EZ33" i="8"/>
  <c r="EZ107" i="8"/>
  <c r="EZ69" i="8"/>
  <c r="EZ52" i="8"/>
  <c r="EZ112" i="8"/>
  <c r="EZ92" i="8"/>
  <c r="EZ101" i="8"/>
  <c r="EZ118" i="8"/>
  <c r="EZ123" i="8"/>
  <c r="EZ31" i="8"/>
  <c r="EZ34" i="8"/>
  <c r="EZ42" i="8"/>
  <c r="EZ104" i="8"/>
  <c r="EZ45" i="8"/>
  <c r="EZ63" i="8"/>
  <c r="EZ49" i="8"/>
  <c r="EZ96" i="8"/>
  <c r="EZ81" i="8"/>
  <c r="EZ83" i="8"/>
  <c r="EZ114" i="8"/>
  <c r="EZ39" i="8"/>
  <c r="EZ71" i="8"/>
  <c r="EZ110" i="8"/>
  <c r="EZ99" i="8"/>
  <c r="EZ64" i="8"/>
  <c r="EZ77" i="8"/>
  <c r="EZ70" i="8"/>
  <c r="EZ120" i="8"/>
  <c r="EZ82" i="8"/>
  <c r="EZ50" i="8"/>
  <c r="EZ40" i="8"/>
  <c r="EZ32" i="8"/>
  <c r="EZ116" i="8"/>
  <c r="EZ84" i="8"/>
  <c r="EZ51" i="8"/>
  <c r="EY139" i="8"/>
  <c r="EZ139" i="8" l="1"/>
  <c r="FA76" i="8"/>
  <c r="FA51" i="8"/>
  <c r="FA100" i="8"/>
  <c r="FA30" i="8"/>
  <c r="FA122" i="8"/>
  <c r="FA91" i="8"/>
  <c r="FA113" i="8"/>
  <c r="FA61" i="8"/>
  <c r="FA60" i="8"/>
  <c r="FA110" i="8"/>
  <c r="FA85" i="8"/>
  <c r="FA79" i="8"/>
  <c r="FA65" i="8"/>
  <c r="FA45" i="8"/>
  <c r="FA111" i="8"/>
  <c r="FA62" i="8"/>
  <c r="FA103" i="8"/>
  <c r="FA39" i="8"/>
  <c r="FA93" i="8"/>
  <c r="FA40" i="8"/>
  <c r="FA34" i="8"/>
  <c r="FA102" i="8"/>
  <c r="FA78" i="8"/>
  <c r="FA83" i="8"/>
  <c r="FA117" i="8"/>
  <c r="FA105" i="8"/>
  <c r="FA88" i="8"/>
  <c r="FA71" i="8"/>
  <c r="FA66" i="8"/>
  <c r="FA124" i="8"/>
  <c r="FA77" i="8"/>
  <c r="FA116" i="8"/>
  <c r="FA82" i="8"/>
  <c r="FA73" i="8"/>
  <c r="FA109" i="8"/>
  <c r="FA99" i="8"/>
  <c r="FA35" i="8"/>
  <c r="FA114" i="8"/>
  <c r="FA118" i="8"/>
  <c r="FA31" i="8"/>
  <c r="FA108" i="8"/>
  <c r="FA74" i="8"/>
  <c r="FA53" i="8"/>
  <c r="FA57" i="8"/>
  <c r="FA54" i="8"/>
  <c r="FA63" i="8"/>
  <c r="FA42" i="8"/>
  <c r="FA96" i="8"/>
  <c r="FA48" i="8"/>
  <c r="FA46" i="8"/>
  <c r="FA121" i="8"/>
  <c r="FA107" i="8"/>
  <c r="FA90" i="8"/>
  <c r="FA92" i="8"/>
  <c r="FA89" i="8"/>
  <c r="FA50" i="8"/>
  <c r="FA87" i="8"/>
  <c r="FB28" i="8"/>
  <c r="FA41" i="8"/>
  <c r="FA56" i="8"/>
  <c r="FA49" i="8"/>
  <c r="FA106" i="8"/>
  <c r="FA59" i="8"/>
  <c r="FA72" i="8"/>
  <c r="FA29" i="8"/>
  <c r="FA104" i="8"/>
  <c r="FA95" i="8"/>
  <c r="FA97" i="8"/>
  <c r="FA115" i="8"/>
  <c r="FA80" i="8"/>
  <c r="FA32" i="8"/>
  <c r="FA44" i="8"/>
  <c r="FA33" i="8"/>
  <c r="FA101" i="8"/>
  <c r="FA68" i="8"/>
  <c r="FA75" i="8"/>
  <c r="FA70" i="8"/>
  <c r="FA36" i="8"/>
  <c r="FA123" i="8"/>
  <c r="FA112" i="8"/>
  <c r="FA86" i="8"/>
  <c r="FA52" i="8"/>
  <c r="FA43" i="8"/>
  <c r="FA98" i="8"/>
  <c r="FA67" i="8"/>
  <c r="FA84" i="8"/>
  <c r="FA94" i="8"/>
  <c r="FA119" i="8"/>
  <c r="FA37" i="8"/>
  <c r="FA81" i="8"/>
  <c r="FA64" i="8"/>
  <c r="FA55" i="8"/>
  <c r="FA38" i="8"/>
  <c r="FA120" i="8"/>
  <c r="FA47" i="8"/>
  <c r="FA58" i="8"/>
  <c r="FA69" i="8"/>
  <c r="FB77" i="8" l="1"/>
  <c r="FB79" i="8"/>
  <c r="FB103" i="8"/>
  <c r="FB68" i="8"/>
  <c r="FC28" i="8"/>
  <c r="FB87" i="8"/>
  <c r="FB94" i="8"/>
  <c r="FB71" i="8"/>
  <c r="FB67" i="8"/>
  <c r="FB124" i="8"/>
  <c r="FB113" i="8"/>
  <c r="FB86" i="8"/>
  <c r="FB95" i="8"/>
  <c r="FB98" i="8"/>
  <c r="FB37" i="8"/>
  <c r="FB61" i="8"/>
  <c r="FB81" i="8"/>
  <c r="FB100" i="8"/>
  <c r="FB112" i="8"/>
  <c r="FB122" i="8"/>
  <c r="FB75" i="8"/>
  <c r="FB51" i="8"/>
  <c r="FB111" i="8"/>
  <c r="FB99" i="8"/>
  <c r="FB74" i="8"/>
  <c r="FB76" i="8"/>
  <c r="FB50" i="8"/>
  <c r="FB119" i="8"/>
  <c r="FB88" i="8"/>
  <c r="FB105" i="8"/>
  <c r="FB96" i="8"/>
  <c r="FB49" i="8"/>
  <c r="FB104" i="8"/>
  <c r="FB109" i="8"/>
  <c r="FB91" i="8"/>
  <c r="FB32" i="8"/>
  <c r="FB40" i="8"/>
  <c r="FB106" i="8"/>
  <c r="FB70" i="8"/>
  <c r="FB33" i="8"/>
  <c r="FB116" i="8"/>
  <c r="FB80" i="8"/>
  <c r="FB72" i="8"/>
  <c r="FB42" i="8"/>
  <c r="FB30" i="8"/>
  <c r="FB55" i="8"/>
  <c r="FB108" i="8"/>
  <c r="FB66" i="8"/>
  <c r="FB101" i="8"/>
  <c r="FB36" i="8"/>
  <c r="FB85" i="8"/>
  <c r="FB29" i="8"/>
  <c r="FB114" i="8"/>
  <c r="FB102" i="8"/>
  <c r="FB62" i="8"/>
  <c r="FB34" i="8"/>
  <c r="FB53" i="8"/>
  <c r="FB59" i="8"/>
  <c r="FB92" i="8"/>
  <c r="FB41" i="8"/>
  <c r="FB47" i="8"/>
  <c r="FB48" i="8"/>
  <c r="FB120" i="8"/>
  <c r="FB58" i="8"/>
  <c r="FB45" i="8"/>
  <c r="FB110" i="8"/>
  <c r="FB52" i="8"/>
  <c r="FB39" i="8"/>
  <c r="FB117" i="8"/>
  <c r="FB89" i="8"/>
  <c r="FB118" i="8"/>
  <c r="FB90" i="8"/>
  <c r="FB38" i="8"/>
  <c r="FB35" i="8"/>
  <c r="FB83" i="8"/>
  <c r="FB78" i="8"/>
  <c r="FB93" i="8"/>
  <c r="FB64" i="8"/>
  <c r="FB44" i="8"/>
  <c r="FB63" i="8"/>
  <c r="FB115" i="8"/>
  <c r="FB121" i="8"/>
  <c r="FB60" i="8"/>
  <c r="FB73" i="8"/>
  <c r="FB97" i="8"/>
  <c r="FB54" i="8"/>
  <c r="FB43" i="8"/>
  <c r="FB84" i="8"/>
  <c r="FB107" i="8"/>
  <c r="FB123" i="8"/>
  <c r="FB82" i="8"/>
  <c r="FB65" i="8"/>
  <c r="FB46" i="8"/>
  <c r="FB31" i="8"/>
  <c r="FB56" i="8"/>
  <c r="FB69" i="8"/>
  <c r="FB57" i="8"/>
  <c r="FA139" i="8"/>
  <c r="FC86" i="8" l="1"/>
  <c r="FC29" i="8"/>
  <c r="FC36" i="8"/>
  <c r="FC81" i="8"/>
  <c r="FC92" i="8"/>
  <c r="FC120" i="8"/>
  <c r="FC108" i="8"/>
  <c r="FC95" i="8"/>
  <c r="FC72" i="8"/>
  <c r="FC69" i="8"/>
  <c r="FC90" i="8"/>
  <c r="FC37" i="8"/>
  <c r="FC110" i="8"/>
  <c r="FC123" i="8"/>
  <c r="FC62" i="8"/>
  <c r="FC52" i="8"/>
  <c r="FC59" i="8"/>
  <c r="FC103" i="8"/>
  <c r="FC56" i="8"/>
  <c r="FC83" i="8"/>
  <c r="FC89" i="8"/>
  <c r="FC105" i="8"/>
  <c r="FC58" i="8"/>
  <c r="FC43" i="8"/>
  <c r="FC87" i="8"/>
  <c r="FC38" i="8"/>
  <c r="FC30" i="8"/>
  <c r="FC101" i="8"/>
  <c r="FC98" i="8"/>
  <c r="FC107" i="8"/>
  <c r="FD28" i="8"/>
  <c r="FC51" i="8"/>
  <c r="FC122" i="8"/>
  <c r="FC79" i="8"/>
  <c r="FC49" i="8"/>
  <c r="FC42" i="8"/>
  <c r="FC116" i="8"/>
  <c r="FC82" i="8"/>
  <c r="FC50" i="8"/>
  <c r="FC111" i="8"/>
  <c r="FC39" i="8"/>
  <c r="FC104" i="8"/>
  <c r="FC32" i="8"/>
  <c r="FC99" i="8"/>
  <c r="FC91" i="8"/>
  <c r="FC40" i="8"/>
  <c r="FC114" i="8"/>
  <c r="FC70" i="8"/>
  <c r="FC115" i="8"/>
  <c r="FC96" i="8"/>
  <c r="FC121" i="8"/>
  <c r="FC102" i="8"/>
  <c r="FC31" i="8"/>
  <c r="FC61" i="8"/>
  <c r="FC44" i="8"/>
  <c r="FC68" i="8"/>
  <c r="FC60" i="8"/>
  <c r="FC93" i="8"/>
  <c r="FC71" i="8"/>
  <c r="FC112" i="8"/>
  <c r="FC63" i="8"/>
  <c r="FC34" i="8"/>
  <c r="FC84" i="8"/>
  <c r="FC78" i="8"/>
  <c r="FC113" i="8"/>
  <c r="FC75" i="8"/>
  <c r="FC53" i="8"/>
  <c r="FC119" i="8"/>
  <c r="FC100" i="8"/>
  <c r="FC88" i="8"/>
  <c r="FC64" i="8"/>
  <c r="FC67" i="8"/>
  <c r="FC117" i="8"/>
  <c r="FC33" i="8"/>
  <c r="FC45" i="8"/>
  <c r="FC55" i="8"/>
  <c r="FC66" i="8"/>
  <c r="FC97" i="8"/>
  <c r="FC41" i="8"/>
  <c r="FC46" i="8"/>
  <c r="FC118" i="8"/>
  <c r="FC54" i="8"/>
  <c r="FC124" i="8"/>
  <c r="FC57" i="8"/>
  <c r="FC76" i="8"/>
  <c r="FC77" i="8"/>
  <c r="FC73" i="8"/>
  <c r="FC109" i="8"/>
  <c r="FC47" i="8"/>
  <c r="FC35" i="8"/>
  <c r="FC94" i="8"/>
  <c r="FC85" i="8"/>
  <c r="FC65" i="8"/>
  <c r="FC48" i="8"/>
  <c r="FC80" i="8"/>
  <c r="FC106" i="8"/>
  <c r="FC74" i="8"/>
  <c r="FB139" i="8"/>
  <c r="FC139" i="8" l="1"/>
  <c r="FD57" i="8"/>
  <c r="FD46" i="8"/>
  <c r="FD89" i="8"/>
  <c r="FD90" i="8"/>
  <c r="FD112" i="8"/>
  <c r="FD95" i="8"/>
  <c r="FD72" i="8"/>
  <c r="FD53" i="8"/>
  <c r="FD42" i="8"/>
  <c r="FD80" i="8"/>
  <c r="FD52" i="8"/>
  <c r="FD37" i="8"/>
  <c r="FD92" i="8"/>
  <c r="FD74" i="8"/>
  <c r="FD56" i="8"/>
  <c r="FD73" i="8"/>
  <c r="FD55" i="8"/>
  <c r="FD103" i="8"/>
  <c r="FD108" i="8"/>
  <c r="FD110" i="8"/>
  <c r="FD118" i="8"/>
  <c r="FD66" i="8"/>
  <c r="FD49" i="8"/>
  <c r="FD88" i="8"/>
  <c r="FD29" i="8"/>
  <c r="FD116" i="8"/>
  <c r="FD101" i="8"/>
  <c r="FD78" i="8"/>
  <c r="FD65" i="8"/>
  <c r="FD45" i="8"/>
  <c r="FD119" i="8"/>
  <c r="FD79" i="8"/>
  <c r="FD33" i="8"/>
  <c r="FD97" i="8"/>
  <c r="FD67" i="8"/>
  <c r="FD94" i="8"/>
  <c r="FD50" i="8"/>
  <c r="FD86" i="8"/>
  <c r="FD124" i="8"/>
  <c r="FD68" i="8"/>
  <c r="FD111" i="8"/>
  <c r="FD109" i="8"/>
  <c r="FD30" i="8"/>
  <c r="FD85" i="8"/>
  <c r="FD91" i="8"/>
  <c r="FD39" i="8"/>
  <c r="FD102" i="8"/>
  <c r="FD47" i="8"/>
  <c r="FD58" i="8"/>
  <c r="FD40" i="8"/>
  <c r="FD81" i="8"/>
  <c r="FD87" i="8"/>
  <c r="FD113" i="8"/>
  <c r="FD77" i="8"/>
  <c r="FD123" i="8"/>
  <c r="FD44" i="8"/>
  <c r="FD122" i="8"/>
  <c r="FD105" i="8"/>
  <c r="FD38" i="8"/>
  <c r="FD114" i="8"/>
  <c r="FD69" i="8"/>
  <c r="FD120" i="8"/>
  <c r="FD84" i="8"/>
  <c r="FD98" i="8"/>
  <c r="FD71" i="8"/>
  <c r="FD70" i="8"/>
  <c r="FD100" i="8"/>
  <c r="FD99" i="8"/>
  <c r="FD104" i="8"/>
  <c r="FD83" i="8"/>
  <c r="FD51" i="8"/>
  <c r="FD61" i="8"/>
  <c r="FD35" i="8"/>
  <c r="FD115" i="8"/>
  <c r="FD36" i="8"/>
  <c r="FD82" i="8"/>
  <c r="FD121" i="8"/>
  <c r="FD59" i="8"/>
  <c r="FD48" i="8"/>
  <c r="FD96" i="8"/>
  <c r="FD64" i="8"/>
  <c r="FD41" i="8"/>
  <c r="FD31" i="8"/>
  <c r="FD117" i="8"/>
  <c r="FD76" i="8"/>
  <c r="FD54" i="8"/>
  <c r="FD75" i="8"/>
  <c r="FD60" i="8"/>
  <c r="FD43" i="8"/>
  <c r="FD32" i="8"/>
  <c r="FD107" i="8"/>
  <c r="FD34" i="8"/>
  <c r="FD93" i="8"/>
  <c r="FD106" i="8"/>
  <c r="FD139"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3" authorId="0" shapeId="0" xr:uid="{00000000-0006-0000-0200-000001000000}">
      <text>
        <r>
          <rPr>
            <sz val="9"/>
            <color indexed="81"/>
            <rFont val="Tahoma"/>
            <family val="2"/>
          </rPr>
          <t>Type "</t>
        </r>
        <r>
          <rPr>
            <b/>
            <sz val="9"/>
            <color indexed="81"/>
            <rFont val="Tahoma"/>
            <family val="2"/>
          </rPr>
          <t>Customer</t>
        </r>
        <r>
          <rPr>
            <sz val="9"/>
            <color indexed="81"/>
            <rFont val="Tahoma"/>
            <family val="2"/>
          </rPr>
          <t>" name.</t>
        </r>
      </text>
    </comment>
    <comment ref="B4" authorId="0" shapeId="0" xr:uid="{00000000-0006-0000-0200-000002000000}">
      <text>
        <r>
          <rPr>
            <sz val="9"/>
            <color indexed="81"/>
            <rFont val="Tahoma"/>
            <family val="2"/>
          </rPr>
          <t>Type opportunity/project name.</t>
        </r>
      </text>
    </comment>
    <comment ref="B5" authorId="0" shapeId="0" xr:uid="{00000000-0006-0000-0200-000004000000}">
      <text>
        <r>
          <rPr>
            <sz val="9"/>
            <color indexed="81"/>
            <rFont val="Tahoma"/>
            <family val="2"/>
          </rPr>
          <t>Type CRM Opportunity number (i.e. OPP#).</t>
        </r>
      </text>
    </comment>
    <comment ref="B23" authorId="0" shapeId="0" xr:uid="{28C21400-6D1D-47A8-A0A9-E250B270D99A}">
      <text>
        <r>
          <rPr>
            <sz val="9"/>
            <color indexed="81"/>
            <rFont val="Tahoma"/>
            <family val="2"/>
          </rPr>
          <t>Is Customer paying with a credit card? Yes or No. There is a 3% up charge to revenue and cost to facilitate this payment method.  The default upon opening is no.</t>
        </r>
      </text>
    </comment>
    <comment ref="B24" authorId="0" shapeId="0" xr:uid="{00000000-0006-0000-0200-000005000000}">
      <text>
        <r>
          <rPr>
            <sz val="9"/>
            <color indexed="81"/>
            <rFont val="Tahoma"/>
            <family val="2"/>
          </rPr>
          <t xml:space="preserve">Totals inputs from all sub-tabs with the expectation the inputs are labor (internal and/or partner), T&amp;L, materials or other expenses related to delivering the Services. </t>
        </r>
      </text>
    </comment>
    <comment ref="E26" authorId="0" shapeId="0" xr:uid="{C5B968E9-C614-42D0-B292-49FAD9A2131F}">
      <text>
        <r>
          <rPr>
            <sz val="9"/>
            <color indexed="81"/>
            <rFont val="Tahoma"/>
            <family val="2"/>
          </rPr>
          <t xml:space="preserve">India Overhead Costs are to be provided by offshore team.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B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B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B00-000003000000}">
      <text>
        <r>
          <rPr>
            <sz val="9"/>
            <color indexed="81"/>
            <rFont val="Tahoma"/>
            <family val="2"/>
          </rPr>
          <t>Insert the estimated amount of weeks projected for this Phase in the adjacent cell.</t>
        </r>
      </text>
    </comment>
    <comment ref="B4" authorId="0" shapeId="0" xr:uid="{00000000-0006-0000-0B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B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B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B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B00-000008000000}">
      <text>
        <r>
          <rPr>
            <sz val="9"/>
            <color rgb="FF000000"/>
            <rFont val="Tahoma"/>
            <family val="2"/>
          </rPr>
          <t>Enter the amount of hours for each type of "</t>
        </r>
        <r>
          <rPr>
            <b/>
            <sz val="9"/>
            <color rgb="FF000000"/>
            <rFont val="Tahoma"/>
            <family val="2"/>
          </rPr>
          <t>Resource</t>
        </r>
        <r>
          <rPr>
            <sz val="9"/>
            <color rgb="FF000000"/>
            <rFont val="Tahoma"/>
            <family val="2"/>
          </rPr>
          <t>" based on the selected "</t>
        </r>
        <r>
          <rPr>
            <b/>
            <sz val="9"/>
            <color rgb="FF000000"/>
            <rFont val="Tahoma"/>
            <family val="2"/>
          </rPr>
          <t>Resource Costing Measurement".</t>
        </r>
      </text>
    </comment>
    <comment ref="E7" authorId="0" shapeId="0" xr:uid="{00000000-0006-0000-0B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B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B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B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B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B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B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B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B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B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B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B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B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B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B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B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B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B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B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B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B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B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B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B00-000027000000}">
      <text>
        <r>
          <rPr>
            <sz val="9"/>
            <color rgb="FF000000"/>
            <rFont val="Tahoma"/>
            <family val="2"/>
          </rPr>
          <t>Enter the "</t>
        </r>
        <r>
          <rPr>
            <b/>
            <sz val="9"/>
            <color rgb="FF000000"/>
            <rFont val="Tahoma"/>
            <family val="2"/>
          </rPr>
          <t>Units</t>
        </r>
        <r>
          <rPr>
            <sz val="9"/>
            <color rgb="FF000000"/>
            <rFont val="Tahoma"/>
            <family val="2"/>
          </rPr>
          <t>" for each "</t>
        </r>
        <r>
          <rPr>
            <b/>
            <sz val="9"/>
            <color rgb="FF000000"/>
            <rFont val="Tahoma"/>
            <family val="2"/>
          </rPr>
          <t>Expense Type</t>
        </r>
        <r>
          <rPr>
            <sz val="9"/>
            <color rgb="FF000000"/>
            <rFont val="Tahoma"/>
            <family val="2"/>
          </rPr>
          <t>". based anticipated expenses incurred and the selected Phase/Deparment's "</t>
        </r>
        <r>
          <rPr>
            <b/>
            <sz val="9"/>
            <color rgb="FF000000"/>
            <rFont val="Tahoma"/>
            <family val="2"/>
          </rPr>
          <t>Costing Measurement</t>
        </r>
        <r>
          <rPr>
            <sz val="9"/>
            <color rgb="FF000000"/>
            <rFont val="Tahoma"/>
            <family val="2"/>
          </rPr>
          <t>".</t>
        </r>
      </text>
    </comment>
    <comment ref="D55" authorId="0" shapeId="0" xr:uid="{00000000-0006-0000-0B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B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B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B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B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B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B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B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961EE2DF-AF93-4A36-A988-08DA75B1C614}">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3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3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300-000003000000}">
      <text>
        <r>
          <rPr>
            <sz val="9"/>
            <color indexed="81"/>
            <rFont val="Tahoma"/>
            <family val="2"/>
          </rPr>
          <t>Insert the estimated amount of weeks projected for this Phase in the adjacent cell.</t>
        </r>
      </text>
    </comment>
    <comment ref="B4" authorId="0" shapeId="0" xr:uid="{00000000-0006-0000-03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3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3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3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3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3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3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3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3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3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3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3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3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3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3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3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3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3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3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3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3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3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3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3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3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3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3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3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3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3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3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3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3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3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3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3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3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00000000-0006-0000-0300-000022000000}">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4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4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400-000003000000}">
      <text>
        <r>
          <rPr>
            <sz val="9"/>
            <color indexed="81"/>
            <rFont val="Tahoma"/>
            <family val="2"/>
          </rPr>
          <t>Insert the estimated amount of weeks projected for this Phase in the adjacent cell.</t>
        </r>
      </text>
    </comment>
    <comment ref="B4" authorId="0" shapeId="0" xr:uid="{00000000-0006-0000-04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4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4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4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4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4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4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4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4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4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4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4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4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4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4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4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4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4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4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4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4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4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4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4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4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4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4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4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4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4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4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4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4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4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4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4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4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00000000-0006-0000-0400-000022000000}">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5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5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500-000003000000}">
      <text>
        <r>
          <rPr>
            <sz val="9"/>
            <color indexed="81"/>
            <rFont val="Tahoma"/>
            <family val="2"/>
          </rPr>
          <t>Insert the estimated amount of weeks projected for this Phase in the adjacent cell.</t>
        </r>
      </text>
    </comment>
    <comment ref="B4" authorId="0" shapeId="0" xr:uid="{00000000-0006-0000-05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5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5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5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5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5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5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5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5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5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5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5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5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5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5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5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5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5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5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5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5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5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5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5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5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5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5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5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5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5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5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5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5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5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5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5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5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00000000-0006-0000-0500-000022000000}">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6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6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600-000003000000}">
      <text>
        <r>
          <rPr>
            <sz val="9"/>
            <color indexed="81"/>
            <rFont val="Tahoma"/>
            <family val="2"/>
          </rPr>
          <t>Insert the estimated amount of weeks projected for this Phase in the adjacent cell.</t>
        </r>
      </text>
    </comment>
    <comment ref="B4" authorId="0" shapeId="0" xr:uid="{00000000-0006-0000-06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6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6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6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6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6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6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6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6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6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6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6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6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6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6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6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6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6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6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6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6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6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6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6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6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6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6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6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6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6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6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6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6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6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6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6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6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00000000-0006-0000-0600-000022000000}">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7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7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700-000003000000}">
      <text>
        <r>
          <rPr>
            <sz val="9"/>
            <color indexed="81"/>
            <rFont val="Tahoma"/>
            <family val="2"/>
          </rPr>
          <t>Insert the estimated amount of weeks projected for this Phase in the adjacent cell.</t>
        </r>
      </text>
    </comment>
    <comment ref="B4" authorId="0" shapeId="0" xr:uid="{00000000-0006-0000-07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7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7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7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7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7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7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7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7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7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7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7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7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7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7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7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7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7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7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7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7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7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7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7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7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7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7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7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7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7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7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7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7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7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7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7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7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00000000-0006-0000-0700-000022000000}">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8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8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800-000003000000}">
      <text>
        <r>
          <rPr>
            <sz val="9"/>
            <color indexed="81"/>
            <rFont val="Tahoma"/>
            <family val="2"/>
          </rPr>
          <t>Insert the estimated amount of weeks projected for this Phase in the adjacent cell.</t>
        </r>
      </text>
    </comment>
    <comment ref="B4" authorId="0" shapeId="0" xr:uid="{00000000-0006-0000-08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8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8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8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8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8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8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8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8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8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8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8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8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8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8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8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8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8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8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8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8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8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8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8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8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8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8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8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8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8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8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8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8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8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8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8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8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4F4EC7C8-CF4A-4F04-A99C-9AFFF0B33B89}">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9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9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900-000003000000}">
      <text>
        <r>
          <rPr>
            <sz val="9"/>
            <color indexed="81"/>
            <rFont val="Tahoma"/>
            <family val="2"/>
          </rPr>
          <t>Insert the estimated amount of weeks projected for this Phase in the adjacent cell.</t>
        </r>
      </text>
    </comment>
    <comment ref="B4" authorId="0" shapeId="0" xr:uid="{00000000-0006-0000-09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9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9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9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9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9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9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9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9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9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9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9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9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9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9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9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9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9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9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9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9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9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9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9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9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9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9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9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9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9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9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9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9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9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9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9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9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37ACA9C3-D6AD-4C49-947A-6815E8CA1174}">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A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A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A00-000003000000}">
      <text>
        <r>
          <rPr>
            <sz val="9"/>
            <color indexed="81"/>
            <rFont val="Tahoma"/>
            <family val="2"/>
          </rPr>
          <t>Insert the estimated amount of weeks projected for this Phase in the adjacent cell.</t>
        </r>
      </text>
    </comment>
    <comment ref="B4" authorId="0" shapeId="0" xr:uid="{00000000-0006-0000-0A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A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A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A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A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A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A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A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A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A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A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A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A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A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A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A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A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A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A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A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A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A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A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A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A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A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A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A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A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A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A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A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A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A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A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A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A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FA6D4997-DF4C-4543-8781-F01B50ACCA6D}">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<sst xmlns="http://schemas.openxmlformats.org/spreadsheetml/2006/main" count="3716" uniqueCount="973">
  <si>
    <t>W1</t>
  </si>
  <si>
    <t>W2</t>
  </si>
  <si>
    <t>W3</t>
  </si>
  <si>
    <t>W4</t>
  </si>
  <si>
    <t>W5</t>
  </si>
  <si>
    <t>W6</t>
  </si>
  <si>
    <t>W7</t>
  </si>
  <si>
    <t>W8</t>
  </si>
  <si>
    <t>W9</t>
  </si>
  <si>
    <t>W10</t>
  </si>
  <si>
    <t>Assess</t>
  </si>
  <si>
    <t>Design</t>
  </si>
  <si>
    <t>Implement</t>
  </si>
  <si>
    <t>Manage</t>
  </si>
  <si>
    <t>Total Man weeks</t>
  </si>
  <si>
    <t>Total Hours</t>
  </si>
  <si>
    <t>Build</t>
  </si>
  <si>
    <t>Pilot</t>
  </si>
  <si>
    <t>Rollout</t>
  </si>
  <si>
    <t>Sr. Cloud Consultant (US)</t>
  </si>
  <si>
    <t>Cloud Engineer 3 (PK)</t>
  </si>
  <si>
    <t>Project Manager (PK)</t>
  </si>
  <si>
    <t>Project Months</t>
  </si>
  <si>
    <t>Resource Type</t>
  </si>
  <si>
    <t>Hrs / Month</t>
  </si>
  <si>
    <t>PROJECT DURATION PER DATA INPUT IN STAFFING PLAN
(AUTO-CALCULATION)</t>
  </si>
  <si>
    <t>Onshore</t>
  </si>
  <si>
    <t>Offshore</t>
  </si>
  <si>
    <t>PLEASE INPUT TOTAL HOURS PER  MONTH IN THE COLUMNS BELOW</t>
  </si>
  <si>
    <t>Phase: Please enter the name of the Phase for each month. For example, a Managed Services engagement with a 3-month Startup (M1, M2, M3) followed by Steady State for the remaining months. Projects can show ADIM phases, or applicable phases for the Solution.</t>
  </si>
  <si>
    <t>Resource Area</t>
  </si>
  <si>
    <t>Resource Title</t>
  </si>
  <si>
    <t>Project Total</t>
  </si>
  <si>
    <t>Year 1 Hours</t>
  </si>
  <si>
    <t>Year 1 FTE Count</t>
  </si>
  <si>
    <t>Year 2 Hours</t>
  </si>
  <si>
    <t>Year 2 FTE Count</t>
  </si>
  <si>
    <t>Year 3 Hours</t>
  </si>
  <si>
    <t>Year 3 FTE Count</t>
  </si>
  <si>
    <t>Year 4 Hours</t>
  </si>
  <si>
    <t>Year 4 FTE Count</t>
  </si>
  <si>
    <t>Year 5 Hours</t>
  </si>
  <si>
    <t>Year 5 FTE Count</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</si>
  <si>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</si>
  <si>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</si>
  <si>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</si>
  <si>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</si>
  <si>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</si>
  <si>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</si>
  <si>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</si>
  <si>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</si>
  <si>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</si>
  <si>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</si>
  <si>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</si>
  <si>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</si>
  <si>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</si>
  <si>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</si>
  <si>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</si>
  <si>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</si>
  <si>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</si>
  <si>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</si>
  <si>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</si>
  <si>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</si>
  <si>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</si>
  <si>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</si>
  <si>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</si>
  <si>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</si>
  <si>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</si>
  <si>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</si>
  <si>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</si>
  <si>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</si>
  <si>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</si>
  <si>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</si>
  <si>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</si>
  <si>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</si>
  <si>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</si>
  <si>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</si>
  <si>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</si>
  <si>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</si>
  <si>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</si>
  <si>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</si>
  <si>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</si>
  <si>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</si>
  <si>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</si>
  <si>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</si>
  <si>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</si>
  <si>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</si>
  <si>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</si>
  <si>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</si>
  <si>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</si>
  <si>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</si>
  <si>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M49</t>
  </si>
  <si>
    <t>M50</t>
  </si>
  <si>
    <t>M51</t>
  </si>
  <si>
    <t>M52</t>
  </si>
  <si>
    <t>M53</t>
  </si>
  <si>
    <t>M54</t>
  </si>
  <si>
    <t>M55</t>
  </si>
  <si>
    <t>M56</t>
  </si>
  <si>
    <t>M57</t>
  </si>
  <si>
    <t>M58</t>
  </si>
  <si>
    <t>M59</t>
  </si>
  <si>
    <t>M60</t>
  </si>
  <si>
    <t>Cloud &amp; Datacenter</t>
  </si>
  <si>
    <t>Cloud Operator/Administrator</t>
  </si>
  <si>
    <t>Cloud Consultant</t>
  </si>
  <si>
    <t>Sr. Cloud Consultant</t>
  </si>
  <si>
    <t>Cloud Architect</t>
  </si>
  <si>
    <t>SQL DBA L1</t>
  </si>
  <si>
    <t>SQL DBA L2</t>
  </si>
  <si>
    <t>SQL DBA L3</t>
  </si>
  <si>
    <t>Database Architect</t>
  </si>
  <si>
    <t>Cloud PK Engineer 1</t>
  </si>
  <si>
    <t>Cloud PK Engineer 2</t>
  </si>
  <si>
    <t>Cloud PK Engineer 3</t>
  </si>
  <si>
    <t>Continuous Improvement</t>
  </si>
  <si>
    <t>ITSM Process Consultant</t>
  </si>
  <si>
    <t>ITSM Process Manager</t>
  </si>
  <si>
    <t>CTO</t>
  </si>
  <si>
    <t>Architect</t>
  </si>
  <si>
    <t>Engineer</t>
  </si>
  <si>
    <t>nterprise</t>
  </si>
  <si>
    <t>Cybersecurity</t>
  </si>
  <si>
    <t>Security Admin L1</t>
  </si>
  <si>
    <t>Security Admin L2</t>
  </si>
  <si>
    <t>Security Admin L3</t>
  </si>
  <si>
    <t>Security Architect</t>
  </si>
  <si>
    <t>Digital Workplace - Engineering</t>
  </si>
  <si>
    <t>Desktop Engineer L2</t>
  </si>
  <si>
    <t>Desktop Engineer L3</t>
  </si>
  <si>
    <t>EUC Architect</t>
  </si>
  <si>
    <t>System Engineer L1</t>
  </si>
  <si>
    <t>System Engineer L2</t>
  </si>
  <si>
    <t>System Engineer L3</t>
  </si>
  <si>
    <t>System Architect</t>
  </si>
  <si>
    <t>Digital Workplace - Field Services &amp; Support</t>
  </si>
  <si>
    <t>Field Service Engineer L1</t>
  </si>
  <si>
    <t>Field Service Engineer L2</t>
  </si>
  <si>
    <t>Field Service Engineer L3</t>
  </si>
  <si>
    <t>Design &amp; Fulfillment Specialist L1</t>
  </si>
  <si>
    <t>Design &amp; Fulfillment Specialist L2</t>
  </si>
  <si>
    <t>Design &amp; Fulfillment Specialist L3</t>
  </si>
  <si>
    <t>Digital Workplace - Service Desk</t>
  </si>
  <si>
    <t>Pakistan - Service Desk L1</t>
  </si>
  <si>
    <t>Pakistan - Service Desk L2</t>
  </si>
  <si>
    <t>Pakistan - Service Desk Team Lead</t>
  </si>
  <si>
    <t>Pakistan - Service Desk Manager</t>
  </si>
  <si>
    <t>Service Desk Agent</t>
  </si>
  <si>
    <t>Service Desk Reporting Coordinator</t>
  </si>
  <si>
    <t>Service Desk Team Lead</t>
  </si>
  <si>
    <t xml:space="preserve">Service Desk Manager </t>
  </si>
  <si>
    <t>India PS/MS Resources</t>
  </si>
  <si>
    <t>India - Backup L1</t>
  </si>
  <si>
    <t>India - Backup L2</t>
  </si>
  <si>
    <t>India - Backup L3</t>
  </si>
  <si>
    <t>India - Cloud L1</t>
  </si>
  <si>
    <t>India - Cloud L2</t>
  </si>
  <si>
    <t>India - Cloud L3</t>
  </si>
  <si>
    <t>India - Collab L1</t>
  </si>
  <si>
    <t>India - Collab L2</t>
  </si>
  <si>
    <t>India - Collab L3</t>
  </si>
  <si>
    <t>India - Database L1</t>
  </si>
  <si>
    <t>India - Database L2</t>
  </si>
  <si>
    <t>India - Database L3</t>
  </si>
  <si>
    <t>India - ITIL Process Consultant 2</t>
  </si>
  <si>
    <t>India - ITIL Process Consultant 3</t>
  </si>
  <si>
    <t>India - Mainframe L1</t>
  </si>
  <si>
    <t>India - Mainframe L2</t>
  </si>
  <si>
    <t>India - Mainframe L3</t>
  </si>
  <si>
    <t>India - Network Architect L4</t>
  </si>
  <si>
    <t>India - NOC L1</t>
  </si>
  <si>
    <t>India - NOC L2</t>
  </si>
  <si>
    <t>India - NOC L3</t>
  </si>
  <si>
    <t>India - OS L1</t>
  </si>
  <si>
    <t>India - OS L2</t>
  </si>
  <si>
    <t>India - OS L3</t>
  </si>
  <si>
    <t>India - Remote Desktop L1</t>
  </si>
  <si>
    <t>India - Remote Desktop L2</t>
  </si>
  <si>
    <t>India - Remote Desktop L3</t>
  </si>
  <si>
    <t>India - Security L1</t>
  </si>
  <si>
    <t>India - Security L2</t>
  </si>
  <si>
    <t>India - Security L3</t>
  </si>
  <si>
    <t>India - Server L1</t>
  </si>
  <si>
    <t>India - Server L2</t>
  </si>
  <si>
    <t>India - Server L3</t>
  </si>
  <si>
    <t>India - Service Desk Level L1</t>
  </si>
  <si>
    <t>India - Service Desk Level L2</t>
  </si>
  <si>
    <t>India - Storage L1</t>
  </si>
  <si>
    <t>India - Storage L2</t>
  </si>
  <si>
    <t>India - Storage L3</t>
  </si>
  <si>
    <t>India - Systems Architect L4</t>
  </si>
  <si>
    <t>Integration</t>
  </si>
  <si>
    <t>Integration Center 1</t>
  </si>
  <si>
    <t>Integration Center 2</t>
  </si>
  <si>
    <t>Integration Center 3</t>
  </si>
  <si>
    <t>Logistics</t>
  </si>
  <si>
    <t>Warehouse 1</t>
  </si>
  <si>
    <t>Warehouse 2</t>
  </si>
  <si>
    <t>NexGen Network</t>
  </si>
  <si>
    <t>Operations Analyst L1</t>
  </si>
  <si>
    <t>Operations Analyst L2</t>
  </si>
  <si>
    <t>Operations Analyst L3</t>
  </si>
  <si>
    <t>Network Engineer L1</t>
  </si>
  <si>
    <t>Network Engineer L2</t>
  </si>
  <si>
    <t>Network Engineer L3</t>
  </si>
  <si>
    <t>Network Engineer L4</t>
  </si>
  <si>
    <t>Network Architect</t>
  </si>
  <si>
    <t>PMO</t>
  </si>
  <si>
    <t>India - Project Manager</t>
  </si>
  <si>
    <t>India - Sr. Project Manager</t>
  </si>
  <si>
    <t>Pakistan Jr. Project Manager</t>
  </si>
  <si>
    <t>Pakistan Project Coordinator</t>
  </si>
  <si>
    <t>Pakistan Project Manager</t>
  </si>
  <si>
    <t>Pakistan Sr. Project Manager</t>
  </si>
  <si>
    <t>Cloud Technical Project Manager</t>
  </si>
  <si>
    <t>Program Manager</t>
  </si>
  <si>
    <t>Project Coordinator 1</t>
  </si>
  <si>
    <t>Project Coordinator 2</t>
  </si>
  <si>
    <t>Project Manager</t>
  </si>
  <si>
    <t>Senior Project Manager</t>
  </si>
  <si>
    <t>Partner</t>
  </si>
  <si>
    <t>Cost of Living Adjustment</t>
  </si>
  <si>
    <t>Does Project require COLA?</t>
  </si>
  <si>
    <t>No</t>
  </si>
  <si>
    <t>Standard COLA Rates</t>
  </si>
  <si>
    <t>The table below shows the expected year-over-year increase in cost rate by expense category.</t>
  </si>
  <si>
    <t>YoY COLA</t>
  </si>
  <si>
    <t>None/Year 1</t>
  </si>
  <si>
    <t>Year 2</t>
  </si>
  <si>
    <t>Year 3</t>
  </si>
  <si>
    <t>Year 4</t>
  </si>
  <si>
    <t>Year 5</t>
  </si>
  <si>
    <t>Year 6</t>
  </si>
  <si>
    <t>Year 7</t>
  </si>
  <si>
    <t>Year 8</t>
  </si>
  <si>
    <t>Year 9</t>
  </si>
  <si>
    <t>Year 10</t>
  </si>
  <si>
    <t>Service Partner (Est.)</t>
  </si>
  <si>
    <t>Travel &amp; Living</t>
  </si>
  <si>
    <t>Materials &amp; Other Expenses</t>
  </si>
  <si>
    <t>Opportunity Overview:</t>
  </si>
  <si>
    <t>Customer:</t>
  </si>
  <si>
    <t>Solution Release Date:</t>
  </si>
  <si>
    <t>U.S. Resource Cost</t>
  </si>
  <si>
    <t>U.S. Resource Hours</t>
  </si>
  <si>
    <t>Opportunity Name:</t>
  </si>
  <si>
    <t>Tenrox Project ID:</t>
  </si>
  <si>
    <t>India Resource Cost</t>
  </si>
  <si>
    <t>India Resource Hours</t>
  </si>
  <si>
    <t>Opportunity No:</t>
  </si>
  <si>
    <t>Total Contract Value:</t>
  </si>
  <si>
    <t>PK Resource Cost</t>
  </si>
  <si>
    <t>PK Resource Hours</t>
  </si>
  <si>
    <t>Est. Project Start Date:</t>
  </si>
  <si>
    <t>Gross Margin %:</t>
  </si>
  <si>
    <t>Partner Cost</t>
  </si>
  <si>
    <t>Onshore Hours %</t>
  </si>
  <si>
    <t>Est. Project End Date:</t>
  </si>
  <si>
    <t>Gross Profit %:</t>
  </si>
  <si>
    <t>T&amp;L Expenses</t>
  </si>
  <si>
    <t>Offshore Hours %</t>
  </si>
  <si>
    <t>Est. Project Duration (Weeks):</t>
  </si>
  <si>
    <t>EBITDA %:</t>
  </si>
  <si>
    <t>Material Expenses</t>
  </si>
  <si>
    <t>Approved by:</t>
  </si>
  <si>
    <t>PMO %:</t>
  </si>
  <si>
    <t>Resource Overview:</t>
  </si>
  <si>
    <t>Resource Area:</t>
  </si>
  <si>
    <t>Area Total Hours:</t>
  </si>
  <si>
    <t>Area Total Budget:</t>
  </si>
  <si>
    <t>Area Percentage:</t>
  </si>
  <si>
    <t>LoE Provider/Validator:</t>
  </si>
  <si>
    <t>Per Unit Hours:</t>
  </si>
  <si>
    <t>Per Unit Budget:</t>
  </si>
  <si>
    <t>N/A</t>
  </si>
  <si>
    <t>Partner/Subcontractor Expenses</t>
  </si>
  <si>
    <t>Travel &amp; Living Expenses</t>
  </si>
  <si>
    <t>Material &amp; Other Expenses</t>
  </si>
  <si>
    <t>Total Project Cost:</t>
  </si>
  <si>
    <t>Est. Work Plan:</t>
  </si>
  <si>
    <t>Resource:</t>
  </si>
  <si>
    <t>Total Hours:</t>
  </si>
  <si>
    <t>Total Budget:</t>
  </si>
  <si>
    <t>PK Design &amp; Fulfillment L1</t>
  </si>
  <si>
    <t>PK Design &amp; Fulfillment L2</t>
  </si>
  <si>
    <t>Project Coordinator</t>
  </si>
  <si>
    <t>Project Manager 1</t>
  </si>
  <si>
    <t>Project Manager 2</t>
  </si>
  <si>
    <t>Opportunity Information:</t>
  </si>
  <si>
    <t>Project Financial Breakdown:</t>
  </si>
  <si>
    <t>Category:</t>
  </si>
  <si>
    <t>Revenue:</t>
  </si>
  <si>
    <t>Cost:</t>
  </si>
  <si>
    <t>Gross Profit:</t>
  </si>
  <si>
    <t>Services Financials:</t>
  </si>
  <si>
    <t>Bill of Materials Financials:</t>
  </si>
  <si>
    <t>Project Total Financials:</t>
  </si>
  <si>
    <t>Bill of Materials:</t>
  </si>
  <si>
    <t>Pricing Approval Indicators:</t>
  </si>
  <si>
    <t>Pricing Approval Information:</t>
  </si>
  <si>
    <t>VaultSpeed</t>
  </si>
  <si>
    <t>Pricing Model Type:</t>
  </si>
  <si>
    <t>Fixed Project Price</t>
  </si>
  <si>
    <t>Project Blended GM%:</t>
  </si>
  <si>
    <t>Pricing Model Creator:</t>
  </si>
  <si>
    <t>Intune Deployment</t>
  </si>
  <si>
    <t>Project Blended GP%:</t>
  </si>
  <si>
    <t>Peer Reviewer:</t>
  </si>
  <si>
    <t>Onshore Resource GM%</t>
  </si>
  <si>
    <t>PMO Cost as a % of Total Cost:</t>
  </si>
  <si>
    <t>Project Duration Inputs:</t>
  </si>
  <si>
    <t>Calculator Build Type:</t>
  </si>
  <si>
    <t>Department Based</t>
  </si>
  <si>
    <t>India Resource GM%</t>
  </si>
  <si>
    <t>PMO Hours as % of Total Hours:</t>
  </si>
  <si>
    <t>Est. Project Duration (Weeks)</t>
  </si>
  <si>
    <t>Enter Est. Project Duration</t>
  </si>
  <si>
    <t>Unit Type/Measurement:</t>
  </si>
  <si>
    <t>Pakistan Resource GM%</t>
  </si>
  <si>
    <t>Startup as % of Total Cost</t>
  </si>
  <si>
    <t>Est. Project Start Date</t>
  </si>
  <si>
    <t>Enter Est. Project Start Date</t>
  </si>
  <si>
    <t>Quantity of Units:</t>
  </si>
  <si>
    <t>Partner GM%</t>
  </si>
  <si>
    <t>Est. Project End Date</t>
  </si>
  <si>
    <t>Travel &amp; Living GM%</t>
  </si>
  <si>
    <t>Material &amp; Other GM%</t>
  </si>
  <si>
    <t>1.1 Scope Overview: (for Copy &amp; Paste into Proposal Template)</t>
  </si>
  <si>
    <t>Calcuator Financial Information:</t>
  </si>
  <si>
    <t>Tab Name</t>
  </si>
  <si>
    <t>Revenue</t>
  </si>
  <si>
    <t>Cost</t>
  </si>
  <si>
    <t>Gross Margin</t>
  </si>
  <si>
    <t>Gross Margin %</t>
  </si>
  <si>
    <t>1.2 Scope: (Add contact who provided or validated the Level of Effort (LoE) for each Department/Line of Business in the Solution.)</t>
  </si>
  <si>
    <t>Department/Line of Business</t>
  </si>
  <si>
    <t>LoE Provider/Validator</t>
  </si>
  <si>
    <t>Project Management Office</t>
  </si>
  <si>
    <t>CTO/nterprise</t>
  </si>
  <si>
    <t>Credit Card Payment?</t>
  </si>
  <si>
    <t>Design &amp; Fulfillment</t>
  </si>
  <si>
    <t>Workplace</t>
  </si>
  <si>
    <t>U.S. Overhead Cost (5.65%)</t>
  </si>
  <si>
    <t>Service Desk</t>
  </si>
  <si>
    <t>Cloud/Infrastructure Services</t>
  </si>
  <si>
    <t>India Overhead Cost (TBD)</t>
  </si>
  <si>
    <t>Gross Profit</t>
  </si>
  <si>
    <t>1.3 Out of Scope: (for Copy &amp; Paste into Proposal Template)</t>
  </si>
  <si>
    <t>Corporate Indirect Cost (8.57%)</t>
  </si>
  <si>
    <t>EBITDA</t>
  </si>
  <si>
    <t>Sell Per Unit</t>
  </si>
  <si>
    <t>1.5 Project Assumptions (Consolidated from tabs for Copy &amp; Paste into Proposal Template)</t>
  </si>
  <si>
    <t>General Legal Language:</t>
  </si>
  <si>
    <t>The scope and any responsibilities set forth above are based on, and in scoping and performing the Services Seller is relying on the accuracy of, the assumption(s) set for below.</t>
  </si>
  <si>
    <t>1.4 Customer Responsibilities: (for Copy &amp; Paste into Proposal Template)</t>
  </si>
  <si>
    <t>1.6 Item(s) Provided (for Copy &amp; Paste into Proposal Template)</t>
  </si>
  <si>
    <t>Proposal/SOW Section:</t>
  </si>
  <si>
    <t>Item(s) Provided:</t>
  </si>
  <si>
    <t>Startup Phase 
(Proposal Template Standards)</t>
  </si>
  <si>
    <t>Communication Log</t>
  </si>
  <si>
    <t>Item(s) Provided Log</t>
  </si>
  <si>
    <t>RAID Log</t>
  </si>
  <si>
    <t>Project Schedule</t>
  </si>
  <si>
    <t>Lessons Learned Document</t>
  </si>
  <si>
    <t>Daily Report Template</t>
  </si>
  <si>
    <t>Weekly Report Template</t>
  </si>
  <si>
    <t>Pilot/Startup Phase Sign-off</t>
  </si>
  <si>
    <t>Project Management 
(Proposal Template Standards)</t>
  </si>
  <si>
    <t>Overall Implementation Plan</t>
  </si>
  <si>
    <t>Daily or Weekly Status Reports</t>
  </si>
  <si>
    <t>Worksheet Title:</t>
  </si>
  <si>
    <t>Duration Measurement:</t>
  </si>
  <si>
    <t>Week(s)</t>
  </si>
  <si>
    <t>Project Financial Information:</t>
  </si>
  <si>
    <t>Resource Costing Measurement:</t>
  </si>
  <si>
    <t>Phase Duration (Weeks):</t>
  </si>
  <si>
    <t>Project Total Price:</t>
  </si>
  <si>
    <t>COLA Year:</t>
  </si>
  <si>
    <t>PMO Cost as % of Total Cost:</t>
  </si>
  <si>
    <t>Resource Department:</t>
  </si>
  <si>
    <t>Units (Hours):</t>
  </si>
  <si>
    <t>Shift:</t>
  </si>
  <si>
    <t>Resource Rate (H):</t>
  </si>
  <si>
    <t>Extended Resource Cost:</t>
  </si>
  <si>
    <t>Sell Calculation Method:</t>
  </si>
  <si>
    <t>Margin %:</t>
  </si>
  <si>
    <t>Resource Hourly Sell:</t>
  </si>
  <si>
    <t>Extended Resource Sell:</t>
  </si>
  <si>
    <t>Notes on Tasks, Activities and Time associated with Resources and Units:</t>
  </si>
  <si>
    <t>Regular</t>
  </si>
  <si>
    <t>Specified Margin</t>
  </si>
  <si>
    <t>Total Resource Hours:</t>
  </si>
  <si>
    <t>Blended Resource Margin:</t>
  </si>
  <si>
    <t>Total Resource Sell Price:</t>
  </si>
  <si>
    <t>Partner:</t>
  </si>
  <si>
    <t>Partner Resource:</t>
  </si>
  <si>
    <t>Partner Units:</t>
  </si>
  <si>
    <t>Partner Rate:</t>
  </si>
  <si>
    <t>Extended Partner Cost:</t>
  </si>
  <si>
    <t>Partner Sell Rate:</t>
  </si>
  <si>
    <t>Extended Partner Sell:</t>
  </si>
  <si>
    <t>Notes on Tasks, Activities and Time associated with Partner Resources and Units:</t>
  </si>
  <si>
    <t>Blended Partner Margin:</t>
  </si>
  <si>
    <t>Total Partner Sell Price:</t>
  </si>
  <si>
    <t>Expense Type:</t>
  </si>
  <si>
    <t>Units:</t>
  </si>
  <si>
    <t>Expense Rate:</t>
  </si>
  <si>
    <t>Extended T&amp;L Cost:</t>
  </si>
  <si>
    <t>T&amp;L Sell/Unit:</t>
  </si>
  <si>
    <t>T&amp;L Extended Sell:</t>
  </si>
  <si>
    <t>Blended T&amp;L Margin:</t>
  </si>
  <si>
    <t>Total T&amp;L Sell Price:</t>
  </si>
  <si>
    <t>M&amp;O Sell/Unit:</t>
  </si>
  <si>
    <t>M&amp;O Extended Sell:</t>
  </si>
  <si>
    <t>Azure Jumpbox</t>
  </si>
  <si>
    <t>Material &amp; Other:</t>
  </si>
  <si>
    <t>Blended M&amp;O Margin:</t>
  </si>
  <si>
    <t>Total M&amp;O Sell Price:</t>
  </si>
  <si>
    <t>Total:</t>
  </si>
  <si>
    <t>Project</t>
  </si>
  <si>
    <t>Resource Hourly Cost:</t>
  </si>
  <si>
    <t>Resource Hourly Sell Rate:</t>
  </si>
  <si>
    <t>Partner Cost Rate:</t>
  </si>
  <si>
    <t>Expense Cost:</t>
  </si>
  <si>
    <t>Extended M&amp;O Cost:</t>
  </si>
  <si>
    <t>Notes:</t>
  </si>
  <si>
    <t>Shift rates are based on resource's local time zone.</t>
  </si>
  <si>
    <t>Internal Resource Descriptions</t>
  </si>
  <si>
    <t>Resource Code</t>
  </si>
  <si>
    <t>Resource Description</t>
  </si>
  <si>
    <t>Resource Regular Rate</t>
  </si>
  <si>
    <t>Resource OT Rate</t>
  </si>
  <si>
    <t>2nd Shift Rate</t>
  </si>
  <si>
    <t>3rd Shift Rate</t>
  </si>
  <si>
    <t>Onshore/Offshore</t>
  </si>
  <si>
    <t>- Support and sustain customer facing Production Environment
- Front line support for Cloud Monitoring - Infrastructure and Application
- Respond, troubleshoot and resolve production alerts
- Communicate and troubleshoot operational issues supporting a complex environment
- Initiate Incident Response for cloud outages</t>
  </si>
  <si>
    <t>- Respond to product escalations from Support as well as Engineering
- Analyze trends to pro-actively prevent incidents
- Understand Cloud IAM policies
- Perform User and access management for different cloud services
- Participate in Cloud Updates and Maintenance activities</t>
  </si>
  <si>
    <t>- Implementing and controlling the flow of data to and from Cloud platform
- Respond to product escalations from Support as well as Engineering
- Analyze trends to pro-actively prevent incidents
- Perform Capacity Management, Sizing and TCO Calculation for Databases, servers, etc., to be procured on Cloud
- Lead Cloud Updates and Maintenance activities</t>
  </si>
  <si>
    <t>- Defining the design and architecture on cloud platforms
- Capable of transitioning traditionally hosted application into cloud in a cost effective manner
- Helping teams build CI/CD pipelines in Cloud
- Ensures data security best practices are not compromised in cloud
- Performs hands-on research on new Cloud services
- Selecting the appropriate Cloud service based on compute, data, or security requirements</t>
  </si>
  <si>
    <t>- Monitoring of databases and execution of administration jobs
- Planning and updating Backup and restoration policies for exiting assets
- Manage databases, and related maintenance processes - to include backup, recovery, and optimization
- Cloning database for supported assets
- Create, Update and maintain Knowledge base
- Check and implement best practices</t>
  </si>
  <si>
    <t>- Administers, maintains, develops, and implements policies and procedures for ensuring the security and integrity of the company database
- Resolves database performance issues, database capacity issues, replication, and other distributed data issues
- Implements data models and database designs, data access and table maintenance codes
- Plans, executes, and maintains database capacity, backup and recovery, and disaster recovery plans
- Generates, configures, and optimizes the performance of the databases
- Supports the efforts of the test lead and deployment lead to plan, manage, and deploy the application
- Updates logical and physical database designs with changes  
- Documents benchmarks and procedures needed to optimize performance</t>
  </si>
  <si>
    <t>- Performs data modeling, logical and physical database design based on a thorough knowledge of modeling techniques, the modeling tools available on the project, and the business functions of the subject system
- Resolves database performance issues, database capacity issues, replication, and other distributed data issues
- Generates, configures, and optimizes the performance of the databases
- Supports the efforts of the test lead and deployment lead to plan, manage, and deploy the application
- Updates logical and physical database designs with changes  
- Ensures that all guidelines are followed
- Provides input on any design decisions for interfacing or integrating databases
- Works with the configuration manager to determine change control and impact analysis for the databases
- Plans disaster recovery and execution activities
- Provides guidance and leads junior team members</t>
  </si>
  <si>
    <t>- Develop High-Level Design to meet Customer requirements
- Provide architectural oversight for projects and maintain alignment between business strategies and business/ technical architecture frameworks
- Present high-level ROI (Return on Investment) and Total cost of ownership (TCO) figures to customer senior management during presentation and discussions
- Understand Cloud Computing and its various offerings like IaaS, PaaS, SaaS etc.
- Ensure traceability of requirements through design, implementation and testing phases of the project
- Perform consulting assessment reviews and assist client organization with development, execution and testing of the overall solution</t>
  </si>
  <si>
    <t>Cloud PK1</t>
  </si>
  <si>
    <t>PK Engineer -- for use by Cloud team only</t>
  </si>
  <si>
    <t>Cloud PK2</t>
  </si>
  <si>
    <t>Cloud PK3</t>
  </si>
  <si>
    <t>- Ensure all communications are clear, effective and appropriately targeted
- Work with Lead to track and implement process improvements
- Gathers requirements on ITIL V3 aligned service management processes
- Co-ordinates with team to provide the right inputs for process definitions</t>
  </si>
  <si>
    <t>- Lead on the creation, implementation and monitoring of an effective Governance &amp; quality assurance framework
-  Set standards and processes, within the context of IT service priorities
-  Implement the Governance &amp; quality assurance framework
-  Ensure Stakeholder management of process owner/Managers</t>
  </si>
  <si>
    <t>CTO3</t>
  </si>
  <si>
    <t>To be used if CTO level design and architecture is engaged (Surya Kale, Stan Leszczynski).</t>
  </si>
  <si>
    <t>CTO2</t>
  </si>
  <si>
    <t>To be used if CTO level engineering is required (ex. Dustin Dembroski, Yli Schwartzman).</t>
  </si>
  <si>
    <t>CTO1</t>
  </si>
  <si>
    <t>For use with any customization of the nterprise system, this includes non standard project setup (i.e. system integration at customer request, customized signoffs, access beyond customer and internal team).</t>
  </si>
  <si>
    <t>- Receive and analyze alarms from intrusion detection and other systems
- Conduct analysis of logs from firewalls and applications to detect various types of IT related threats
- Alerting and assisting customers when incidents occur
- Analyzes information security systems and applications and recommends and develops security measures to protect information against unauthorized modification or loss
- Analyzes functional and technical specifications early within the software development life cycle and identifies possible threats or areas of weakness based on the documentation</t>
  </si>
  <si>
    <t>-Conducts security risk assessments from an “end-to-end” logical security and other perspectives as outlined
- Provide recommendations and business cases based on security principles, policies, and standards 
- Analyzes the data from reports of vulnerabilities, gaps, and risks
- Prevent, detect, contain, escalate and correct network security incidents
- Reporting and Maintaining documentation of problem resolution activities
- Documents benchmarks and procedures needed to optimize performance</t>
  </si>
  <si>
    <t>- Participate in designing of the technical architecture to address complex security requirements, including design of entire security infrastructure
- Leads tool evaluation efforts including definition of evaluation criteria, tool identification and the actual evaluation
- Responsible for definition of a total disaster recovery plan and presenting appropriate options to the client
- Ensures that the developed and deployed capabilities align with the business architecture and meet performance goals
- Recommend enhancements to SOC security process, procedures and policies
- Provides guidance and leads junior team members</t>
  </si>
  <si>
    <t>- Performs analytical, technical and administrative work in the planning, design and installation of new and existing personal computer systems
- Works on moderately complex PC applications
- Writes programs to fulfil requirements or selects appropriate off-the-shelf software and modifies to suit
- Provides telephone support to field office staff
- Troubleshoots, generally via telephone, hardware and software problems, assisting users with desktop applications and systems
- Uses applications to track user requests from ticket generation through completion and customer satisfaction processes</t>
  </si>
  <si>
    <t>- Lead a team of Desktop Engineers to ensure quality support to end users
- Responsible for planning and design of new and existing personal computer systems
- Handles issue escalations 
- Train junior team members</t>
  </si>
  <si>
    <t>- Designs the technical architecture to address complex end user requirements, including design of entire end user devices infrastructure
- Leads tool evaluation efforts including definition of evaluation criteria, tool identification and the actual evaluation
- Responsible for definition of a total disaster recovery plan and presenting appropriate options to the client
- Functions as project leader when required</t>
  </si>
  <si>
    <t>- Perform system monitoring and analysis, and performance tuning
- Troubleshooting system hardware, software, networks and operating systems
- Monitoring the activities of development team using remote desktop and reporting any suspicious activity
- Escalate to L2 team for further investigation
- Create incident tickets through ITSM
- Server Management</t>
  </si>
  <si>
    <t>- System monitoring
- Patch management
- Software support
- Production control and job scheduling
- Performance/capacity management
- Reporting and documentation
- Implementation of security policies
- Server Mangement</t>
  </si>
  <si>
    <t>- Implementation of security policies
- Configuration of supported equipment
- Leads tool evaluation efforts including definition of evaluation criteria, tool identification and the actual evaluation
- Responsible for definition of a total disaster recovery plan and presenting appropriate options to the client
- Functions as project leader when required
- Understand latest architecture, technology, solutions, and industry trends
- Define technical requirements and design, develop technical architecture components, participate in detailed design reviews
- Should be able to do surveys and assessments of customers current environment, document the findings and provide in collaboration with the Architects solutions and estimations for remediations, transformation. Provide steps to take from state A to state B
- Server Management</t>
  </si>
  <si>
    <t>- Develop robust, scalable and secure system design, architecture and integration for business solutions
- Analyze current IT environment to detect critical deficiencies and suggest enhancement solutions
- Assess system designs to ensure that solutions will perform satisfactorily regarding security, maintainability, and scalability
- Analyze industry and market trends to identify impact on enterprise architecture - system design
- Recommend alternative technologies or improvements to enhance information systems to support business goals
- Diagnose infrastructure problems and providing technical, strategic and procedural support in resolution implementation
- Document key system components, interfaces, infrastructure and communications
- Should be able to provide up to 90% accuracy estimates for time, efforts, resources and BOM for solutions (remediation, installation, upgrades, transformations etc.). For remediation and upgrades they will work with Eng. L3 who did the survey &amp; assessment</t>
  </si>
  <si>
    <t>- Accurately testing, identifying, repairing, resolving, and documenting end user technical issues regarding basic network/desktop/laptop support, Printers, PDAs, Blackberrys, and LAN cable drops
- Break-fix, troubleshoot and resolve software issues; Reimaging computers/hard drives
- IMACD function including installation and decommission
- Backing up and restoring user data, settings and associated systems administration activities
- Assist ServiceDesk/Remote Desktop Support teams for hands and feet coordination efforts
- Categorize and prioritize end user support requests (Incidents) and service requests by utilizing ticketing system to track tickets and provide up-to-date status and information
- Move equipment associated with escalated help desk incidents and service requests</t>
  </si>
  <si>
    <t>- Accurately testing, identifying, repairing, resolving, and documenting end user technical issues regarding basic network/desktop/laptop support, Printers, PDAs, Blackberrys, and LAN cable drops
- Break-fix, troubleshoot and resolve software issues; Reimaging computers/hard drives
- IMACD function including installation and decommission
- Backing up and restoring user data, settings and associated systems administration activities
- Assist ServiceDesk/Remote Desktop Support teams for hands and feet coordination efforts
- Assist on Incident and Problem management activities
- Categorize and prioritize end user support requests (Incidents) and service requests by utilizing ticketing system to track tickets and provide up-to-date status and information
- Performing asset inventory activities as needed
- Basic understanding of DHCP, DNS, IP addressing and sub netting &amp; Basic understanding of fixing Wireless LAN, Ethernet desktop configuration issues</t>
  </si>
  <si>
    <t>- Accurately testing, identifying, repairing, resolving, and documenting end user technical issues regarding basic network/desktop/laptop support, Printers, PDAs, Blackberrys, and LAN cable drops
- Break-fix, troubleshoot and resolve software issues; Reimaging computers/hard drives
- IMACD function including installation and decommission
- Taking ownership of issues through to resolution on all appropriate requests
- Performing asset inventory activities as needed
- Recommends and performs upgrades on systems to ensure longevity
- Good understanding of DHCP, DNS, IP addressing and sub netting &amp; Basic understanding of fixing Wireless LAN, Ethernet desktop configuration issues</t>
  </si>
  <si>
    <t>Recruit/Vet/On-board/Support/Manage partner resources for PC/POS and peripheral Installations</t>
  </si>
  <si>
    <t>Above plus network and cabling installations.  POC installations and install documentation.</t>
  </si>
  <si>
    <t>Both DF1 and DF2 plus supervision/management of team</t>
  </si>
  <si>
    <t>PK-SD1</t>
  </si>
  <si>
    <t>Entry level position. First level service desk call support, level 1, logging tickets, basic triaging and troubleshooting. Able to follow scripted instructions toward resolution.</t>
  </si>
  <si>
    <t>PK-SD2</t>
  </si>
  <si>
    <t>Escalation point, 2nd level troubleshooting -- 4+ years experience who does all of level 1 plus advanced troubleshooting and resolution. Ability to solve issues without documented procedures. Subject Matter Expert in 1 or more technologies.</t>
  </si>
  <si>
    <t>PK-SD3</t>
  </si>
  <si>
    <t>All of the above as well as 1+ years managing staff and/or leading project teams</t>
  </si>
  <si>
    <t>PK-SD4</t>
  </si>
  <si>
    <t>In addition to the above, 5+ years of experience managing staff and/or leading project teams</t>
  </si>
  <si>
    <t>- Provides the first level technical support to user/customer on a variety of issues specific to IT infrastructure – including software, hardware, and telecommunications systems
- Tracks and reports user activity utilizing call management software
- Relies on instructions and pre-established guidelines to perform job functions
- This role currently provided monitoring services
- This role currently assists with server patching</t>
  </si>
  <si>
    <t>Sending reports to PM to send to customers with in contractual agreements</t>
  </si>
  <si>
    <t>- Provides telephone support to field office staff 
- Understands and applies new technical information. Troubleshoots, generally via telephone, hardware and software problems, assisting users with desktop applications and systems 
- Tracks and reports user activity utilizing call management software
- Uses applications to track user requests from ticket generation through completion and customer satisfaction processes
- Trains end users in use of equipment and software</t>
  </si>
  <si>
    <t>- Leads the helpdesk team on an ongoing basis and manages resource allocation
- Provides end-user support as and when required
- Acts as a source of direction, training and guidance for less experienced staff
- Customer meetings
-Staff scheduling
-Payroll
-Pre-sales support
-Employee performance and discipline</t>
  </si>
  <si>
    <t>IN - Backup 1</t>
  </si>
  <si>
    <t>• Entry level (1-3 years of experience)
• Configure, install, and manage data backups for applications and systems
• Develop and ensure that restore procedures are configured and tested
• Documents system changes through change management, team process and procedures, configuration management databases and system diagrams.
• Maintain and develop new standards for technical backup and recovery procedures for all sites</t>
  </si>
  <si>
    <t>IN - Backup 2</t>
  </si>
  <si>
    <t>• 3-5 years of experience
• Configure, install, and manage data backups for applications and systems
• Develop and ensure that restore procedures are configured and tested.
• Develops and follows change management documentation including back out plans.
• Backup/Recovery capacity planning
• Optimize current processes and develops new processes as required</t>
  </si>
  <si>
    <t>IN - Backup 3</t>
  </si>
  <si>
    <t>• 5-7 years of experience
• Participate in designing of the technical architecture to address complex backup requirements, including design of entire backup infrastructure
• Leads tool evaluation efforts including definition of evaluation criteria, tool identification and the actual evaluation
• Responsible for definition of a total disaster recovery plan and presenting appropriate options to the client
• Functions as project leader when required</t>
  </si>
  <si>
    <t>IN - Cloud 1</t>
  </si>
  <si>
    <t>• Entry level (1-3 years of experience)
• Support and sustain customer facing Production Environment
• Front line support for Cloud Monitoring - Infrastructure and Application
• Respond, troubleshoot and resolve production alerts
• Communicate and troubleshoot operational issues supporting a complex environment
• Initiate Incident Response for cloud outages</t>
  </si>
  <si>
    <t>IN - Cloud 2</t>
  </si>
  <si>
    <t>• 3-5 years of experience
• Respond to product escalations from Support as well as Engineering
• Analyse trends to proactively prevent incidents
• Understand Cloud IAM policies
• Perform User and access management for different cloud services
• Participate in Cloud Updates and Maintenance activities</t>
  </si>
  <si>
    <t>IN - Cloud 3</t>
  </si>
  <si>
    <t>• 5-7 years of experience
• Implementing and controlling the flow of data to and from Cloud platform
• Respond to product escalations from Support as well as Engineering
• Analyse trends to pro•actively prevent incidents
• Perform Capacity Management, Sizing and TCO Calculation for Databases, servers, etc, to be procured on Cloud
• Lead Cloud Updates and Maintenance activities</t>
  </si>
  <si>
    <t>IN - Collab 1</t>
  </si>
  <si>
    <t>• Entry level (1-3 years of experience)
• Exchange/0365/Gsuit/Sharepoint Services
• SMTP connector status
• E Mail Queue - Manual/automated
• Disk space / log size/White apace monitoring</t>
  </si>
  <si>
    <t>IN - Collab 2</t>
  </si>
  <si>
    <t>Create Mailbox, Delete mailbox, Modify mailbox, Move mailbox between servers / stores, Create Distribution lists, Delete Distribution lists, Modify Distribution lists, Create System policies, Check the database White space, Generate Monthly reports for database growth trend, Configure mailbox settings manually, Troubleshoot Email delivery issues, Troubleshoot Email fiolterign issues</t>
  </si>
  <si>
    <t>IN - Collab 3</t>
  </si>
  <si>
    <t>Apply System Policies, Create new routing groups, Configure  RG settings, Create New Storage groups, Create new stores, Verify the database health, Plan for maintenance, Defragment the database, Configure SMTP setting, Configure recipient policies, Configure whitelist/black list, Manage inter organization replication, Global Address List Management (incl. GAL Syncs with BUs)</t>
  </si>
  <si>
    <t>IN - DB 1</t>
  </si>
  <si>
    <t>• Entry level (1•3 years of experience)
• Monitoring of databases and execution of administration jobs
• Planning and updating Backup and restoration policies for exiting assets
• Manage databases, and related maintenance processes • to include backup, recovery, and optimization
• Cloning database for supported assets
• Create, Update and maintain Knowledge base
• Check and implement best practices</t>
  </si>
  <si>
    <t>IN - DB 2</t>
  </si>
  <si>
    <t>• 3-5 years of experience
• Administers, maintains, develops, and implements policies and procedures for ensuring the security and integrity of the company database
• Resolves database performance issues, database capacity issues, replication, and other distributed data issues
• Implements data models and database designs, data access and table maintenance codes
• Plans, executes, and maintains database capacity, backup and recovery, and disaster recovery plans
• Generates, configures, and optimizes the performance of the databases
• Supports the efforts of the test lead and deployment lead to plan, manage, and deploy the application
• Updates logical and physical database designs with changes  
• Documents benchmarks and procedures needed to optimize performance</t>
  </si>
  <si>
    <t>IN - DB 3</t>
  </si>
  <si>
    <t>• 5-7 years of experience
• Performs data modeling, logical and physical database design based on a thorough knowledge of modeling techniques, the modeling tools available on the project, and the business functions of the subject system
• Resolves database performance issues, database capacity issues, replication, and other distributed data issues
• Generates, configures, and optimizes the performance of the databases
• Supports the efforts of the test lead and deployment lead to plan, manage, and deploy the application
• Updates logical and physical database designs with changes  
• Ensures that all guidelines are followed
• Provides input on any design decisions for interfacing or integrating databases
• Works with the configuration manager to determine change control and impact analysis for the databases
• Plans disaster recovery and execution activities
• Provides guidance and leads junior team members</t>
  </si>
  <si>
    <t>IN - ITIL 2</t>
  </si>
  <si>
    <t>• 8-10 years of experience
• ITIL based Service Management background
•Incident, Change, Problem, Demand, Release and Configuration Management processes in Service Delivery
•Work with the development and support teams in implementing the modified processes</t>
  </si>
  <si>
    <t>IN - ITIL 3</t>
  </si>
  <si>
    <t>• 10-15 years of experience
•Establish and implement ITIL-aligned Incident, Problem, Change and Service request along with Configuration Management policies, processes and procedures
•Knowledge or an ITSM tool like (ServiceNow or RemedyForce)</t>
  </si>
  <si>
    <t>IN - Mainframe 1</t>
  </si>
  <si>
    <t>• Entry level (1-3 years of experience)
• Monitor and execute batch processing on multiple OS platforms using line commands, menus, and GUI interfaces
• Monitor and manage Mainframe systems and respond to alerts
• Perform problem determination, escalations, document, and follow issues through to resolution
• Escalate issues to L2 or application teams
• Reply to messages from the console
• Execute tests following standard operating procedures
• Execute requests for single job submissions</t>
  </si>
  <si>
    <t>IN - Mainframe 2</t>
  </si>
  <si>
    <t>• 3-5 years of experience
• Assist and troubleshoot current Mainframe environment
• Acts as a Project manager or Technical lead for integration of systems on allocated software
• Analyze designs, develop and execute custom application features and functions
• Develop apt standards and controls to ensure every system’s projects function effectively perform all varied applications as well as operating systems
• Design, code, test, debug, and record those programs proficient to work at top technical level of every level of applications programming activities
• Evaluate, design, code and test improvement as required to complex modules
• Design and develop code applications to meet technical and functional programming standards
• Develop operational documents for Application</t>
  </si>
  <si>
    <t>IN - Mainframe 3</t>
  </si>
  <si>
    <t>• 5-7 years of experience
• Creation of High and Detail level designs 
• Create architectures and designs, conduct peer reviews, and develop target state architectures
• Create, test, document and troubleshoot new and existing APIs working with architects, application developers, networking architects and infrastructure teams
• Provide inputs for process/documentation improvements
• Implement PoCs as needed to assist with research and development of strategic roadmap
• Work with business partners to drive and capture both functional and non•functional system requirements
• Define best practices for solution implemented</t>
  </si>
  <si>
    <t>IN - Network 3</t>
  </si>
  <si>
    <t>• 10-12 years of experience
• Responsible for the overall architecture of a network and its underlying delivery infrastructure
• Responsibilities include high level design of system interactions and interfaces as well as defining and coordinating the architectural development for optimal performance of applications and interfaces</t>
  </si>
  <si>
    <t>IN - NOC 1</t>
  </si>
  <si>
    <t>• Entry level (1-3 years of experience)
• Perform troubleshooting to system failures and identify bottlenecks to ensure long term efficiency of network
• Inspect LAN infrastructure and fix minor or major problems/bugs
• Do regular data backups to protect the organization’s information
• Evaluate network performance and find ways of improvement
• Organize and schedule upgrades and maintenance without deterring others from completing their own work
• Provide technical direction to co•workers on computer and network usage and offer comprehensive advice and instructions</t>
  </si>
  <si>
    <t>IN - NOC 2</t>
  </si>
  <si>
    <t>• 3-5 years of experience
• Effectively monitor and take action to provide coordination of all network components and activities into an effective solution and decide on issues requiring escalation
• Perform proactive Network fault detection and diagnostic activities
• Capacity planning related to Networks
• Configuration back•up and restore of supported equipment, in accordance with approved processes
• Prevent, detect, contain, escalate and correct network security incidents
• Reporting and Maintaining documentation of problem resolution activities
• Documents benchmarks and procedures needed to optimize performance</t>
  </si>
  <si>
    <t>IN - NOC 3</t>
  </si>
  <si>
    <t>• 5-7 years of experience
• Lead teams involved in monitoring, management, reporting and documentation on Network performance
• Configuration of supported equipment
• Prevent, detect, contain, escalate and correct network security incidents
• Vendor Management
• Plans disaster recovery and execution activities
• Provides guidance and leads junior team members</t>
  </si>
  <si>
    <t>IN - OS 1</t>
  </si>
  <si>
    <t>• Entry level (1-3 years of experience)
• Perform system monitoring and analysis, and performance tuning
• Troubleshooting system hardware, software, networks and operating systems
• Monitoring the activities of development team using remote desktop and reporting any suspicious activity
• Escalate to L2 team for further investigation
• Create incident tickets through ITSM</t>
  </si>
  <si>
    <t>IN - OS 2</t>
  </si>
  <si>
    <t>• 3-5 years of experience
• System monitoring
• Patch management
• Software support
• Production control and job scheduling
• Performance/capacity management
• Reporting and documentation
• Implementation of security policies</t>
  </si>
  <si>
    <t>IN - OS 3</t>
  </si>
  <si>
    <t>• 5-7 years of experience
• Implementation of security policies
• Configuration of supported equipment
• Leads tool evaluation efforts including definition of evaluation criteria, tool identification and the actual evaluation
• Responsible for definition of a total disaster recovery plan and presenting appropriate options to the client
• Functions as project leader when required
• Understand latest architecture, technology, solutions, and industry trends
• Define technical requirements and design, develop technical architecture components, participate in detailed design reviews</t>
  </si>
  <si>
    <t>IN - Remote Desktop 1</t>
  </si>
  <si>
    <t>IN - Remote Desktop 2</t>
  </si>
  <si>
    <t>IN - Remote Desktop 3</t>
  </si>
  <si>
    <t>IN - Security 1</t>
  </si>
  <si>
    <t>• Entry level (1-3 years of experience)
• Receive and analyze alarms from intrusion detection and other systems
• Conduct analysis of logs from firewalls and applications to detect various types of IT related threats
• Alerting and assisting customers when incidents occur
• Analyzes information security systems and applications and recommends and develops security measures to protect information against unauthorized modification or loss
• Analyzes functional and technical specifications early within the software development life cycle and identifies possible threats or areas of weakness based on the documentation</t>
  </si>
  <si>
    <t>IN - Security 2</t>
  </si>
  <si>
    <t>• 3-5 years of experience
•Conducts security risk assessments from an “end-to-end” logical security and other perspectives as outlined
• Provide recommendations and business cases based on security principles, policies, and standards 
• Analyzes the data from reports of vulnerabilities, gaps, and risks
• Prevent, detect, contain, escalate and correct network security incidents
• Reporting and Maintaining documentation of problem resolution activities
• Documents benchmarks and procedures needed to optimize performance</t>
  </si>
  <si>
    <t>IN - Security 3</t>
  </si>
  <si>
    <t>• 5-7 years of experience
• Participate in designing of the technical architecture to address complex security requirements, including design of entire security infrastructure
• Leads tool evaluation efforts including definition of evaluation criteria, tool identification and the actual evaluation
• Responsible for definition of a total disaster recovery plan and presenting appropriate options to the client
• Ensures that the developed and deployed capabilities align with the business architecture and meet performance goals
• Recommend enhancements to SOC security process, procedures and policies
• Provides guidance and leads junior team members</t>
  </si>
  <si>
    <t>IN - Server 1</t>
  </si>
  <si>
    <t>IN - Server 2</t>
  </si>
  <si>
    <t>IN - Server 3</t>
  </si>
  <si>
    <t>IN-SD1</t>
  </si>
  <si>
    <t>• Entry level position
• First level service desk call support, level 1, logging tickets, basic triaging and troubleshooting
•Able to follow scripted instructions toward resolution.</t>
  </si>
  <si>
    <t>IN-SD2</t>
  </si>
  <si>
    <t>• Escalation point, 2nd level troubleshooting with 3+ years of experience 
• All Level 1 descriptions plus advanced troubleshooting and resolution
• Ability to solve issues without documented procedures 
• Subject Matter Expert in 1 or more technologies</t>
  </si>
  <si>
    <t>IN - Storage 1</t>
  </si>
  <si>
    <t>• Entry level (1-3 years of experience)
• Monitor, optimize, and manage storage performance
• Monitor storage capacity requirements and availability
• Troubleshoot IO performance problems 
• Maintain reports and documentation on performance</t>
  </si>
  <si>
    <t>IN - Storage 2</t>
  </si>
  <si>
    <t>• 3-5 years of experience
• Perform storage array, capacity and hardware upgrades
• Provisioning storage for operational growth
• Storage decommissioning
• Forecasting and planning for capacity and availability
• Optimize, and manage storage performance
• Configuration of storage systems</t>
  </si>
  <si>
    <t>IN - Storage 3</t>
  </si>
  <si>
    <t>• 5-7 years of experience
• Responsible for Storage Management services and product support for NetApp, EMC, IBM storage, etc.
• Lead root cause analysis exercise and assess impact of the problem and develop a resolution plan
• Provide recommendations to improve the SAN infrastructure, and address/lead critical issues
• Participate in designing of the technical architecture to address complex storage requirements, including design of entire storage infrastructure
• Leads tool evaluation efforts including definition of evaluation criteria, tool identification and the actual evaluation
• Responsible for definition of a total disaster recovery plan and presenting appropriate options to the client
• Functions as project leader when required</t>
  </si>
  <si>
    <t>IN - Systems 3</t>
  </si>
  <si>
    <t>• 10-12 years of experience
• Responsible for the overall architecture of a system and its underlying delivery infrastructure
• Responsibilities include high level design of system interactions and interfaces as well as defining and coordinating the architectural development for optimal performance of applications and interfaces</t>
  </si>
  <si>
    <t>IC1</t>
  </si>
  <si>
    <t>Awaiting finalized description of resource capabilities.</t>
  </si>
  <si>
    <t>IC2</t>
  </si>
  <si>
    <t>IC3</t>
  </si>
  <si>
    <t>WH1</t>
  </si>
  <si>
    <t>WH2</t>
  </si>
  <si>
    <t>Performs the following activities under supervision of senior team members:
- System monitoring
- Reporting and documentation
- Escalate issues to senior team members when required
- Measure and analyze Network/ Storage /Compute availability</t>
  </si>
  <si>
    <t>- Patch management
- Software support
- Reporting and documentation
- Monitor, optimize, and manage performance
- Monitor capacity requirements 
- Capacity planning
- Proactive fault detection and diagnostic</t>
  </si>
  <si>
    <t>- Lead teams involved in monitoring, management, reporting and documentation on performance
- Configuration of supported equipment
- Vendor Management
- Prevent, detect, contain, escalate and correct incidents
- Leads/mentors junior team members
- Monitor capacity requirements and forecast growth</t>
  </si>
  <si>
    <t>- Perform troubleshooting to system failures and identify bottlenecks to ensure long term efficiency of network
- Inspect LAN infrastructure and fix minor or major problems/bugs
- Do regular data backups to protect the organization’s information
- Evaluate network performance and find ways of improvement
- Organize and schedule upgrades and maintenance without deterring others from completing their own work
- Provide technical direction to co-workers on computer and network usage and offer comprehensive advice and instructions</t>
  </si>
  <si>
    <t>- Effectively monitor and take action to provide coordination of all network components and activities into an effective solution and decide on issues requiring escalation
- Perform proactive Network fault detection and diagnostic activities
- Capacity planning related to Networks
- Configuration back-up and restore of supported equipment, in accordance with approved processes
- Prevent, detect, contain, escalate and correct network security incidents
- Reporting and Maintaining documentation of problem resolution activities
- Documents benchmarks and procedures needed to optimize performance</t>
  </si>
  <si>
    <t>- Lead teams involved in monitoring, management, reporting and documentation on Network performance
- Configuration of supported equipment
- Prevent, detect, contain, escalate and correct network security incidents
- Vendor Management
- Plans disaster recovery and execution activities
- Provides guidance and leads junior team members</t>
  </si>
  <si>
    <t>- Lead technical teams involved in configuration and deployment of network and security devices 
- Demonstrate configuration and design capabilities of supported equipment
- Ability to speak confidently and clearly to customers on all supported network and security engagements
- Plans, manages, and implement customer transition/onboarding efforts
- Provides guidance and leads senior/junior team members
- Ability to conduct detailed analysis and design of Network and Security offerings with the ability to provide customer recommendations
- Assist with scoping and solutions of customer engagements from an LOE perspective
- Expert level support across multiple vendors and technologies
- Demonstrated knowledge across one or more other solution environments (for example: knowledge of virtualization, cloud, MDM, etc.
- Technical management and oversight of engagements and the ability to work with project management on SLA's and reporting</t>
  </si>
  <si>
    <t>Exhibits a broad understanding of the current and future technology architectures, an awareness of the organization’s key strategies and objectives and particular depth of understanding of goals and objectives of an area they may support 
- Participates in the development of technology standards in their area(s) of technical expertise to provide road maps which specify future state and how to get there to increase capabilities, scalability and performance 
- Proposes technology standards and investments (where applicable) supported by a thorough technical analysis, proof of concept and business case 
- Supports the designs of solutions, consulting to the project team(s), assessing impact and interdependencies and provides the recommendations to effectively manage the impact 
- Provides technical guidance, training, direction and reviews the work of colleagues working on architectural issues to ensure alignment 
- Establishes systems to monitor compliance with architectural standards and to ensure technical integrity 
- Provides technical guidance and mentorship to team members 
 - Provides solutions to the projects or business, leveraging their technical expertise to guide the implementation</t>
  </si>
  <si>
    <t>IN - PM2</t>
  </si>
  <si>
    <t>• 8-10 years of experience
• Tracks the execution of project deliverables on a daily basis and participates in requirements gathering
• Performs design and testing workshops to ensure alignment of objectives and tasks across teams
• Works with Architects, Designers, Senior Testers and Business Analysts at a technological and functional level, to ensure that the solution meets business needs
• Mentors junior members in the team on development and support processes
• Collects and analyses project metrics</t>
  </si>
  <si>
    <t>IN - PM3</t>
  </si>
  <si>
    <t>• 10-12 years of experience
• Responsible for providing overall leadership for a project or support effort
• Accountable for deliverables and developing schedules, milestones, resource requirements and staffing plans to achieve deliverables
• Allocates tasks among team members and assesses team progress toward objectives
• Monitors progress, recognizes and helps resolve technical problems
• Serves as the primary point of contact with client technical management
• Provides regular status reports and briefings
• Assures recognition of project changes and execution of related change control procedures
• Manages the project resources, including customer and contractor as required</t>
  </si>
  <si>
    <t>PK-PM1</t>
  </si>
  <si>
    <t>PK-PC1</t>
  </si>
  <si>
    <t>PK-PM2</t>
  </si>
  <si>
    <t>PK-PM3</t>
  </si>
  <si>
    <t>- PMP and Cloud Technology-certfied Project Manager 
- Skills represented in following certifications (examples) - AWS Cloud Practitioner; Azure Fundamentals (all); GCP Cloud Digital Leader
- Responsible for providing overall leadership for a project or support effort
- Accountable for deliverables and developing schedules, milestones, resource requirements and staffing plans to achieve deliverables
- Allocates tasks among team members and assesses team progress toward objectives
- Monitors progress, recognizes and helps resolve technical problems
- Serves as the primary point of contact with client technical management
- Provides regular status reports and briefings
- Assures recognition of project changes and execution of related change control procedures
- Manages the project resources, including customer and contractor as required</t>
  </si>
  <si>
    <t>- Manages multiple projects within a program and provides central point of contact for all projects within the portfolio. Responsible for meeting the expectations of the program's Service Level Objectives and operational criteria as well as managing deliverable-based aspects of the engagement and for managing the Service Level 
performance criteria
- Performs and/or assigns any and all tasks necessary to deliver program commitments, secures deliverable approvals, secures sign-off of project plans, maintains overall responsibility for financial performance of the projects, tracks and reports program status and maintains on-going communications with stakeholders</t>
  </si>
  <si>
    <t>- Tracks the execution of project deliverables on a daily basis
- Ensure alignment of objectives and tasks across teams
- Work with project team members on development and support processes
- Manage deadlines and workflow and schedule periodic review meetings to track project progress
- Oversee project procurement management
- Act as the point of contact and communicate project status to all participants
- Work with the Project Manager to eliminate roadblocks</t>
  </si>
  <si>
    <t>- Tracks the execution of project deliverables on a daily basis and participates in requirements gathering
- Performs design and testing workshops to ensure alignment of objectives and tasks across teams
- Works with Architects, Designers, Senior Testers and Business Analysts at a technological and functional level, to ensure that the solution meets business needs
- Mentors junior members in the team on development and support processes
- Collects and analyses project metrics</t>
  </si>
  <si>
    <t>- Responsible for providing overall leadership for a project or support effort
- Accountable for deliverables and developing schedules, milestones, resource requirements and staffing plans to achieve deliverables
- Allocates tasks among team members and assesses team progress toward objectives
- Monitors progress, recognizes and helps resolve technical problems
- Serves as the primary point of contact with client technical management
- Provides regular status reports and briefings
- Assures recognition of project changes and execution of related change control procedures
- Manages the project resources, including customer and contractor as required</t>
  </si>
  <si>
    <t>Partner Resource Descriptions</t>
  </si>
  <si>
    <t>Field Nation</t>
  </si>
  <si>
    <t>Field Nation "Smart Hands" Technician</t>
  </si>
  <si>
    <t>Technician can complete simple field Lifecycle Management tasks/activities such as IMAC (Installation, Move, Add, Change) of PC equipment and peripherals.</t>
  </si>
  <si>
    <t>Field Nation Cabling Technician</t>
  </si>
  <si>
    <t>Small 1 to 2 cable runs per location. Larger cabling opportunties where larger scale cabling, test results, etc. are required a cabling partner will need to be engaged.</t>
  </si>
  <si>
    <t>Field Nation Collaboration Technician</t>
  </si>
  <si>
    <t>Small 1 to 2 displays per location. Larger A/V opportunties where cabling, equipment configuration, more displays, etc. are required an A/V partner will need to be engaged.</t>
  </si>
  <si>
    <t>Field Nation Desktop Support Technician</t>
  </si>
  <si>
    <t>Technician can complete field network and systems installation tasks/activities such as installation, decommission and patching.</t>
  </si>
  <si>
    <t>Overwrite this text with Partner's name.</t>
  </si>
  <si>
    <t>Populates "Resource Type" Selections via "Resource Descriptions" Tab</t>
  </si>
  <si>
    <t>Start</t>
  </si>
  <si>
    <t>End</t>
  </si>
  <si>
    <t>Length</t>
  </si>
  <si>
    <t>Unit/Measurement Type</t>
  </si>
  <si>
    <t>Phase Based</t>
  </si>
  <si>
    <t>ZBaaS</t>
  </si>
  <si>
    <t>Device(s)</t>
  </si>
  <si>
    <t>Startup</t>
  </si>
  <si>
    <t>Startup-Onboarding</t>
  </si>
  <si>
    <t>Project Site(s)</t>
  </si>
  <si>
    <t>Phase 1</t>
  </si>
  <si>
    <t>MS and Licensing</t>
  </si>
  <si>
    <t>Month(s)</t>
  </si>
  <si>
    <t>Phase 2</t>
  </si>
  <si>
    <t>Blank 1</t>
  </si>
  <si>
    <t>Annually</t>
  </si>
  <si>
    <t>Phase 3</t>
  </si>
  <si>
    <t>Blank 2</t>
  </si>
  <si>
    <t>Ticket(s)</t>
  </si>
  <si>
    <t>Phase 4</t>
  </si>
  <si>
    <t>Blank 3</t>
  </si>
  <si>
    <t>Phase 5</t>
  </si>
  <si>
    <t>Blank 4</t>
  </si>
  <si>
    <t>Hourly Rate</t>
  </si>
  <si>
    <t>Closeout</t>
  </si>
  <si>
    <t>Blank 5</t>
  </si>
  <si>
    <t>Blank 6</t>
  </si>
  <si>
    <t>Pro Services</t>
  </si>
  <si>
    <t>Blank 7</t>
  </si>
  <si>
    <t>ZBaaS Startup and Onboarding Costs</t>
  </si>
  <si>
    <t>Minimum # of Users</t>
  </si>
  <si>
    <t>Maximum # of Users</t>
  </si>
  <si>
    <t>Criteria Match?</t>
  </si>
  <si>
    <t>User Base</t>
  </si>
  <si>
    <t>Sell Price</t>
  </si>
  <si>
    <t>Managed Staffing</t>
  </si>
  <si>
    <t>Add Resource Title in Notes (Column I)</t>
  </si>
  <si>
    <t>Populates "Shift" Selections via Adjacent Table</t>
  </si>
  <si>
    <t>1-2,999</t>
  </si>
  <si>
    <t xml:space="preserve"> </t>
  </si>
  <si>
    <t>3,000-4,999</t>
  </si>
  <si>
    <t>Determines "Shift" Selections</t>
  </si>
  <si>
    <t>5,000-9,999</t>
  </si>
  <si>
    <t>Shift</t>
  </si>
  <si>
    <t>10,000-39,999</t>
  </si>
  <si>
    <t>40,000-60,000</t>
  </si>
  <si>
    <t>OT</t>
  </si>
  <si>
    <t>Recommended Margin</t>
  </si>
  <si>
    <t>Recommended Sell</t>
  </si>
  <si>
    <t>MS &amp; Licensing Cost</t>
  </si>
  <si>
    <t>ZBaaS Calc?</t>
  </si>
  <si>
    <t>Evaluation</t>
  </si>
  <si>
    <t>Column KL</t>
  </si>
  <si>
    <t>Column M</t>
  </si>
  <si>
    <t>Regular/1st Shift</t>
  </si>
  <si>
    <t>2nd Shift</t>
  </si>
  <si>
    <t>3rd Shift</t>
  </si>
  <si>
    <t>No.</t>
  </si>
  <si>
    <t>Condition</t>
  </si>
  <si>
    <t>Answer is “Yes”</t>
  </si>
  <si>
    <t>Answer is “No”</t>
  </si>
  <si>
    <t>T/F</t>
  </si>
  <si>
    <t>Is blended margin percentage greater than 20% overall? (Baseline tab, cell I3)</t>
  </si>
  <si>
    <t>Move to 2</t>
  </si>
  <si>
    <t>Move to 6</t>
  </si>
  <si>
    <t>Is Project Management cost greater than 12% of overall project cost? (Baseline tab, cell I4)</t>
  </si>
  <si>
    <t>Move to 3</t>
  </si>
  <si>
    <t>Is total project revenue $50,000 or less? (Baseline tab, cell C22)</t>
  </si>
  <si>
    <t>See Approver Table, Level A</t>
  </si>
  <si>
    <t>Move to 4</t>
  </si>
  <si>
    <t>Is total project revenue greater than $50,000 and less than $100,000? (Baseline tab, cell C22)</t>
  </si>
  <si>
    <t>See Approver Table, Level B</t>
  </si>
  <si>
    <t>Move to 5</t>
  </si>
  <si>
    <t>Is total project revenue greater than $100,000? (Baseline tab, cell C22)</t>
  </si>
  <si>
    <t>See Approver Table, Level C</t>
  </si>
  <si>
    <t>See Approver Table, Level D</t>
  </si>
  <si>
    <t>Move to 7</t>
  </si>
  <si>
    <t>Is total project revenue greater than $50,000? (Baseline tab, cell C22)</t>
  </si>
  <si>
    <t>See Approver Table, Level E</t>
  </si>
  <si>
    <t>Level</t>
  </si>
  <si>
    <t>Required Approvals</t>
  </si>
  <si>
    <t>Approval Authority #1</t>
  </si>
  <si>
    <t>Approval Authority #2</t>
  </si>
  <si>
    <t>Approver Department</t>
  </si>
  <si>
    <t>TBD</t>
  </si>
  <si>
    <t>Pricing Approver #1:</t>
  </si>
  <si>
    <t>Pricing Approver #2:</t>
  </si>
  <si>
    <t>A</t>
  </si>
  <si>
    <t>No Additional Pricing Approval Required</t>
  </si>
  <si>
    <t>B</t>
  </si>
  <si>
    <t>Audit &amp; Control</t>
  </si>
  <si>
    <t>Mark Smrstik</t>
  </si>
  <si>
    <t>Audit &amp; Control Approver(s):</t>
  </si>
  <si>
    <t>C</t>
  </si>
  <si>
    <t>Audit &amp; Control and Pricing Executive</t>
  </si>
  <si>
    <t>Regional Director</t>
  </si>
  <si>
    <t>Pricing Executive Approver(s):</t>
  </si>
  <si>
    <t>D</t>
  </si>
  <si>
    <t>Sales Leadership and Solution Development</t>
  </si>
  <si>
    <t>Tony Balistreri</t>
  </si>
  <si>
    <t>Sales Leadership Approver(s):</t>
  </si>
  <si>
    <t>Solution Development Approver(s):</t>
  </si>
  <si>
    <t>Chris Cox</t>
  </si>
  <si>
    <t>Quentin Gayles</t>
  </si>
  <si>
    <t>Brian Lewis</t>
  </si>
  <si>
    <t>Robert McGowen</t>
  </si>
  <si>
    <t>Bill Morrissey</t>
  </si>
  <si>
    <t>Service Desk Manager</t>
  </si>
  <si>
    <t>David Posey</t>
  </si>
  <si>
    <t>Michael Reed</t>
  </si>
  <si>
    <t>Travis Shipley</t>
  </si>
  <si>
    <t>Michael Stipe</t>
  </si>
  <si>
    <t>Imran Yunus</t>
  </si>
  <si>
    <t>E</t>
  </si>
  <si>
    <t>Sales Leadership and Pricing Executive</t>
  </si>
  <si>
    <t>Services Approval Matrix</t>
  </si>
  <si>
    <t>Published Date:</t>
  </si>
  <si>
    <t>Service Classification</t>
  </si>
  <si>
    <t>Zn Services</t>
  </si>
  <si>
    <t>Z Services</t>
  </si>
  <si>
    <r>
      <t xml:space="preserve">Pre-Sales
</t>
    </r>
    <r>
      <rPr>
        <sz val="9"/>
        <color rgb="FF000000"/>
        <rFont val="Segoe UI"/>
        <family val="2"/>
      </rPr>
      <t>(Technical Solution &amp; Pricing)</t>
    </r>
  </si>
  <si>
    <r>
      <t xml:space="preserve">Sales
</t>
    </r>
    <r>
      <rPr>
        <sz val="9"/>
        <color rgb="FF000000"/>
        <rFont val="Segoe UI"/>
        <family val="2"/>
      </rPr>
      <t>(Account Team recommendations)</t>
    </r>
  </si>
  <si>
    <r>
      <t xml:space="preserve">Supply Chain
</t>
    </r>
    <r>
      <rPr>
        <sz val="9"/>
        <color rgb="FF000000"/>
        <rFont val="Segoe UI"/>
        <family val="2"/>
      </rPr>
      <t>(Inventory)</t>
    </r>
  </si>
  <si>
    <r>
      <t>Legal</t>
    </r>
    <r>
      <rPr>
        <b/>
        <sz val="9.5"/>
        <color rgb="FFFF0000"/>
        <rFont val="Segoe UI"/>
        <family val="2"/>
      </rPr>
      <t>*</t>
    </r>
    <r>
      <rPr>
        <b/>
        <sz val="9.5"/>
        <color rgb="FF000000"/>
        <rFont val="Segoe UI"/>
        <family val="2"/>
      </rPr>
      <t xml:space="preserve">
</t>
    </r>
    <r>
      <rPr>
        <sz val="9"/>
        <color rgb="FF000000"/>
        <rFont val="Segoe UI"/>
        <family val="2"/>
      </rPr>
      <t>(Audit Rights, Contractual Obligations)</t>
    </r>
  </si>
  <si>
    <r>
      <t>HR</t>
    </r>
    <r>
      <rPr>
        <b/>
        <sz val="9.5"/>
        <color rgb="FFFF0000"/>
        <rFont val="Segoe UI"/>
        <family val="2"/>
      </rPr>
      <t>*</t>
    </r>
    <r>
      <rPr>
        <b/>
        <sz val="9.5"/>
        <color rgb="FF000000"/>
        <rFont val="Segoe UI"/>
        <family val="2"/>
      </rPr>
      <t xml:space="preserve">
</t>
    </r>
    <r>
      <rPr>
        <sz val="9"/>
        <color rgb="FF000000"/>
        <rFont val="Segoe UI"/>
        <family val="2"/>
      </rPr>
      <t>(Rebadging)</t>
    </r>
  </si>
  <si>
    <r>
      <t>Finance</t>
    </r>
    <r>
      <rPr>
        <b/>
        <sz val="9.5"/>
        <color rgb="FFFF0000"/>
        <rFont val="Segoe UI"/>
        <family val="2"/>
      </rPr>
      <t>*</t>
    </r>
    <r>
      <rPr>
        <b/>
        <sz val="9.5"/>
        <color rgb="FF000000"/>
        <rFont val="Segoe UI"/>
        <family val="2"/>
      </rPr>
      <t xml:space="preserve">
</t>
    </r>
    <r>
      <rPr>
        <sz val="9"/>
        <color rgb="FF000000"/>
        <rFont val="Segoe UI"/>
        <family val="2"/>
      </rPr>
      <t>(Credit Limit, Leasing/Financing options, Exceptions to standard Payment Terms of Net 30)</t>
    </r>
  </si>
  <si>
    <r>
      <t xml:space="preserve">IT Solutions (Products &amp; Services)
</t>
    </r>
    <r>
      <rPr>
        <sz val="9"/>
        <color rgb="FF000000"/>
        <rFont val="Segoe UI"/>
        <family val="2"/>
      </rPr>
      <t>(Pricing Approvals for cross-subsidy of Products and Services )</t>
    </r>
  </si>
  <si>
    <t>Solution Scope</t>
  </si>
  <si>
    <t>Managed Services</t>
  </si>
  <si>
    <t>Professional Services</t>
  </si>
  <si>
    <t>Field Deployment Services</t>
  </si>
  <si>
    <t>Global Services*</t>
  </si>
  <si>
    <t>Staffing Services</t>
  </si>
  <si>
    <t>TSC</t>
  </si>
  <si>
    <t>Opportunity Size</t>
  </si>
  <si>
    <t>Service Desk, NOC, Cloud Managed SaaS</t>
  </si>
  <si>
    <t>SOC, CyberSecurity, NexGen Network, Cloud &amp; Data Center</t>
  </si>
  <si>
    <t>Customer-Direct</t>
  </si>
  <si>
    <t>Alliance</t>
  </si>
  <si>
    <t>All</t>
  </si>
  <si>
    <t>Lifecycle Services</t>
  </si>
  <si>
    <t>Greater than $2.5M</t>
  </si>
  <si>
    <t>Jeff Andrew</t>
  </si>
  <si>
    <t>Linda Marbena</t>
  </si>
  <si>
    <t>Deepak Purohit</t>
  </si>
  <si>
    <t>Quentin Gayles / Sean Hobday / 
Dom Camden / Robert McGowen</t>
  </si>
  <si>
    <t>Ed Moninger</t>
  </si>
  <si>
    <t>Jon Bailey</t>
  </si>
  <si>
    <t>Rose Capistran</t>
  </si>
  <si>
    <t>Russell Day</t>
  </si>
  <si>
    <t>Derrek Hallock + Russell Day</t>
  </si>
  <si>
    <t>500k to $2.5M</t>
  </si>
  <si>
    <t>Pat Healy</t>
  </si>
  <si>
    <t>Tony Abedini</t>
  </si>
  <si>
    <t>Bob Plate</t>
  </si>
  <si>
    <t>Mike Marty</t>
  </si>
  <si>
    <t>Jessa Santeford</t>
  </si>
  <si>
    <t>Mike Dennis + Jessa Santeford</t>
  </si>
  <si>
    <t>200k to $500K</t>
  </si>
  <si>
    <r>
      <rPr>
        <b/>
        <sz val="9.5"/>
        <color rgb="FF000000"/>
        <rFont val="Segoe UI"/>
        <family val="2"/>
      </rPr>
      <t>Service Desk</t>
    </r>
    <r>
      <rPr>
        <sz val="9.5"/>
        <color rgb="FF000000"/>
        <rFont val="Segoe UI"/>
        <family val="2"/>
      </rPr>
      <t xml:space="preserve"> - Steve Lane
</t>
    </r>
    <r>
      <rPr>
        <b/>
        <sz val="9.5"/>
        <color rgb="FF000000"/>
        <rFont val="Segoe UI"/>
        <family val="2"/>
      </rPr>
      <t>NOC</t>
    </r>
    <r>
      <rPr>
        <sz val="9.5"/>
        <color rgb="FF000000"/>
        <rFont val="Segoe UI"/>
        <family val="2"/>
      </rPr>
      <t xml:space="preserve"> - Rick Topkins
</t>
    </r>
    <r>
      <rPr>
        <b/>
        <sz val="9.5"/>
        <color rgb="FF000000"/>
        <rFont val="Segoe UI"/>
        <family val="2"/>
      </rPr>
      <t>Could Managed SaaS</t>
    </r>
    <r>
      <rPr>
        <sz val="9.5"/>
        <color rgb="FF000000"/>
        <rFont val="Segoe UI"/>
        <family val="2"/>
      </rPr>
      <t xml:space="preserve"> - Steve Lane</t>
    </r>
  </si>
  <si>
    <t>Steve Adams and/or Jim Henry</t>
  </si>
  <si>
    <t>Cara McEvoy</t>
  </si>
  <si>
    <t>George Ganas</t>
  </si>
  <si>
    <t>RD / Services Director</t>
  </si>
  <si>
    <t>ATE / AM</t>
  </si>
  <si>
    <t>Brandee Brown</t>
  </si>
  <si>
    <t>Justin Nguyen</t>
  </si>
  <si>
    <t>50k to $200K</t>
  </si>
  <si>
    <t>Up to $50K</t>
  </si>
  <si>
    <r>
      <rPr>
        <b/>
        <sz val="9.5"/>
        <color rgb="FF000000"/>
        <rFont val="Segoe UI"/>
        <family val="2"/>
      </rPr>
      <t>SOC &amp; CyberSecurity</t>
    </r>
    <r>
      <rPr>
        <sz val="9.5"/>
        <color rgb="FF000000"/>
        <rFont val="Segoe UI"/>
        <family val="2"/>
      </rPr>
      <t xml:space="preserve"> - Michel Saleh
</t>
    </r>
    <r>
      <rPr>
        <b/>
        <sz val="9.5"/>
        <color rgb="FF000000"/>
        <rFont val="Segoe UI"/>
        <family val="2"/>
      </rPr>
      <t>NexGen Network</t>
    </r>
    <r>
      <rPr>
        <sz val="9.5"/>
        <color rgb="FF000000"/>
        <rFont val="Segoe UI"/>
        <family val="2"/>
      </rPr>
      <t xml:space="preserve"> - Rocky Ellis
</t>
    </r>
    <r>
      <rPr>
        <b/>
        <sz val="9.5"/>
        <color rgb="FF000000"/>
        <rFont val="Segoe UI"/>
        <family val="2"/>
      </rPr>
      <t xml:space="preserve">Cloud &amp; Data Center </t>
    </r>
    <r>
      <rPr>
        <sz val="9.5"/>
        <color rgb="FF000000"/>
        <rFont val="Segoe UI"/>
        <family val="2"/>
      </rPr>
      <t>- Rockly Ellis</t>
    </r>
  </si>
  <si>
    <t>Services Rate Card</t>
  </si>
  <si>
    <t>VP by Business Unit</t>
  </si>
  <si>
    <t>*If Global Solution is 100% Partner delivered, no approval is required. If Global Solution contains any internal Zones resources then follow the approvals specified above.</t>
  </si>
  <si>
    <t>Services Margins Approval Authority</t>
  </si>
  <si>
    <t>Target Margin</t>
  </si>
  <si>
    <t>Band 0 Approvers</t>
  </si>
  <si>
    <t>Band 1 Approvers</t>
  </si>
  <si>
    <t>Band 2 Approvers</t>
  </si>
  <si>
    <t>Approver(s)</t>
  </si>
  <si>
    <t>Tables Above</t>
  </si>
  <si>
    <t>Business Unit VPs</t>
  </si>
  <si>
    <t>Resource Category</t>
  </si>
  <si>
    <t>Band 0 Margin</t>
  </si>
  <si>
    <t>Band 1 Margin</t>
  </si>
  <si>
    <t>Band 2 Margin</t>
  </si>
  <si>
    <t>Onshore - In-house (US ZN resources)</t>
  </si>
  <si>
    <t>&gt;=35%</t>
  </si>
  <si>
    <t>&gt;=20%</t>
  </si>
  <si>
    <t>15+%</t>
  </si>
  <si>
    <t>less than 15%</t>
  </si>
  <si>
    <t>Onshore - 3rd party</t>
  </si>
  <si>
    <t>&gt;=30%</t>
  </si>
  <si>
    <t>Onshore - Staffing</t>
  </si>
  <si>
    <t>--+%</t>
  </si>
  <si>
    <t>Offshore - India</t>
  </si>
  <si>
    <t>&gt;=50%</t>
  </si>
  <si>
    <t>Offshore - Pakistan</t>
  </si>
  <si>
    <t>&gt;=60%</t>
  </si>
  <si>
    <t>Enabling Tools &amp; Platforms</t>
  </si>
  <si>
    <t>&gt;=15%</t>
  </si>
  <si>
    <t>"Re-Paper" OEM or other services/straight margin*</t>
  </si>
  <si>
    <t>*Governed by Revenue Limits defined in previous table(s)</t>
  </si>
  <si>
    <t>The following guidelines for Solutioning and Pricing Services should be followed:</t>
  </si>
  <si>
    <t>1. Multi-year deals should incorporate Cost of Living increases factored into the cost of resources as follows: US = 3% annually, India/PK = 8% annually</t>
  </si>
  <si>
    <t>2. Managed Services opportunities:</t>
  </si>
  <si>
    <t>2.1 Proposal should state that this is for a 'fixed term of x months' from the start of the Transition execution phase. Transition planning is done remotely between the time the customer signs the contract and the transition team begins transition activities. Therefore, the contract period does not include Transition Planning</t>
  </si>
  <si>
    <t>2.2 Do not state termination clause in the proposal  / sow by default. If the MSA has a termination for convenience clause, check with legal on how our proposal and SOW can supersede the MSA</t>
  </si>
  <si>
    <t>2.3 If client insists on termination for convenience clause, ensure that a) both parties have the same right b) Penalty for early termination is approved by Delivery and Pre-sales approvers that covers all upfront costs</t>
  </si>
  <si>
    <t xml:space="preserve">2.4 Do not offer SLA penalty by default. However, most clients will insist on it. In such situtations, maximum penalty should be restricted to 3% of monthly revenue with a claw back clause to reduce 100% of the penalty if we are able to perform as per SLAs for 3 months following an SLA breach. All penalty clauses will need to be pre-approved by Pre-sales and Delivery </t>
  </si>
  <si>
    <t>3. Offer validity should be 90 days</t>
  </si>
  <si>
    <t>4. Net terms - Russell Day</t>
  </si>
  <si>
    <t xml:space="preserve">5. Travel markup - Russell Day </t>
  </si>
  <si>
    <t>NOTE: New Practice Structure</t>
  </si>
  <si>
    <t xml:space="preserve">Digital Workplace (Assessment, Design, Implementation and Migration Services) - same approvers as managed services </t>
  </si>
  <si>
    <t>Cloud &amp; Data Center (Hybrid Cloud Advisory, Implementation and Migration) - note change as Martin has left the company</t>
  </si>
  <si>
    <t>NextGen Network (Assessment, Design, Implementation and Migration ) - if project, follow "professional &amp; staffing approvers", if managed services i.e. NOC, follow "managed" approvers.</t>
  </si>
  <si>
    <t>Cybersecurity (Assessments – VAPT, Technology Implementation, Forensics, Trusted Advisory) - if project, follow "professional &amp; staffing approvers", if managed services i.e. SOC, follow "managed" approvers.</t>
  </si>
  <si>
    <t>Notes</t>
  </si>
  <si>
    <t>Include Hannan Aman (hannan.aman@zones.com) in the Kick-Off for all RFPs involving product sourcing.</t>
  </si>
  <si>
    <t>Supply Chain group needs to be engaged when the RFx scope includes the following scenarios:
  - Inventory - NOT owned by the client, but needs to be owned by Zones
  - Sourcing - prescribed by the client, and Zones is unable to leverage its own established distributor network
  - SLAs around return of equipment</t>
  </si>
  <si>
    <t>Angela needs to be involved in AT h/w deals. Workplace products' requirements are addressed within Mike's team</t>
  </si>
  <si>
    <t>Services Directors:</t>
  </si>
  <si>
    <t>Managed Services (Monitoring and Management of Hybrid Cloud, Network, Security, Workplace components) - Ashok Rajagopalan</t>
  </si>
  <si>
    <t>Cloud &amp; Data Center (Hybrid Cloud Advisory, Implementation and Migration) - Don Bilbrey</t>
  </si>
  <si>
    <t>Approval Matrix as of</t>
  </si>
  <si>
    <t>APPROVAL MATRIX - PRODUCTS</t>
  </si>
  <si>
    <t>ADDITIONAL APPROVAL FOR IT SOLUTIONS 
(Products + All Services)</t>
  </si>
  <si>
    <t>Pricing Team brought in by RFx Group for Pricing Guidance and approval</t>
  </si>
  <si>
    <t>Pro Forma Inputs</t>
  </si>
  <si>
    <t>Decision Recommendations</t>
  </si>
  <si>
    <t>PPM</t>
  </si>
  <si>
    <t>Supply Chain</t>
  </si>
  <si>
    <r>
      <t>Finance</t>
    </r>
    <r>
      <rPr>
        <b/>
        <sz val="10"/>
        <color rgb="FFFF0000"/>
        <rFont val="Calibri"/>
        <family val="2"/>
        <scheme val="minor"/>
      </rPr>
      <t>*</t>
    </r>
  </si>
  <si>
    <r>
      <t>Legal</t>
    </r>
    <r>
      <rPr>
        <b/>
        <sz val="10"/>
        <color rgb="FFFF0000"/>
        <rFont val="Calibri"/>
        <family val="2"/>
        <scheme val="minor"/>
      </rPr>
      <t>*</t>
    </r>
  </si>
  <si>
    <t>Sales</t>
  </si>
  <si>
    <t>Exceptions to Zones Pricing Policy</t>
  </si>
  <si>
    <t>Exceptions to Zones Inventory Policy, sourcing restrictions, out-of-policy returns, order entry and customer service SLAs</t>
  </si>
  <si>
    <t>Exceptions to TSC service charges, freight charge policy, Zones Inventory Policy</t>
  </si>
  <si>
    <t>Credit Limit and Exceptions to standard Payment Terms of Net 30</t>
  </si>
  <si>
    <t>Audit Rights, Contractual Obligations</t>
  </si>
  <si>
    <t>Account Team recommendations</t>
  </si>
  <si>
    <t xml:space="preserve">Pricing Approvals for cross subsidy of Products and Services </t>
  </si>
  <si>
    <t>All RFPs must be reviewed by the PPM Pricing Desk</t>
  </si>
  <si>
    <t>VP
Mike Dennis</t>
  </si>
  <si>
    <t>VP
Ed Moninger</t>
  </si>
  <si>
    <t>VP
Linda Marbena</t>
  </si>
  <si>
    <t>VP
Jessa Santeford</t>
  </si>
  <si>
    <t>VP
Jon Bailey</t>
  </si>
  <si>
    <t>GSCaaS: Sean Hobday
IT Solutions: Tom Gallagher</t>
  </si>
  <si>
    <t>COO + CFO 
Derrek Hallock + Russel Day</t>
  </si>
  <si>
    <t>Pro Forma document is run &amp; 'no lower than' floor is published</t>
  </si>
  <si>
    <t>*If relevant to opportunity</t>
  </si>
  <si>
    <t xml:space="preserve">Approved Pricing Margins for Hardware / Software </t>
  </si>
  <si>
    <t xml:space="preserve"> For Products </t>
  </si>
  <si>
    <t xml:space="preserve">For TSC Services </t>
  </si>
  <si>
    <t xml:space="preserve">   (non-RFPs &gt; $250k, all RFPs)</t>
  </si>
  <si>
    <t>Sales Segment:</t>
  </si>
  <si>
    <t>Exception approvers</t>
  </si>
  <si>
    <t>PPM VP &amp; COO</t>
  </si>
  <si>
    <t xml:space="preserve"> COO</t>
  </si>
  <si>
    <t>Small Business</t>
  </si>
  <si>
    <t>&gt;=12%</t>
  </si>
  <si>
    <t>Review via Bid Desk</t>
  </si>
  <si>
    <t>&gt;=30% or Standard Rates</t>
  </si>
  <si>
    <t>&lt; = 25% or less than Standard Rates</t>
  </si>
  <si>
    <t>Mid-Market</t>
  </si>
  <si>
    <t>&gt;=10%</t>
  </si>
  <si>
    <t>Enterprise</t>
  </si>
  <si>
    <t>&gt;=7%</t>
  </si>
  <si>
    <t>GAM/STRATEGIC</t>
  </si>
  <si>
    <t>&gt;=6%</t>
  </si>
  <si>
    <t>Public Sector</t>
  </si>
  <si>
    <t>&gt;=5%</t>
  </si>
  <si>
    <t>A review is required only for net-new bids or new LOBs on an existing account. Opportunities for existing contract customers or run-rate do not require a review, unless the intent is to check compliance.</t>
  </si>
  <si>
    <t>Final Approval of all Zones Policy Exceptions in RFP response</t>
  </si>
  <si>
    <t>President
Derrek Hallock</t>
  </si>
  <si>
    <t>Financial Equities Needing Approval</t>
  </si>
  <si>
    <t>Group</t>
  </si>
  <si>
    <t>Policy</t>
  </si>
  <si>
    <t>Summary</t>
  </si>
  <si>
    <t>Pricing Policy</t>
  </si>
  <si>
    <t>Requests to quote below Zones Sell Price, and client specification on the definition of "cost" must be approved in advance by the Bid Desk</t>
  </si>
  <si>
    <t>Supply Chain / PMO / TSC</t>
  </si>
  <si>
    <t>Inventory Policy</t>
  </si>
  <si>
    <t>An inventory requires the client to be billed upon receipt.  Zones-owned inventory in any form requires exception.</t>
  </si>
  <si>
    <t>Sourcing Policy</t>
  </si>
  <si>
    <t>Zones Supply Chain determines optimal sourcing policy.  Any client or Sales specified sourcing must be approved in advance.</t>
  </si>
  <si>
    <t>Returns Policy</t>
  </si>
  <si>
    <t>Zones standard website returns policy.  Any exceptions must be approved in advance</t>
  </si>
  <si>
    <t>Order entry SLAs</t>
  </si>
  <si>
    <t>Submit for review any requests for order entry in less than 4 business hours</t>
  </si>
  <si>
    <t>Customer Service SLAs</t>
  </si>
  <si>
    <t>Submit for review any requests for customer service resolution in less than 4 business hours</t>
  </si>
  <si>
    <t>TSC Service Charges</t>
  </si>
  <si>
    <t>Pricing request lower than standard rates must be approved in advance</t>
  </si>
  <si>
    <t>Freight Charges</t>
  </si>
  <si>
    <t>Waiving or Charging the client freight charges less than standard rates must be approved in advance.</t>
  </si>
  <si>
    <t>Finance</t>
  </si>
  <si>
    <t>Client Payment Terms</t>
  </si>
  <si>
    <t>Any terms longer than our standard of NET 30 must be approved in advance.</t>
  </si>
  <si>
    <t>Legal</t>
  </si>
  <si>
    <t>Audit Rights</t>
  </si>
  <si>
    <t>Any discussion of auditing Zones must be approved in advance</t>
  </si>
  <si>
    <t>Contractual obligations</t>
  </si>
  <si>
    <t>[to be specified]</t>
  </si>
  <si>
    <t>Current Version Information:</t>
  </si>
  <si>
    <t>Current Version:</t>
  </si>
  <si>
    <t>1.20</t>
  </si>
  <si>
    <t>Release Date:</t>
  </si>
  <si>
    <t>Revision History Notes:</t>
  </si>
  <si>
    <t>Version:</t>
  </si>
  <si>
    <t>Revision Notes:</t>
  </si>
  <si>
    <t>1.20
(Approval Matrix Updates Only)</t>
  </si>
  <si>
    <t>• Updated Services and Product Approval Guidelines</t>
  </si>
  <si>
    <t>10/16/20213</t>
  </si>
  <si>
    <t>• Updated Services Approval Matrix</t>
  </si>
  <si>
    <t>• Updated PMO rates
• Added Pakistan Design &amp; Fulfillment rates
• Updated Services Solution &amp; Pricing Approval Matrix</t>
  </si>
  <si>
    <t>• Updated U.S.-based Resource Areas to align with current Service Practices
      o Cloud &amp; Datacenter
      o Cybersecurity
      o Digital Workplace (split into 3 sub-categories to more easily locate: 
         Engineering, Service Desk and Field Services &amp; Support)
      o NexGen Networking
• Removal of Cloud PMO Resource Area and associated Titles and addition of Cloud Technical Project Manager under PMO Resource Area
• Updated U.S.-based Resource Titles based on Service Delivery input to better align with market resource classifications
• Updated U.S.-based Resource Rates based on Service Delivery and HR input</t>
  </si>
  <si>
    <t>1.18
(Approval Matrix Updates Only)</t>
  </si>
  <si>
    <t>• Updated Product Approval Matrix</t>
  </si>
  <si>
    <t>1.18 
(Approval Matrix Updates Only)</t>
  </si>
  <si>
    <t xml:space="preserve">• Changes to Approval Matrix:
     • TSC Services Approvers (Rate Card, &lt;$500,000)
     • Managed Services Approvers (Rate Card, &lt;$500,000)
     • Professional Services/Staffing Approvers (Rate Card, &lt;$500,000)
</t>
  </si>
  <si>
    <t>• Added adjustable margin fields for offshore resources by location on the Baseline tab
• Updated Field Nation "Smart Hands" Technician rate to align with current market conditions
• Updated Opportunity Approval Matrix tab with current list of approvers based on projected TCV and margin
• Added conditional text on Baseline tab for use of the "ZBaaS" Calculator Build Type
• Minor formatting updates</t>
  </si>
  <si>
    <t>• Added ability to switch from specified margin to specified rate at a line item level within each sub-tab including additional macros, data validation and conditional formatting
• Added additional rows for all expense categories on each sub-tab
• Added conditional formatting on Project Duration information on Baseline tab</t>
  </si>
  <si>
    <t>• Added "ZBaaS" Calculator Build Type option to Baseline tab, which automates pricing after user fills on quantity of months and users on cells that highlight red as soon as the "ZBaaS" option is chosen
• Added a yes/no option to Baseline tab if Customer's payment method is by credit card (see note in cell B21 on Baseline tab for more detail)
• Updated protections on all sheets</t>
  </si>
  <si>
    <t>• Added India Professional Services and Managed Services resources and cost rates
• Added India Project Management resources and cost rates
• Added an "India Overheads" field on Baseline tab to account for any overhead coverages required by India team
• Added additional calculations for onshore/offshore splits on Overview tab
• Updated Opportunity Approval Matrix added
• Startup % of Total Cost metric added to the Baseline tab
• PMO % flag removed</t>
  </si>
  <si>
    <t>• Added a formula that auto-calculates project duration in months on the Overall Staffing Plan tab
• Added conditional formatting to resources and hours totals on columns B through N on the Overall Staffing Plan tab
• Updated a formula error on the monthly hours totals at the bottom of the table on the Overall Staffing Plan tab</t>
  </si>
  <si>
    <t>• Added Integration Center Tech 3
• Updated rates for Integration and Warehouse resources
• Fixed error message resulting from pointing to old Workbook</t>
  </si>
  <si>
    <t>• Updated conditional formatting based on new GP guidelines
• Updated "Staffing Plan" layout</t>
  </si>
  <si>
    <t>• Addition of Staffing Plan tab
• Addition of GM, GP and EBIDTA formulas on Baseline
• Addition of RFx Approval Matrix tab</t>
  </si>
  <si>
    <t>• Added margin adjusters for all line items
• Updated PMO % to include Cloud PMO on Baseline tab</t>
  </si>
  <si>
    <t>• Updated Service Desk resource descriptions
• Updated lookup formulas</t>
  </si>
  <si>
    <t>• Added new resource types
• Updated all existing resource rates</t>
  </si>
  <si>
    <t>• Added "IS Network Engineer Level 1" rate</t>
  </si>
  <si>
    <t>• Added "Project Financial Information from Baseline Tab" table in all sub-tabs
• Updated name of Baseline cell C21 to "Services Project Financials"
• Added tab for Solution Development team calculations</t>
  </si>
  <si>
    <t>• Updated tabs and formulas for Tenrox import
• Updated formulas for titles that include tab name on all sub-tabs
• Added cell specific Protections to Overview and Baseline tabs
• Added functionality to allow Managed Staffing team to utilize the Calculator
• Updated PMO Cost as a Percentage of Total Cost description and added an explaination comment
• Added a Macro for tab name update upon change of Calculator Build Type (Baseline tab, cell C6)</t>
  </si>
  <si>
    <t>• Added additional Cloud resource rates</t>
  </si>
  <si>
    <t>• Version Control tab added within Calculator
• Current version number shown on Baseline tab, F2</t>
  </si>
  <si>
    <t>• ​Addition of Chris Cox to the list of Sales Vice Presidents authorized to provide initial approval of opportunities not meeting defined criteria
• Updates to the Resource Rates for the following departments: PMO, Infrastructure Services, Workplace/Design &amp; Fulfillment and Service Desk
• Addition of offshore cloud resources and rates (rates are to be used by the Cloud Team only)</t>
  </si>
  <si>
    <t>• Updated Data Validation formulas for Travel &amp; Living and Materials &amp; Other to accept values not contained with in list on all sub-tabs</t>
  </si>
  <si>
    <t>• Initial Release</t>
  </si>
  <si>
    <t>Project_Name</t>
  </si>
  <si>
    <t>Task_Name</t>
  </si>
  <si>
    <t>First_Name</t>
  </si>
  <si>
    <t>Last_Name</t>
  </si>
  <si>
    <t>Budget_Name</t>
  </si>
  <si>
    <t>Start_Date</t>
  </si>
  <si>
    <t>End_Date</t>
  </si>
  <si>
    <t>Budget_Description</t>
  </si>
  <si>
    <t>Current_Time_(hrs)</t>
  </si>
  <si>
    <t>Baseline_Time_(hrs)</t>
  </si>
  <si>
    <t>Current_Cost</t>
  </si>
  <si>
    <t>Baseline_Cost</t>
  </si>
  <si>
    <t>Current_Time_Cost</t>
  </si>
  <si>
    <t>Baseline_Time_Cost</t>
  </si>
  <si>
    <t>Current_Expense_Cost</t>
  </si>
  <si>
    <t>Baseline_Expense_Cost</t>
  </si>
  <si>
    <t>Current_Charge_Cost</t>
  </si>
  <si>
    <t>Baseline_Charge_Cost</t>
  </si>
  <si>
    <t>Current_Product_Cost</t>
  </si>
  <si>
    <t>Baseline_Product_Cost</t>
  </si>
  <si>
    <t>Current_Billable</t>
  </si>
  <si>
    <t>Baseline_Billable</t>
  </si>
  <si>
    <t>1. Save as XML Spreadsheet 2003 (*.xml).  It’s critical that the file is stored in this format or it will not upload.  You cannot save it as Excel, then save as this format.  You must always save as this format.</t>
  </si>
  <si>
    <t>2. Go to Project -&gt; Import Budget.</t>
  </si>
  <si>
    <t>3. Click the … next to file to select the file</t>
  </si>
  <si>
    <t>4. Click Import</t>
  </si>
  <si>
    <t>Travel &amp; Living Cost Factors Dropdown Selections:</t>
  </si>
  <si>
    <t>Expense Notes:</t>
  </si>
  <si>
    <t>Roundtrip Airfare</t>
  </si>
  <si>
    <t>Metro City Hotel</t>
  </si>
  <si>
    <t>Non-Metro City Hotel</t>
  </si>
  <si>
    <t>Vehicle/Taxi/Uber</t>
  </si>
  <si>
    <t>Per Diem</t>
  </si>
  <si>
    <t>Mileage</t>
  </si>
  <si>
    <t>Overwrite with other Expense Type</t>
  </si>
  <si>
    <t>Materials &amp; Other Cost Factors Dropdown Selections:</t>
  </si>
  <si>
    <t>Background Check</t>
  </si>
  <si>
    <t>Storage (Per Pallet)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</si>
</sst>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quot;$&quot;#,##0.00"/>
    <numFmt numFmtId="165" formatCode="0.0%"/>
    <numFmt numFmtId="166" formatCode="_(* #,##0_);_(* \(#,##0\);_(* &quot;-&quot;??_);_(@_)"/>
    <numFmt numFmtId="167" formatCode="[$-409]d\-mmm\-yy;@"/>
    <numFmt numFmtId="168" formatCode="0.000"/>
  </numFmts>
  <fonts count="49">
    <font>
      <sz val="11"/>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0"/>
      <color theme="1"/>
      <name val="Calibri"/>
      <family val="2"/>
      <scheme val="minor"/>
    </font>
    <font>
      <sz val="10"/>
      <color theme="1"/>
      <name val="Calibri"/>
      <family val="2"/>
      <scheme val="minor"/>
    </font>
    <font>
      <b/>
      <sz val="10"/>
      <color theme="0"/>
      <name val="Calibri"/>
      <family val="2"/>
      <scheme val="minor"/>
    </font>
    <font>
      <sz val="10"/>
      <color theme="0"/>
      <name val="Calibri"/>
      <family val="2"/>
      <scheme val="minor"/>
    </font>
    <font>
      <sz val="9"/>
      <color indexed="81"/>
      <name val="Tahoma"/>
      <family val="2"/>
    </font>
    <font>
      <b/>
      <sz val="9"/>
      <color indexed="81"/>
      <name val="Tahoma"/>
      <family val="2"/>
    </font>
    <font>
      <b/>
      <sz val="10"/>
      <name val="Calibri"/>
      <family val="2"/>
      <scheme val="minor"/>
    </font>
    <font>
      <sz val="11"/>
      <color theme="0"/>
      <name val="Calibri"/>
      <family val="2"/>
      <scheme val="minor"/>
    </font>
    <font>
      <sz val="10"/>
      <color theme="2" tint="-0.249977111117893"/>
      <name val="Calibri"/>
      <family val="2"/>
      <scheme val="minor"/>
    </font>
    <font>
      <sz val="11"/>
      <color rgb="FF000000"/>
      <name val="Calibri"/>
      <family val="2"/>
      <scheme val="minor"/>
    </font>
    <font>
      <sz val="11"/>
      <color indexed="8"/>
      <name val="Calibri"/>
      <family val="2"/>
      <scheme val="minor"/>
    </font>
    <font>
      <b/>
      <sz val="11"/>
      <color rgb="FFFFFF00"/>
      <name val="Calibri"/>
      <family val="2"/>
      <scheme val="minor"/>
    </font>
    <font>
      <b/>
      <sz val="11"/>
      <color rgb="FFC00000"/>
      <name val="Calibri"/>
      <family val="2"/>
      <scheme val="minor"/>
    </font>
    <font>
      <sz val="8"/>
      <name val="Calibri"/>
      <family val="2"/>
      <scheme val="minor"/>
    </font>
    <font>
      <sz val="11"/>
      <color rgb="FF006100"/>
      <name val="Calibri"/>
      <family val="2"/>
      <scheme val="minor"/>
    </font>
    <font>
      <b/>
      <sz val="10"/>
      <color rgb="FF006100"/>
      <name val="Calibri"/>
      <family val="2"/>
      <scheme val="minor"/>
    </font>
    <font>
      <u/>
      <sz val="11"/>
      <color theme="10"/>
      <name val="Calibri"/>
      <family val="2"/>
      <scheme val="minor"/>
    </font>
    <font>
      <i/>
      <sz val="10"/>
      <color theme="1"/>
      <name val="Calibri"/>
      <family val="2"/>
      <scheme val="minor"/>
    </font>
    <font>
      <u/>
      <sz val="10"/>
      <color theme="10"/>
      <name val="Calibri"/>
      <family val="2"/>
      <scheme val="minor"/>
    </font>
    <font>
      <b/>
      <sz val="10"/>
      <color rgb="FFFF0000"/>
      <name val="Calibri"/>
      <family val="2"/>
      <scheme val="minor"/>
    </font>
    <font>
      <b/>
      <i/>
      <sz val="10"/>
      <color theme="1"/>
      <name val="Calibri"/>
      <family val="2"/>
      <scheme val="minor"/>
    </font>
    <font>
      <sz val="7"/>
      <color rgb="FFFFFF00"/>
      <name val="Calibri"/>
      <family val="2"/>
      <scheme val="minor"/>
    </font>
    <font>
      <sz val="7"/>
      <color theme="1"/>
      <name val="Calibri"/>
      <family val="2"/>
      <scheme val="minor"/>
    </font>
    <font>
      <b/>
      <sz val="10"/>
      <color theme="1"/>
      <name val="Segoe UI"/>
      <family val="2"/>
    </font>
    <font>
      <i/>
      <sz val="8"/>
      <color rgb="FFFF0000"/>
      <name val="Calibri"/>
      <family val="2"/>
      <scheme val="minor"/>
    </font>
    <font>
      <sz val="10"/>
      <color theme="1"/>
      <name val="Segoe UI"/>
      <family val="2"/>
    </font>
    <font>
      <sz val="11"/>
      <color rgb="FF9C0006"/>
      <name val="Calibri"/>
      <family val="2"/>
      <scheme val="minor"/>
    </font>
    <font>
      <b/>
      <u/>
      <sz val="10"/>
      <color theme="1"/>
      <name val="Segoe UI"/>
      <family val="2"/>
    </font>
    <font>
      <sz val="9.5"/>
      <color rgb="FF9C0006"/>
      <name val="Segoe UI"/>
      <family val="2"/>
    </font>
    <font>
      <b/>
      <sz val="10"/>
      <color theme="3" tint="0.59999389629810485"/>
      <name val="Calibri"/>
      <family val="2"/>
      <scheme val="minor"/>
    </font>
    <font>
      <sz val="9.5"/>
      <color theme="1"/>
      <name val="Segoe UI"/>
      <family val="2"/>
    </font>
    <font>
      <b/>
      <sz val="9.5"/>
      <color theme="1"/>
      <name val="Segoe UI"/>
      <family val="2"/>
    </font>
    <font>
      <b/>
      <sz val="9.5"/>
      <color theme="0"/>
      <name val="Segoe UI"/>
      <family val="2"/>
    </font>
    <font>
      <b/>
      <sz val="9.5"/>
      <name val="Segoe UI"/>
      <family val="2"/>
    </font>
    <font>
      <sz val="9.5"/>
      <color theme="0"/>
      <name val="Segoe UI"/>
      <family val="2"/>
    </font>
    <font>
      <sz val="9.5"/>
      <name val="Segoe UI"/>
      <family val="2"/>
    </font>
    <font>
      <b/>
      <sz val="9.5"/>
      <color rgb="FFFF0000"/>
      <name val="Segoe UI"/>
      <family val="2"/>
    </font>
    <font>
      <b/>
      <u/>
      <sz val="12"/>
      <name val="Segoe UI"/>
      <family val="2"/>
    </font>
    <font>
      <sz val="9"/>
      <color theme="1"/>
      <name val="Calibri"/>
      <family val="2"/>
      <scheme val="minor"/>
    </font>
    <font>
      <b/>
      <sz val="9.5"/>
      <color rgb="FFFFFFFF"/>
      <name val="Segoe UI"/>
      <family val="2"/>
    </font>
    <font>
      <b/>
      <sz val="9.5"/>
      <color rgb="FF000000"/>
      <name val="Segoe UI"/>
      <family val="2"/>
    </font>
    <font>
      <sz val="9"/>
      <color rgb="FF000000"/>
      <name val="Segoe UI"/>
      <family val="2"/>
    </font>
    <font>
      <sz val="9.5"/>
      <color rgb="FF000000"/>
      <name val="Segoe UI"/>
      <family val="2"/>
    </font>
    <font>
      <sz val="9"/>
      <color rgb="FF000000"/>
      <name val="Tahoma"/>
      <family val="2"/>
    </font>
    <font>
      <b/>
      <sz val="9"/>
      <color rgb="FF000000"/>
      <name val="Tahoma"/>
      <family val="2"/>
    </font>
  </fonts>
  <fills count="24">
    <fill>
      <patternFill patternType="none"/>
    </fill>
    <fill>
      <patternFill patternType="gray125"/>
    </fill>
    <fill>
      <patternFill patternType="solid">
        <fgColor theme="3"/>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0"/>
        <bgColor indexed="64"/>
      </patternFill>
    </fill>
    <fill>
      <patternFill patternType="solid">
        <fgColor rgb="FFAEAAAA"/>
        <bgColor rgb="FF000000"/>
      </patternFill>
    </fill>
    <fill>
      <patternFill patternType="solid">
        <fgColor rgb="FFC6EFCE"/>
      </patternFill>
    </fill>
    <fill>
      <patternFill patternType="solid">
        <fgColor theme="0" tint="-4.9989318521683403E-2"/>
        <bgColor indexed="64"/>
      </patternFill>
    </fill>
    <fill>
      <patternFill patternType="solid">
        <fgColor rgb="FFFFFF00"/>
        <bgColor indexed="64"/>
      </patternFill>
    </fill>
    <fill>
      <patternFill patternType="solid">
        <fgColor theme="1"/>
        <bgColor indexed="64"/>
      </patternFill>
    </fill>
    <fill>
      <patternFill patternType="solid">
        <fgColor rgb="FF003399"/>
        <bgColor indexed="64"/>
      </patternFill>
    </fill>
    <fill>
      <patternFill patternType="solid">
        <fgColor rgb="FFD1D3D4"/>
        <bgColor indexed="64"/>
      </patternFill>
    </fill>
    <fill>
      <patternFill patternType="solid">
        <fgColor rgb="FFFF9999"/>
        <bgColor indexed="64"/>
      </patternFill>
    </fill>
    <fill>
      <patternFill patternType="solid">
        <fgColor theme="8" tint="0.79998168889431442"/>
        <bgColor indexed="64"/>
      </patternFill>
    </fill>
    <fill>
      <patternFill patternType="solid">
        <fgColor rgb="FFFFC7CE"/>
      </patternFill>
    </fill>
    <fill>
      <patternFill patternType="solid">
        <fgColor theme="2"/>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rgb="FF44546A"/>
        <bgColor rgb="FF000000"/>
      </patternFill>
    </fill>
    <fill>
      <patternFill patternType="solid">
        <fgColor theme="8" tint="-0.249977111117893"/>
        <bgColor rgb="FF000000"/>
      </patternFill>
    </fill>
    <fill>
      <patternFill patternType="solid">
        <fgColor rgb="FFE7E6E6"/>
        <bgColor rgb="FF000000"/>
      </patternFill>
    </fill>
    <fill>
      <patternFill patternType="solid">
        <fgColor rgb="FFD6DCE4"/>
        <bgColor rgb="FF000000"/>
      </patternFill>
    </fill>
    <fill>
      <patternFill patternType="solid">
        <fgColor rgb="FFFFC000"/>
        <bgColor indexed="64"/>
      </patternFill>
    </fill>
  </fills>
  <borders count="144">
    <border>
      <left/>
      <right/>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theme="2" tint="-0.499984740745262"/>
      </left>
      <right/>
      <top/>
      <bottom style="thin">
        <color theme="2" tint="-0.499984740745262"/>
      </bottom>
      <diagonal/>
    </border>
    <border>
      <left/>
      <right/>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style="thin">
        <color theme="2" tint="-0.499984740745262"/>
      </bottom>
      <diagonal/>
    </border>
    <border>
      <left style="thin">
        <color theme="2" tint="-0.499984740745262"/>
      </left>
      <right/>
      <top style="thin">
        <color theme="2" tint="-0.499984740745262"/>
      </top>
      <bottom style="thin">
        <color theme="0" tint="-0.499984740745262"/>
      </bottom>
      <diagonal/>
    </border>
    <border>
      <left/>
      <right/>
      <top style="thin">
        <color theme="2" tint="-0.499984740745262"/>
      </top>
      <bottom style="thin">
        <color theme="0" tint="-0.499984740745262"/>
      </bottom>
      <diagonal/>
    </border>
    <border>
      <left/>
      <right style="thin">
        <color theme="2" tint="-0.499984740745262"/>
      </right>
      <top style="thin">
        <color theme="2" tint="-0.499984740745262"/>
      </top>
      <bottom style="thin">
        <color theme="0" tint="-0.499984740745262"/>
      </bottom>
      <diagonal/>
    </border>
    <border>
      <left/>
      <right style="thin">
        <color theme="0" tint="-0.499984740745262"/>
      </right>
      <top/>
      <bottom/>
      <diagonal/>
    </border>
    <border>
      <left style="thin">
        <color theme="2" tint="-0.499984740745262"/>
      </left>
      <right style="thin">
        <color theme="2" tint="-0.499984740745262"/>
      </right>
      <top/>
      <bottom/>
      <diagonal/>
    </border>
    <border>
      <left/>
      <right style="thin">
        <color theme="2" tint="-0.499984740745262"/>
      </right>
      <top style="thin">
        <color theme="2" tint="-0.499984740745262"/>
      </top>
      <bottom style="thin">
        <color theme="2" tint="-0.499984740745262"/>
      </bottom>
      <diagonal/>
    </border>
    <border>
      <left/>
      <right style="thin">
        <color theme="0" tint="-0.499984740745262"/>
      </right>
      <top/>
      <bottom style="thin">
        <color theme="2" tint="-0.499984740745262"/>
      </bottom>
      <diagonal/>
    </border>
    <border>
      <left style="thin">
        <color theme="2" tint="-0.499984740745262"/>
      </left>
      <right/>
      <top/>
      <bottom/>
      <diagonal/>
    </border>
    <border>
      <left style="thin">
        <color theme="2"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2" tint="-0.499984740745262"/>
      </right>
      <top/>
      <bottom style="thin">
        <color theme="2" tint="-0.499984740745262"/>
      </bottom>
      <diagonal/>
    </border>
    <border>
      <left style="thin">
        <color theme="2" tint="-0.499984740745262"/>
      </left>
      <right/>
      <top/>
      <bottom style="thin">
        <color theme="0" tint="-0.499984740745262"/>
      </bottom>
      <diagonal/>
    </border>
    <border>
      <left/>
      <right/>
      <top/>
      <bottom style="thin">
        <color theme="0" tint="-0.499984740745262"/>
      </bottom>
      <diagonal/>
    </border>
    <border>
      <left/>
      <right style="thin">
        <color theme="2" tint="-0.499984740745262"/>
      </right>
      <top/>
      <bottom style="thin">
        <color theme="0" tint="-0.499984740745262"/>
      </bottom>
      <diagonal/>
    </border>
    <border>
      <left/>
      <right style="thin">
        <color theme="2" tint="-0.499984740745262"/>
      </right>
      <top/>
      <bottom/>
      <diagonal/>
    </border>
    <border>
      <left style="thin">
        <color theme="2" tint="-0.499984740745262"/>
      </left>
      <right style="thin">
        <color theme="2" tint="-0.499984740745262"/>
      </right>
      <top/>
      <bottom style="thin">
        <color rgb="FF757171"/>
      </bottom>
      <diagonal/>
    </border>
    <border>
      <left style="thin">
        <color theme="2" tint="-0.499984740745262"/>
      </left>
      <right style="thin">
        <color theme="2" tint="-0.499984740745262"/>
      </right>
      <top style="thin">
        <color rgb="FF757171"/>
      </top>
      <bottom style="thin">
        <color theme="2" tint="-0.499984740745262"/>
      </bottom>
      <diagonal/>
    </border>
    <border>
      <left/>
      <right/>
      <top/>
      <bottom style="thin">
        <color rgb="FF757171"/>
      </bottom>
      <diagonal/>
    </border>
    <border>
      <left style="thin">
        <color theme="2" tint="-0.499984740745262"/>
      </left>
      <right/>
      <top/>
      <bottom style="thin">
        <color rgb="FF757171"/>
      </bottom>
      <diagonal/>
    </border>
    <border>
      <left/>
      <right style="thin">
        <color theme="2" tint="-0.499984740745262"/>
      </right>
      <top/>
      <bottom style="thin">
        <color rgb="FF757171"/>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bottom/>
      <diagonal/>
    </border>
    <border>
      <left/>
      <right style="thin">
        <color indexed="64"/>
      </right>
      <top/>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2" tint="-0.499984740745262"/>
      </left>
      <right style="medium">
        <color indexed="64"/>
      </right>
      <top/>
      <bottom/>
      <diagonal/>
    </border>
    <border>
      <left style="thin">
        <color theme="2" tint="-0.499984740745262"/>
      </left>
      <right style="medium">
        <color indexed="64"/>
      </right>
      <top/>
      <bottom style="thin">
        <color theme="2" tint="-0.499984740745262"/>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rgb="FF000000"/>
      </top>
      <bottom style="thin">
        <color rgb="FF000000"/>
      </bottom>
      <diagonal/>
    </border>
    <border>
      <left/>
      <right style="medium">
        <color indexed="64"/>
      </right>
      <top style="thin">
        <color rgb="FF000000"/>
      </top>
      <bottom style="medium">
        <color indexed="64"/>
      </bottom>
      <diagonal/>
    </border>
    <border>
      <left style="medium">
        <color indexed="64"/>
      </left>
      <right style="medium">
        <color indexed="64"/>
      </right>
      <top style="thin">
        <color indexed="64"/>
      </top>
      <bottom/>
      <diagonal/>
    </border>
    <border>
      <left/>
      <right/>
      <top/>
      <bottom style="double">
        <color indexed="64"/>
      </bottom>
      <diagonal/>
    </border>
    <border>
      <left/>
      <right/>
      <top style="double">
        <color indexed="64"/>
      </top>
      <bottom style="thin">
        <color indexed="64"/>
      </bottom>
      <diagonal/>
    </border>
    <border>
      <left style="thin">
        <color theme="0" tint="-0.499984740745262"/>
      </left>
      <right/>
      <top/>
      <bottom style="hair">
        <color theme="2" tint="-0.249977111117893"/>
      </bottom>
      <diagonal/>
    </border>
    <border>
      <left style="thin">
        <color theme="0" tint="-0.499984740745262"/>
      </left>
      <right/>
      <top style="hair">
        <color theme="2" tint="-0.249977111117893"/>
      </top>
      <bottom style="hair">
        <color theme="2" tint="-0.249977111117893"/>
      </bottom>
      <diagonal/>
    </border>
    <border>
      <left style="thin">
        <color theme="0" tint="-0.499984740745262"/>
      </left>
      <right style="thin">
        <color theme="0" tint="-0.499984740745262"/>
      </right>
      <top style="hair">
        <color theme="2" tint="-0.249977111117893"/>
      </top>
      <bottom style="thin">
        <color theme="0" tint="-0.499984740745262"/>
      </bottom>
      <diagonal/>
    </border>
    <border>
      <left style="thin">
        <color theme="0" tint="-0.499984740745262"/>
      </left>
      <right/>
      <top style="hair">
        <color theme="2" tint="-0.249977111117893"/>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style="hair">
        <color theme="2" tint="-0.249977111117893"/>
      </top>
      <bottom style="thin">
        <color theme="0" tint="-0.499984740745262"/>
      </bottom>
      <diagonal/>
    </border>
    <border>
      <left/>
      <right style="thin">
        <color theme="0" tint="-0.499984740745262"/>
      </right>
      <top style="hair">
        <color theme="2" tint="-0.249977111117893"/>
      </top>
      <bottom style="hair">
        <color theme="2" tint="-0.249977111117893"/>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bottom style="hair">
        <color theme="2" tint="-0.249977111117893"/>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hair">
        <color theme="2" tint="-0.249977111117893"/>
      </top>
      <bottom style="hair">
        <color theme="2" tint="-0.249977111117893"/>
      </bottom>
      <diagonal/>
    </border>
    <border>
      <left style="thin">
        <color theme="0" tint="-0.499984740745262"/>
      </left>
      <right style="thin">
        <color theme="0" tint="-0.499984740745262"/>
      </right>
      <top/>
      <bottom style="hair">
        <color theme="2" tint="-0.249977111117893"/>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double">
        <color theme="0" tint="-0.499984740745262"/>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rgb="FFFFFFFF"/>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style="thin">
        <color rgb="FF808080"/>
      </bottom>
      <diagonal/>
    </border>
    <border>
      <left style="thin">
        <color rgb="FF808080"/>
      </left>
      <right/>
      <top/>
      <bottom style="thin">
        <color rgb="FF808080"/>
      </bottom>
      <diagonal/>
    </border>
    <border>
      <left/>
      <right/>
      <top/>
      <bottom style="thin">
        <color rgb="FF808080"/>
      </bottom>
      <diagonal/>
    </border>
    <border>
      <left style="thin">
        <color rgb="FF808080"/>
      </left>
      <right style="thin">
        <color rgb="FF808080"/>
      </right>
      <top/>
      <bottom style="thin">
        <color rgb="FF808080"/>
      </bottom>
      <diagonal/>
    </border>
    <border>
      <left style="thin">
        <color rgb="FF808080"/>
      </left>
      <right style="thin">
        <color indexed="64"/>
      </right>
      <top/>
      <bottom style="thin">
        <color rgb="FF808080"/>
      </bottom>
      <diagonal/>
    </border>
    <border>
      <left style="thin">
        <color indexed="64"/>
      </left>
      <right style="thin">
        <color indexed="64"/>
      </right>
      <top/>
      <bottom/>
      <diagonal/>
    </border>
    <border>
      <left style="thin">
        <color rgb="FF808080"/>
      </left>
      <right/>
      <top style="thin">
        <color rgb="FF808080"/>
      </top>
      <bottom style="thin">
        <color rgb="FF808080"/>
      </bottom>
      <diagonal/>
    </border>
    <border>
      <left style="thin">
        <color rgb="FFAEAAAA"/>
      </left>
      <right style="thin">
        <color rgb="FF808080"/>
      </right>
      <top style="thin">
        <color rgb="FF808080"/>
      </top>
      <bottom style="thin">
        <color rgb="FF808080"/>
      </bottom>
      <diagonal/>
    </border>
    <border>
      <left style="thin">
        <color indexed="64"/>
      </left>
      <right/>
      <top/>
      <bottom style="hair">
        <color rgb="FFAEAAAA"/>
      </bottom>
      <diagonal/>
    </border>
    <border>
      <left style="thin">
        <color rgb="FF808080"/>
      </left>
      <right/>
      <top style="thin">
        <color rgb="FF808080"/>
      </top>
      <bottom style="hair">
        <color rgb="FFAEAAAA"/>
      </bottom>
      <diagonal/>
    </border>
    <border>
      <left/>
      <right style="thin">
        <color rgb="FF808080"/>
      </right>
      <top style="thin">
        <color rgb="FF808080"/>
      </top>
      <bottom style="hair">
        <color rgb="FFAEAAAA"/>
      </bottom>
      <diagonal/>
    </border>
    <border>
      <left style="thin">
        <color rgb="FF808080"/>
      </left>
      <right/>
      <top/>
      <bottom style="hair">
        <color rgb="FFAEAAAA"/>
      </bottom>
      <diagonal/>
    </border>
    <border>
      <left style="thin">
        <color rgb="FF808080"/>
      </left>
      <right style="thin">
        <color indexed="64"/>
      </right>
      <top/>
      <bottom style="hair">
        <color rgb="FFAEAAAA"/>
      </bottom>
      <diagonal/>
    </border>
    <border>
      <left style="thin">
        <color indexed="64"/>
      </left>
      <right style="thin">
        <color indexed="64"/>
      </right>
      <top/>
      <bottom style="hair">
        <color indexed="64"/>
      </bottom>
      <diagonal/>
    </border>
    <border>
      <left/>
      <right/>
      <top/>
      <bottom style="hair">
        <color indexed="64"/>
      </bottom>
      <diagonal/>
    </border>
    <border>
      <left style="thin">
        <color indexed="64"/>
      </left>
      <right/>
      <top style="hair">
        <color rgb="FFAEAAAA"/>
      </top>
      <bottom style="hair">
        <color rgb="FFAEAAAA"/>
      </bottom>
      <diagonal/>
    </border>
    <border>
      <left style="thin">
        <color rgb="FF808080"/>
      </left>
      <right/>
      <top style="hair">
        <color rgb="FFAEAAAA"/>
      </top>
      <bottom style="hair">
        <color rgb="FFAEAAAA"/>
      </bottom>
      <diagonal/>
    </border>
    <border>
      <left style="thin">
        <color rgb="FF808080"/>
      </left>
      <right style="thin">
        <color rgb="FF808080"/>
      </right>
      <top style="hair">
        <color rgb="FFAEAAAA"/>
      </top>
      <bottom/>
      <diagonal/>
    </border>
    <border>
      <left/>
      <right style="thin">
        <color rgb="FF808080"/>
      </right>
      <top style="hair">
        <color rgb="FFAEAAAA"/>
      </top>
      <bottom style="hair">
        <color rgb="FFAEAAAA"/>
      </bottom>
      <diagonal/>
    </border>
    <border>
      <left style="thin">
        <color indexed="64"/>
      </left>
      <right style="thin">
        <color indexed="64"/>
      </right>
      <top style="hair">
        <color indexed="64"/>
      </top>
      <bottom style="hair">
        <color indexed="64"/>
      </bottom>
      <diagonal/>
    </border>
    <border>
      <left/>
      <right/>
      <top style="hair">
        <color indexed="64"/>
      </top>
      <bottom style="hair">
        <color indexed="64"/>
      </bottom>
      <diagonal/>
    </border>
    <border>
      <left style="thin">
        <color rgb="FF808080"/>
      </left>
      <right/>
      <top style="hair">
        <color rgb="FFAEAAAA"/>
      </top>
      <bottom/>
      <diagonal/>
    </border>
    <border>
      <left style="thin">
        <color rgb="FF808080"/>
      </left>
      <right style="thin">
        <color rgb="FF808080"/>
      </right>
      <top/>
      <bottom/>
      <diagonal/>
    </border>
    <border>
      <left/>
      <right style="thin">
        <color rgb="FF808080"/>
      </right>
      <top style="hair">
        <color rgb="FFAEAAAA"/>
      </top>
      <bottom/>
      <diagonal/>
    </border>
    <border>
      <left style="thin">
        <color rgb="FF808080"/>
      </left>
      <right style="thin">
        <color rgb="FF808080"/>
      </right>
      <top/>
      <bottom style="hair">
        <color rgb="FFAEAAAA"/>
      </bottom>
      <diagonal/>
    </border>
    <border>
      <left style="thin">
        <color rgb="FF808080"/>
      </left>
      <right style="thin">
        <color indexed="64"/>
      </right>
      <top style="hair">
        <color rgb="FFAEAAAA"/>
      </top>
      <bottom/>
      <diagonal/>
    </border>
    <border>
      <left/>
      <right/>
      <top style="hair">
        <color indexed="64"/>
      </top>
      <bottom/>
      <diagonal/>
    </border>
    <border>
      <left style="thin">
        <color rgb="FF808080"/>
      </left>
      <right/>
      <top/>
      <bottom/>
      <diagonal/>
    </border>
    <border>
      <left/>
      <right style="thin">
        <color rgb="FF808080"/>
      </right>
      <top/>
      <bottom/>
      <diagonal/>
    </border>
    <border>
      <left style="thin">
        <color rgb="FF808080"/>
      </left>
      <right style="thin">
        <color indexed="64"/>
      </right>
      <top/>
      <bottom/>
      <diagonal/>
    </border>
    <border>
      <left style="thin">
        <color indexed="64"/>
      </left>
      <right style="thin">
        <color indexed="64"/>
      </right>
      <top style="hair">
        <color indexed="64"/>
      </top>
      <bottom/>
      <diagonal/>
    </border>
    <border>
      <left style="thin">
        <color rgb="FF808080"/>
      </left>
      <right style="hair">
        <color rgb="FFAEAAAA"/>
      </right>
      <top style="hair">
        <color rgb="FFAEAAAA"/>
      </top>
      <bottom style="hair">
        <color rgb="FFAEAAAA"/>
      </bottom>
      <diagonal/>
    </border>
    <border>
      <left/>
      <right style="thin">
        <color rgb="FF808080"/>
      </right>
      <top/>
      <bottom style="hair">
        <color rgb="FFAEAAAA"/>
      </bottom>
      <diagonal/>
    </border>
    <border>
      <left style="thin">
        <color indexed="64"/>
      </left>
      <right/>
      <top style="hair">
        <color rgb="FFAEAAAA"/>
      </top>
      <bottom style="thin">
        <color indexed="64"/>
      </bottom>
      <diagonal/>
    </border>
    <border>
      <left style="thin">
        <color rgb="FF808080"/>
      </left>
      <right/>
      <top style="hair">
        <color rgb="FFAEAAAA"/>
      </top>
      <bottom style="thin">
        <color indexed="64"/>
      </bottom>
      <diagonal/>
    </border>
    <border>
      <left/>
      <right style="thin">
        <color rgb="FF808080"/>
      </right>
      <top style="hair">
        <color rgb="FFAEAAAA"/>
      </top>
      <bottom style="thin">
        <color indexed="64"/>
      </bottom>
      <diagonal/>
    </border>
    <border>
      <left style="thin">
        <color rgb="FF808080"/>
      </left>
      <right style="thin">
        <color rgb="FF808080"/>
      </right>
      <top style="hair">
        <color rgb="FFAEAAAA"/>
      </top>
      <bottom style="thin">
        <color indexed="64"/>
      </bottom>
      <diagonal/>
    </border>
    <border>
      <left style="thin">
        <color rgb="FF808080"/>
      </left>
      <right style="thin">
        <color indexed="64"/>
      </right>
      <top style="hair">
        <color rgb="FFAEAAAA"/>
      </top>
      <bottom style="thin">
        <color indexed="64"/>
      </bottom>
      <diagonal/>
    </border>
    <border>
      <left style="thin">
        <color rgb="FF808080"/>
      </left>
      <right/>
      <top/>
      <bottom style="thin">
        <color indexed="64"/>
      </bottom>
      <diagonal/>
    </border>
    <border>
      <left style="thin">
        <color indexed="64"/>
      </left>
      <right style="thin">
        <color indexed="64"/>
      </right>
      <top style="hair">
        <color indexed="64"/>
      </top>
      <bottom style="thin">
        <color indexed="64"/>
      </bottom>
      <diagonal/>
    </border>
    <border>
      <left/>
      <right/>
      <top style="hair">
        <color indexed="64"/>
      </top>
      <bottom style="thin">
        <color indexed="64"/>
      </bottom>
      <diagonal/>
    </border>
    <border>
      <left/>
      <right/>
      <top/>
      <bottom style="hair">
        <color theme="2" tint="-0.249977111117893"/>
      </bottom>
      <diagonal/>
    </border>
    <border>
      <left/>
      <right/>
      <top style="hair">
        <color theme="2" tint="-0.249977111117893"/>
      </top>
      <bottom style="hair">
        <color theme="2" tint="-0.249977111117893"/>
      </bottom>
      <diagonal/>
    </border>
    <border>
      <left/>
      <right/>
      <top style="hair">
        <color theme="2" tint="-0.249977111117893"/>
      </top>
      <bottom style="thin">
        <color theme="0" tint="-0.499984740745262"/>
      </bottom>
      <diagonal/>
    </border>
    <border>
      <left style="thin">
        <color rgb="FF808080"/>
      </left>
      <right/>
      <top style="thin">
        <color indexed="64"/>
      </top>
      <bottom style="thin">
        <color rgb="FF808080"/>
      </bottom>
      <diagonal/>
    </border>
    <border>
      <left/>
      <right style="thin">
        <color rgb="FF808080"/>
      </right>
      <top style="thin">
        <color indexed="64"/>
      </top>
      <bottom style="thin">
        <color rgb="FF808080"/>
      </bottom>
      <diagonal/>
    </border>
    <border>
      <left/>
      <right style="thin">
        <color rgb="FF808080"/>
      </right>
      <top style="thin">
        <color rgb="FF808080"/>
      </top>
      <bottom style="thin">
        <color rgb="FF808080"/>
      </bottom>
      <diagonal/>
    </border>
    <border>
      <left style="thin">
        <color indexed="64"/>
      </left>
      <right style="thin">
        <color indexed="64"/>
      </right>
      <top style="thin">
        <color indexed="64"/>
      </top>
      <bottom style="thin">
        <color indexed="64"/>
      </bottom>
      <diagonal/>
    </border>
  </borders>
  <cellStyleXfs count="15">
    <xf numFmtId="0" fontId="0" fillId="0" borderId="0"/>
    <xf numFmtId="9" fontId="3" fillId="0" borderId="0" applyFont="0" applyFill="0" applyBorder="0" applyAlignment="0" applyProtection="0"/>
    <xf numFmtId="0" fontId="13" fillId="0" borderId="0"/>
    <xf numFmtId="43" fontId="13" fillId="0" borderId="0" applyFont="0" applyFill="0" applyBorder="0" applyAlignment="0" applyProtection="0"/>
    <xf numFmtId="9" fontId="13" fillId="0" borderId="0" applyFont="0" applyFill="0" applyBorder="0" applyAlignment="0" applyProtection="0"/>
    <xf numFmtId="0" fontId="14" fillId="0" borderId="0"/>
    <xf numFmtId="43" fontId="14" fillId="0" borderId="0" applyFont="0" applyFill="0" applyBorder="0" applyAlignment="0" applyProtection="0"/>
    <xf numFmtId="9" fontId="14" fillId="0" borderId="0" applyFont="0" applyFill="0" applyBorder="0" applyAlignment="0" applyProtection="0"/>
    <xf numFmtId="0" fontId="18" fillId="7" borderId="0" applyNumberFormat="0" applyBorder="0" applyAlignment="0" applyProtection="0"/>
    <xf numFmtId="43" fontId="3" fillId="0" borderId="0" applyFont="0" applyFill="0" applyBorder="0" applyAlignment="0" applyProtection="0"/>
    <xf numFmtId="44" fontId="3" fillId="0" borderId="0" applyFont="0" applyFill="0" applyBorder="0" applyAlignment="0" applyProtection="0"/>
    <xf numFmtId="0" fontId="20" fillId="0" borderId="0" applyNumberFormat="0" applyFill="0" applyBorder="0" applyAlignment="0" applyProtection="0"/>
    <xf numFmtId="0" fontId="3" fillId="0" borderId="0"/>
    <xf numFmtId="0" fontId="30" fillId="15" borderId="0" applyNumberFormat="0" applyBorder="0" applyAlignment="0" applyProtection="0"/>
    <xf numFmtId="0" fontId="2" fillId="0" borderId="0"/>
  </cellStyleXfs>
  <cellXfs count="523">
    <xf numFmtId="0" fontId="0" fillId="0" borderId="0" xfId="0"/>
    <xf numFmtId="0" fontId="5" fillId="0" borderId="0" xfId="0" applyFont="1"/>
    <xf numFmtId="0" fontId="5" fillId="0" borderId="1" xfId="0" applyFont="1" applyBorder="1"/>
    <xf numFmtId="164" fontId="5" fillId="0" borderId="1" xfId="0" applyNumberFormat="1" applyFont="1" applyBorder="1"/>
    <xf numFmtId="0" fontId="4" fillId="4" borderId="1" xfId="0" applyFont="1" applyFill="1" applyBorder="1"/>
    <xf numFmtId="2" fontId="5" fillId="0" borderId="1" xfId="0" applyNumberFormat="1" applyFont="1" applyBorder="1"/>
    <xf numFmtId="164" fontId="4" fillId="3" borderId="2" xfId="0" applyNumberFormat="1" applyFont="1" applyFill="1" applyBorder="1" applyAlignment="1">
      <alignment horizontal="right"/>
    </xf>
    <xf numFmtId="0" fontId="6" fillId="2" borderId="0" xfId="0" applyFont="1" applyFill="1"/>
    <xf numFmtId="164" fontId="4" fillId="3" borderId="1" xfId="0" applyNumberFormat="1" applyFont="1" applyFill="1" applyBorder="1" applyAlignment="1">
      <alignment horizontal="right"/>
    </xf>
    <xf numFmtId="164" fontId="4" fillId="3" borderId="2" xfId="0" applyNumberFormat="1" applyFont="1" applyFill="1" applyBorder="1" applyAlignment="1">
      <alignment horizontal="left"/>
    </xf>
    <xf numFmtId="164" fontId="5" fillId="0" borderId="1" xfId="0" applyNumberFormat="1" applyFont="1" applyBorder="1" applyAlignment="1">
      <alignment horizontal="right"/>
    </xf>
    <xf numFmtId="0" fontId="4" fillId="4" borderId="22" xfId="0" applyFont="1" applyFill="1" applyBorder="1"/>
    <xf numFmtId="0" fontId="4" fillId="4" borderId="10" xfId="0" applyFont="1" applyFill="1" applyBorder="1"/>
    <xf numFmtId="0" fontId="4" fillId="4" borderId="7" xfId="0" applyFont="1" applyFill="1" applyBorder="1"/>
    <xf numFmtId="0" fontId="4" fillId="3" borderId="1" xfId="0" applyFont="1" applyFill="1" applyBorder="1" applyAlignment="1">
      <alignment horizontal="right"/>
    </xf>
    <xf numFmtId="0" fontId="5" fillId="0" borderId="16" xfId="0" applyFont="1" applyBorder="1"/>
    <xf numFmtId="0" fontId="5" fillId="0" borderId="2" xfId="0" applyFont="1" applyBorder="1"/>
    <xf numFmtId="0" fontId="5" fillId="0" borderId="4" xfId="0" applyFont="1" applyBorder="1"/>
    <xf numFmtId="14" fontId="5" fillId="0" borderId="1" xfId="0" applyNumberFormat="1" applyFont="1" applyBorder="1"/>
    <xf numFmtId="0" fontId="4" fillId="4" borderId="26" xfId="0" applyFont="1" applyFill="1" applyBorder="1"/>
    <xf numFmtId="0" fontId="4" fillId="4" borderId="1" xfId="0" applyFont="1" applyFill="1" applyBorder="1" applyAlignment="1">
      <alignment horizontal="left" vertical="center"/>
    </xf>
    <xf numFmtId="0" fontId="5" fillId="0" borderId="1" xfId="0" applyFont="1" applyBorder="1" applyAlignment="1">
      <alignment horizontal="left" vertical="center"/>
    </xf>
    <xf numFmtId="0" fontId="5" fillId="0" borderId="1" xfId="0" applyFont="1" applyBorder="1" applyAlignment="1">
      <alignment horizontal="left" vertical="center" wrapText="1"/>
    </xf>
    <xf numFmtId="0" fontId="5" fillId="3" borderId="1" xfId="0" applyFont="1" applyFill="1" applyBorder="1" applyAlignment="1">
      <alignment vertical="center"/>
    </xf>
    <xf numFmtId="0" fontId="5" fillId="3" borderId="1" xfId="0" applyFont="1" applyFill="1" applyBorder="1" applyAlignment="1">
      <alignment vertical="center" wrapText="1"/>
    </xf>
    <xf numFmtId="164" fontId="5" fillId="3" borderId="1" xfId="0" applyNumberFormat="1" applyFont="1" applyFill="1" applyBorder="1" applyAlignment="1">
      <alignment vertical="center"/>
    </xf>
    <xf numFmtId="164" fontId="5" fillId="3" borderId="1" xfId="0" applyNumberFormat="1" applyFont="1" applyFill="1" applyBorder="1" applyAlignment="1">
      <alignment horizontal="right" vertical="center"/>
    </xf>
    <xf numFmtId="164" fontId="5" fillId="3" borderId="2" xfId="0" applyNumberFormat="1" applyFont="1" applyFill="1" applyBorder="1" applyAlignment="1">
      <alignment horizontal="right" vertical="center"/>
    </xf>
    <xf numFmtId="0" fontId="5" fillId="3" borderId="1" xfId="0" applyFont="1" applyFill="1" applyBorder="1" applyAlignment="1">
      <alignment wrapText="1"/>
    </xf>
    <xf numFmtId="2" fontId="5" fillId="0" borderId="1" xfId="1" applyNumberFormat="1" applyFont="1" applyBorder="1" applyAlignment="1">
      <alignment horizontal="left" vertical="center"/>
    </xf>
    <xf numFmtId="14" fontId="5" fillId="0" borderId="1" xfId="1" applyNumberFormat="1" applyFont="1" applyBorder="1" applyAlignment="1">
      <alignment horizontal="right" vertical="center"/>
    </xf>
    <xf numFmtId="0" fontId="5" fillId="0" borderId="1" xfId="0" applyFont="1" applyBorder="1" applyAlignment="1">
      <alignment horizontal="left"/>
    </xf>
    <xf numFmtId="0" fontId="6" fillId="2" borderId="0" xfId="0" applyFont="1" applyFill="1" applyProtection="1">
      <protection locked="0"/>
    </xf>
    <xf numFmtId="0" fontId="0" fillId="0" borderId="0" xfId="0" applyProtection="1">
      <protection locked="0"/>
    </xf>
    <xf numFmtId="0" fontId="4" fillId="4" borderId="1" xfId="0" applyFont="1" applyFill="1" applyBorder="1" applyProtection="1">
      <protection locked="0"/>
    </xf>
    <xf numFmtId="10" fontId="5" fillId="0" borderId="1" xfId="1" applyNumberFormat="1" applyFont="1" applyBorder="1" applyProtection="1">
      <protection locked="0"/>
    </xf>
    <xf numFmtId="0" fontId="5" fillId="0" borderId="0" xfId="0" applyFont="1" applyProtection="1">
      <protection locked="0"/>
    </xf>
    <xf numFmtId="164" fontId="5" fillId="3" borderId="1" xfId="0" applyNumberFormat="1" applyFont="1" applyFill="1" applyBorder="1" applyAlignment="1" applyProtection="1">
      <alignment horizontal="right"/>
      <protection locked="0"/>
    </xf>
    <xf numFmtId="0" fontId="0" fillId="0" borderId="0" xfId="0" quotePrefix="1" applyProtection="1">
      <protection locked="0"/>
    </xf>
    <xf numFmtId="0" fontId="5" fillId="0" borderId="1" xfId="0" applyFont="1" applyBorder="1" applyProtection="1">
      <protection locked="0"/>
    </xf>
    <xf numFmtId="0" fontId="4" fillId="0" borderId="0" xfId="0" applyFont="1" applyProtection="1">
      <protection locked="0"/>
    </xf>
    <xf numFmtId="165" fontId="5" fillId="0" borderId="0" xfId="1" applyNumberFormat="1" applyFont="1" applyProtection="1">
      <protection locked="0"/>
    </xf>
    <xf numFmtId="0" fontId="5" fillId="3" borderId="1" xfId="0" applyFont="1" applyFill="1" applyBorder="1" applyAlignment="1" applyProtection="1">
      <alignment horizontal="left"/>
      <protection locked="0"/>
    </xf>
    <xf numFmtId="0" fontId="5" fillId="0" borderId="1" xfId="0" applyFont="1" applyBorder="1" applyAlignment="1" applyProtection="1">
      <alignment vertical="top"/>
      <protection locked="0"/>
    </xf>
    <xf numFmtId="0" fontId="4" fillId="0" borderId="1" xfId="0" applyFont="1" applyBorder="1" applyAlignment="1" applyProtection="1">
      <alignment vertical="top"/>
      <protection locked="0"/>
    </xf>
    <xf numFmtId="10" fontId="5" fillId="3" borderId="2" xfId="1" applyNumberFormat="1" applyFont="1" applyFill="1" applyBorder="1" applyAlignment="1" applyProtection="1">
      <alignment horizontal="right"/>
    </xf>
    <xf numFmtId="10" fontId="4" fillId="3" borderId="2" xfId="1" applyNumberFormat="1" applyFont="1" applyFill="1" applyBorder="1" applyAlignment="1" applyProtection="1">
      <alignment horizontal="right"/>
    </xf>
    <xf numFmtId="0" fontId="6" fillId="2" borderId="0" xfId="0" applyFont="1" applyFill="1" applyAlignment="1">
      <alignment horizontal="right"/>
    </xf>
    <xf numFmtId="0" fontId="10" fillId="4" borderId="1" xfId="0" applyFont="1" applyFill="1" applyBorder="1"/>
    <xf numFmtId="0" fontId="4" fillId="4" borderId="16" xfId="0" applyFont="1" applyFill="1" applyBorder="1"/>
    <xf numFmtId="14" fontId="4" fillId="4" borderId="1" xfId="0" applyNumberFormat="1" applyFont="1" applyFill="1" applyBorder="1"/>
    <xf numFmtId="164" fontId="5" fillId="3" borderId="1" xfId="0" applyNumberFormat="1" applyFont="1" applyFill="1" applyBorder="1" applyAlignment="1">
      <alignment horizontal="left"/>
    </xf>
    <xf numFmtId="2" fontId="5" fillId="3" borderId="1" xfId="0" applyNumberFormat="1" applyFont="1" applyFill="1" applyBorder="1" applyAlignment="1">
      <alignment horizontal="right"/>
    </xf>
    <xf numFmtId="164" fontId="5" fillId="3" borderId="1" xfId="0" applyNumberFormat="1" applyFont="1" applyFill="1" applyBorder="1" applyAlignment="1">
      <alignment horizontal="right"/>
    </xf>
    <xf numFmtId="2" fontId="4" fillId="3" borderId="1" xfId="0" applyNumberFormat="1" applyFont="1" applyFill="1" applyBorder="1" applyAlignment="1">
      <alignment horizontal="right"/>
    </xf>
    <xf numFmtId="165" fontId="5" fillId="3" borderId="1" xfId="1" applyNumberFormat="1" applyFont="1" applyFill="1" applyBorder="1" applyAlignment="1" applyProtection="1">
      <alignment horizontal="right"/>
    </xf>
    <xf numFmtId="2" fontId="5" fillId="3" borderId="16" xfId="0" applyNumberFormat="1" applyFont="1" applyFill="1" applyBorder="1" applyAlignment="1">
      <alignment horizontal="right"/>
    </xf>
    <xf numFmtId="2" fontId="4" fillId="3" borderId="16" xfId="0" applyNumberFormat="1" applyFont="1" applyFill="1" applyBorder="1" applyAlignment="1">
      <alignment horizontal="right"/>
    </xf>
    <xf numFmtId="0" fontId="5" fillId="3" borderId="10" xfId="0" applyFont="1" applyFill="1" applyBorder="1" applyAlignment="1">
      <alignment horizontal="left"/>
    </xf>
    <xf numFmtId="0" fontId="0" fillId="3" borderId="1" xfId="0" applyFill="1" applyBorder="1"/>
    <xf numFmtId="14" fontId="5" fillId="3" borderId="1" xfId="0" applyNumberFormat="1" applyFont="1" applyFill="1" applyBorder="1" applyAlignment="1">
      <alignment horizontal="right"/>
    </xf>
    <xf numFmtId="0" fontId="5" fillId="3" borderId="1" xfId="0" applyFont="1" applyFill="1" applyBorder="1" applyAlignment="1">
      <alignment horizontal="right"/>
    </xf>
    <xf numFmtId="164" fontId="5" fillId="3" borderId="1" xfId="0" applyNumberFormat="1" applyFont="1" applyFill="1" applyBorder="1"/>
    <xf numFmtId="0" fontId="5" fillId="0" borderId="15" xfId="0" applyFont="1" applyBorder="1"/>
    <xf numFmtId="0" fontId="5" fillId="0" borderId="1" xfId="1" applyNumberFormat="1" applyFont="1" applyBorder="1" applyAlignment="1" applyProtection="1">
      <alignment horizontal="left"/>
      <protection locked="0"/>
    </xf>
    <xf numFmtId="164" fontId="4" fillId="3" borderId="1" xfId="0" applyNumberFormat="1" applyFont="1" applyFill="1" applyBorder="1" applyAlignment="1">
      <alignment horizontal="left"/>
    </xf>
    <xf numFmtId="0" fontId="6" fillId="2" borderId="0" xfId="0" applyFont="1" applyFill="1" applyAlignment="1">
      <alignment horizontal="left"/>
    </xf>
    <xf numFmtId="164" fontId="5" fillId="0" borderId="1" xfId="0" applyNumberFormat="1" applyFont="1" applyBorder="1" applyProtection="1">
      <protection locked="0"/>
    </xf>
    <xf numFmtId="0" fontId="5" fillId="0" borderId="1" xfId="0" applyFont="1" applyBorder="1" applyAlignment="1">
      <alignment vertical="center"/>
    </xf>
    <xf numFmtId="164" fontId="4" fillId="4" borderId="1" xfId="0" applyNumberFormat="1" applyFont="1" applyFill="1" applyBorder="1" applyAlignment="1">
      <alignment horizontal="right"/>
    </xf>
    <xf numFmtId="164" fontId="4" fillId="4" borderId="2" xfId="0" applyNumberFormat="1" applyFont="1" applyFill="1" applyBorder="1" applyAlignment="1">
      <alignment horizontal="right"/>
    </xf>
    <xf numFmtId="0" fontId="4" fillId="4" borderId="0" xfId="0" applyFont="1" applyFill="1"/>
    <xf numFmtId="0" fontId="5" fillId="3" borderId="0" xfId="0" applyFont="1" applyFill="1" applyAlignment="1">
      <alignment horizontal="right"/>
    </xf>
    <xf numFmtId="0" fontId="0" fillId="3" borderId="0" xfId="0" applyFill="1"/>
    <xf numFmtId="0" fontId="5" fillId="0" borderId="1" xfId="1" applyNumberFormat="1" applyFont="1" applyBorder="1" applyAlignment="1" applyProtection="1">
      <protection locked="0"/>
    </xf>
    <xf numFmtId="10" fontId="4" fillId="4" borderId="1" xfId="1" applyNumberFormat="1" applyFont="1" applyFill="1" applyBorder="1" applyAlignment="1" applyProtection="1">
      <alignment horizontal="right"/>
    </xf>
    <xf numFmtId="10" fontId="4" fillId="4" borderId="2" xfId="1" applyNumberFormat="1" applyFont="1" applyFill="1" applyBorder="1" applyAlignment="1" applyProtection="1">
      <alignment horizontal="right"/>
    </xf>
    <xf numFmtId="10" fontId="4" fillId="3" borderId="1" xfId="1" applyNumberFormat="1" applyFont="1" applyFill="1" applyBorder="1" applyAlignment="1" applyProtection="1">
      <alignment horizontal="right"/>
    </xf>
    <xf numFmtId="0" fontId="7" fillId="2" borderId="0" xfId="0" applyFont="1" applyFill="1" applyProtection="1">
      <protection locked="0"/>
    </xf>
    <xf numFmtId="10" fontId="5" fillId="3" borderId="1" xfId="1" applyNumberFormat="1" applyFont="1" applyFill="1" applyBorder="1" applyAlignment="1" applyProtection="1">
      <alignment horizontal="right"/>
    </xf>
    <xf numFmtId="0" fontId="4" fillId="4" borderId="10" xfId="0" applyFont="1" applyFill="1" applyBorder="1" applyAlignment="1" applyProtection="1">
      <alignment vertical="center" wrapText="1"/>
      <protection locked="0"/>
    </xf>
    <xf numFmtId="0" fontId="0" fillId="0" borderId="0" xfId="0" applyAlignment="1" applyProtection="1">
      <alignment vertical="center" wrapText="1"/>
      <protection locked="0"/>
    </xf>
    <xf numFmtId="0" fontId="15" fillId="2" borderId="0" xfId="0" applyFont="1" applyFill="1" applyProtection="1">
      <protection locked="0"/>
    </xf>
    <xf numFmtId="0" fontId="4" fillId="4" borderId="27" xfId="0" applyFont="1" applyFill="1" applyBorder="1" applyAlignment="1" applyProtection="1">
      <alignment horizontal="center" vertical="center" wrapText="1"/>
      <protection locked="0"/>
    </xf>
    <xf numFmtId="0" fontId="4" fillId="4" borderId="10"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5" fillId="6" borderId="1" xfId="0" applyFont="1" applyFill="1" applyBorder="1" applyAlignment="1">
      <alignment vertical="center"/>
    </xf>
    <xf numFmtId="2" fontId="5" fillId="3" borderId="1" xfId="0" applyNumberFormat="1" applyFont="1" applyFill="1" applyBorder="1" applyAlignment="1">
      <alignment horizontal="right" vertical="center"/>
    </xf>
    <xf numFmtId="2" fontId="5" fillId="6" borderId="1" xfId="0" applyNumberFormat="1" applyFont="1" applyFill="1" applyBorder="1" applyAlignment="1">
      <alignment horizontal="right" vertical="center"/>
    </xf>
    <xf numFmtId="2" fontId="5" fillId="0" borderId="1" xfId="0" applyNumberFormat="1" applyFont="1" applyBorder="1" applyAlignment="1" applyProtection="1">
      <alignment vertical="center"/>
      <protection locked="0"/>
    </xf>
    <xf numFmtId="0" fontId="4" fillId="3" borderId="28" xfId="0" applyFont="1" applyFill="1" applyBorder="1" applyAlignment="1">
      <alignment horizontal="right" vertical="center"/>
    </xf>
    <xf numFmtId="0" fontId="4" fillId="3" borderId="9" xfId="0" applyFont="1" applyFill="1" applyBorder="1" applyAlignment="1">
      <alignment vertical="center"/>
    </xf>
    <xf numFmtId="2" fontId="4" fillId="3" borderId="1" xfId="0" applyNumberFormat="1" applyFont="1" applyFill="1" applyBorder="1" applyAlignment="1">
      <alignment horizontal="right" vertical="center"/>
    </xf>
    <xf numFmtId="2" fontId="4" fillId="3" borderId="28" xfId="0" applyNumberFormat="1" applyFont="1" applyFill="1" applyBorder="1" applyAlignment="1">
      <alignment horizontal="right" vertical="center"/>
    </xf>
    <xf numFmtId="0" fontId="5" fillId="0" borderId="27" xfId="0" applyFont="1" applyBorder="1" applyAlignment="1" applyProtection="1">
      <alignment horizontal="center" vertical="center"/>
      <protection locked="0"/>
    </xf>
    <xf numFmtId="0" fontId="0" fillId="0" borderId="2" xfId="0" applyBorder="1"/>
    <xf numFmtId="0" fontId="0" fillId="0" borderId="16" xfId="0" applyBorder="1"/>
    <xf numFmtId="164" fontId="5" fillId="0" borderId="2" xfId="0" applyNumberFormat="1" applyFont="1" applyBorder="1" applyAlignment="1" applyProtection="1">
      <alignment horizontal="right"/>
      <protection locked="0"/>
    </xf>
    <xf numFmtId="164" fontId="5" fillId="3" borderId="1" xfId="1" applyNumberFormat="1" applyFont="1" applyFill="1" applyBorder="1" applyAlignment="1" applyProtection="1">
      <alignment horizontal="right"/>
    </xf>
    <xf numFmtId="0" fontId="5" fillId="3" borderId="1" xfId="0" applyFont="1" applyFill="1" applyBorder="1" applyAlignment="1" applyProtection="1">
      <alignment vertical="center"/>
      <protection locked="0"/>
    </xf>
    <xf numFmtId="2" fontId="5" fillId="3" borderId="1" xfId="0" applyNumberFormat="1" applyFont="1" applyFill="1" applyBorder="1" applyAlignment="1" applyProtection="1">
      <alignment horizontal="right" vertical="center"/>
      <protection locked="0"/>
    </xf>
    <xf numFmtId="2" fontId="5" fillId="6" borderId="1" xfId="0" applyNumberFormat="1" applyFont="1" applyFill="1" applyBorder="1" applyAlignment="1" applyProtection="1">
      <alignment horizontal="right" vertical="center"/>
      <protection locked="0"/>
    </xf>
    <xf numFmtId="2" fontId="5" fillId="3" borderId="1" xfId="1" applyNumberFormat="1" applyFont="1" applyFill="1" applyBorder="1" applyAlignment="1" applyProtection="1">
      <alignment horizontal="right"/>
    </xf>
    <xf numFmtId="10" fontId="4" fillId="3" borderId="1" xfId="1" applyNumberFormat="1" applyFont="1" applyFill="1" applyBorder="1" applyAlignment="1" applyProtection="1">
      <alignment horizontal="right" vertical="center"/>
    </xf>
    <xf numFmtId="10" fontId="4" fillId="3" borderId="2" xfId="1" applyNumberFormat="1" applyFont="1" applyFill="1" applyBorder="1" applyAlignment="1" applyProtection="1">
      <alignment horizontal="right" vertical="center"/>
    </xf>
    <xf numFmtId="3" fontId="5" fillId="0" borderId="1" xfId="0" applyNumberFormat="1" applyFont="1" applyBorder="1"/>
    <xf numFmtId="164" fontId="5" fillId="0" borderId="1" xfId="10" applyNumberFormat="1" applyFont="1" applyBorder="1"/>
    <xf numFmtId="3" fontId="4" fillId="0" borderId="1" xfId="0" applyNumberFormat="1" applyFont="1" applyBorder="1"/>
    <xf numFmtId="165" fontId="5" fillId="0" borderId="1" xfId="1" applyNumberFormat="1" applyFont="1" applyBorder="1"/>
    <xf numFmtId="0" fontId="11" fillId="0" borderId="0" xfId="0" applyFont="1" applyProtection="1">
      <protection locked="0"/>
    </xf>
    <xf numFmtId="0" fontId="5" fillId="5" borderId="1" xfId="0" applyFont="1" applyFill="1" applyBorder="1" applyAlignment="1" applyProtection="1">
      <alignment horizontal="left"/>
      <protection locked="0"/>
    </xf>
    <xf numFmtId="0" fontId="4" fillId="3" borderId="1" xfId="0" applyFont="1" applyFill="1" applyBorder="1" applyAlignment="1" applyProtection="1">
      <alignment horizontal="right"/>
      <protection locked="0"/>
    </xf>
    <xf numFmtId="0" fontId="5" fillId="3" borderId="1" xfId="0" applyFont="1" applyFill="1" applyBorder="1" applyProtection="1">
      <protection locked="0"/>
    </xf>
    <xf numFmtId="2" fontId="5" fillId="0" borderId="1" xfId="0" applyNumberFormat="1" applyFont="1" applyBorder="1" applyProtection="1">
      <protection locked="0"/>
    </xf>
    <xf numFmtId="164" fontId="5" fillId="3" borderId="22" xfId="0" applyNumberFormat="1" applyFont="1" applyFill="1" applyBorder="1" applyProtection="1">
      <protection locked="0"/>
    </xf>
    <xf numFmtId="164" fontId="5" fillId="3" borderId="2" xfId="0" applyNumberFormat="1" applyFont="1" applyFill="1" applyBorder="1" applyProtection="1">
      <protection locked="0"/>
    </xf>
    <xf numFmtId="0" fontId="5" fillId="0" borderId="2" xfId="0" applyFont="1" applyBorder="1" applyAlignment="1" applyProtection="1">
      <alignment horizontal="left"/>
      <protection locked="0"/>
    </xf>
    <xf numFmtId="0" fontId="5" fillId="0" borderId="3" xfId="0" applyFont="1" applyBorder="1" applyAlignment="1" applyProtection="1">
      <alignment horizontal="left"/>
      <protection locked="0"/>
    </xf>
    <xf numFmtId="0" fontId="5" fillId="0" borderId="16" xfId="0" applyFont="1" applyBorder="1" applyAlignment="1" applyProtection="1">
      <alignment horizontal="left"/>
      <protection locked="0"/>
    </xf>
    <xf numFmtId="164" fontId="0" fillId="0" borderId="0" xfId="0" applyNumberFormat="1" applyProtection="1">
      <protection locked="0"/>
    </xf>
    <xf numFmtId="164" fontId="5" fillId="5" borderId="1" xfId="0" applyNumberFormat="1" applyFont="1" applyFill="1" applyBorder="1" applyProtection="1">
      <protection locked="0"/>
    </xf>
    <xf numFmtId="0" fontId="6" fillId="2" borderId="1" xfId="0" applyFont="1" applyFill="1" applyBorder="1"/>
    <xf numFmtId="0" fontId="6" fillId="2" borderId="18" xfId="0" applyFont="1" applyFill="1" applyBorder="1" applyAlignment="1">
      <alignment horizontal="left"/>
    </xf>
    <xf numFmtId="0" fontId="6" fillId="2" borderId="18" xfId="0" applyFont="1" applyFill="1" applyBorder="1"/>
    <xf numFmtId="164" fontId="4" fillId="3" borderId="22" xfId="0" applyNumberFormat="1" applyFont="1" applyFill="1" applyBorder="1"/>
    <xf numFmtId="10" fontId="4" fillId="3" borderId="22" xfId="1" applyNumberFormat="1" applyFont="1" applyFill="1" applyBorder="1" applyAlignment="1" applyProtection="1">
      <alignment horizontal="right"/>
    </xf>
    <xf numFmtId="0" fontId="7" fillId="2" borderId="0" xfId="0" applyFont="1" applyFill="1"/>
    <xf numFmtId="0" fontId="7" fillId="2" borderId="14" xfId="0" applyFont="1" applyFill="1" applyBorder="1"/>
    <xf numFmtId="0" fontId="4" fillId="4" borderId="2" xfId="0" applyFont="1" applyFill="1" applyBorder="1"/>
    <xf numFmtId="0" fontId="4" fillId="4" borderId="8" xfId="0" applyFont="1" applyFill="1" applyBorder="1"/>
    <xf numFmtId="164" fontId="5" fillId="3" borderId="7" xfId="0" applyNumberFormat="1" applyFont="1" applyFill="1" applyBorder="1"/>
    <xf numFmtId="164" fontId="5" fillId="3" borderId="22" xfId="0" applyNumberFormat="1" applyFont="1" applyFill="1" applyBorder="1"/>
    <xf numFmtId="164" fontId="5" fillId="3" borderId="16" xfId="0" applyNumberFormat="1" applyFont="1" applyFill="1" applyBorder="1"/>
    <xf numFmtId="164" fontId="5" fillId="3" borderId="2" xfId="0" applyNumberFormat="1" applyFont="1" applyFill="1" applyBorder="1"/>
    <xf numFmtId="2" fontId="4" fillId="3" borderId="1" xfId="0" applyNumberFormat="1" applyFont="1" applyFill="1" applyBorder="1"/>
    <xf numFmtId="2" fontId="4" fillId="3" borderId="3" xfId="0" applyNumberFormat="1" applyFont="1" applyFill="1" applyBorder="1"/>
    <xf numFmtId="2" fontId="4" fillId="3" borderId="3" xfId="0" applyNumberFormat="1" applyFont="1" applyFill="1" applyBorder="1" applyAlignment="1">
      <alignment horizontal="right"/>
    </xf>
    <xf numFmtId="164" fontId="4" fillId="3" borderId="1" xfId="0" applyNumberFormat="1" applyFont="1" applyFill="1" applyBorder="1"/>
    <xf numFmtId="0" fontId="5" fillId="3" borderId="1" xfId="0" applyFont="1" applyFill="1" applyBorder="1" applyAlignment="1" applyProtection="1">
      <alignment horizontal="center"/>
      <protection locked="0"/>
    </xf>
    <xf numFmtId="14" fontId="5" fillId="0" borderId="1" xfId="1" applyNumberFormat="1" applyFont="1" applyBorder="1" applyAlignment="1" applyProtection="1">
      <alignment horizontal="center"/>
      <protection locked="0"/>
    </xf>
    <xf numFmtId="164" fontId="5" fillId="0" borderId="2" xfId="0" applyNumberFormat="1" applyFont="1" applyBorder="1" applyAlignment="1" applyProtection="1">
      <alignment horizontal="center" vertical="center"/>
      <protection locked="0"/>
    </xf>
    <xf numFmtId="164" fontId="5" fillId="0" borderId="16" xfId="0" applyNumberFormat="1" applyFont="1" applyBorder="1" applyProtection="1">
      <protection locked="0"/>
    </xf>
    <xf numFmtId="10" fontId="4" fillId="3" borderId="2" xfId="1" applyNumberFormat="1" applyFont="1" applyFill="1" applyBorder="1" applyAlignment="1" applyProtection="1"/>
    <xf numFmtId="164" fontId="4" fillId="3" borderId="2" xfId="0" applyNumberFormat="1" applyFont="1" applyFill="1" applyBorder="1"/>
    <xf numFmtId="10" fontId="5" fillId="0" borderId="2" xfId="1" applyNumberFormat="1" applyFont="1" applyBorder="1" applyProtection="1">
      <protection locked="0"/>
    </xf>
    <xf numFmtId="0" fontId="4" fillId="4" borderId="3" xfId="0" applyFont="1" applyFill="1" applyBorder="1" applyAlignment="1">
      <alignment horizontal="left"/>
    </xf>
    <xf numFmtId="0" fontId="4" fillId="4" borderId="9" xfId="0" applyFont="1" applyFill="1" applyBorder="1"/>
    <xf numFmtId="164" fontId="4" fillId="3" borderId="8" xfId="0" applyNumberFormat="1" applyFont="1" applyFill="1" applyBorder="1" applyAlignment="1">
      <alignment horizontal="right"/>
    </xf>
    <xf numFmtId="164" fontId="4" fillId="3" borderId="8" xfId="0" applyNumberFormat="1" applyFont="1" applyFill="1" applyBorder="1" applyAlignment="1">
      <alignment horizontal="left"/>
    </xf>
    <xf numFmtId="164" fontId="5" fillId="3" borderId="3" xfId="0" applyNumberFormat="1" applyFont="1" applyFill="1" applyBorder="1" applyAlignment="1">
      <alignment horizontal="right"/>
    </xf>
    <xf numFmtId="164" fontId="5" fillId="3" borderId="7" xfId="0" applyNumberFormat="1" applyFont="1" applyFill="1" applyBorder="1" applyProtection="1">
      <protection locked="0"/>
    </xf>
    <xf numFmtId="164" fontId="5" fillId="0" borderId="1" xfId="0" applyNumberFormat="1" applyFont="1" applyBorder="1" applyAlignment="1" applyProtection="1">
      <alignment horizontal="right"/>
      <protection locked="0"/>
    </xf>
    <xf numFmtId="10" fontId="4" fillId="3" borderId="1" xfId="1" applyNumberFormat="1" applyFont="1" applyFill="1" applyBorder="1" applyAlignment="1" applyProtection="1"/>
    <xf numFmtId="10" fontId="5" fillId="5" borderId="2" xfId="1" applyNumberFormat="1" applyFont="1" applyFill="1" applyBorder="1" applyAlignment="1" applyProtection="1">
      <protection locked="0"/>
    </xf>
    <xf numFmtId="164" fontId="5" fillId="3" borderId="2" xfId="0" applyNumberFormat="1" applyFont="1" applyFill="1" applyBorder="1" applyAlignment="1">
      <alignment horizontal="left"/>
    </xf>
    <xf numFmtId="0" fontId="4" fillId="4" borderId="16" xfId="0" applyFont="1" applyFill="1" applyBorder="1" applyAlignment="1">
      <alignment horizontal="left"/>
    </xf>
    <xf numFmtId="0" fontId="5" fillId="0" borderId="2"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16" xfId="0" applyFont="1" applyBorder="1" applyAlignment="1" applyProtection="1">
      <alignment horizontal="left" vertical="top"/>
      <protection locked="0"/>
    </xf>
    <xf numFmtId="164" fontId="4" fillId="3" borderId="3" xfId="0" applyNumberFormat="1" applyFont="1" applyFill="1" applyBorder="1" applyAlignment="1">
      <alignment horizontal="right"/>
    </xf>
    <xf numFmtId="164" fontId="5" fillId="3" borderId="2" xfId="0" applyNumberFormat="1" applyFont="1" applyFill="1" applyBorder="1" applyAlignment="1">
      <alignment horizontal="right"/>
    </xf>
    <xf numFmtId="164" fontId="4" fillId="3" borderId="3" xfId="0" applyNumberFormat="1" applyFont="1" applyFill="1" applyBorder="1"/>
    <xf numFmtId="0" fontId="4" fillId="4" borderId="16" xfId="0" applyFont="1" applyFill="1" applyBorder="1" applyProtection="1">
      <protection locked="0"/>
    </xf>
    <xf numFmtId="164" fontId="5" fillId="3" borderId="1" xfId="0" applyNumberFormat="1" applyFont="1" applyFill="1" applyBorder="1" applyProtection="1">
      <protection locked="0"/>
    </xf>
    <xf numFmtId="164" fontId="5" fillId="3" borderId="2" xfId="0" applyNumberFormat="1" applyFont="1" applyFill="1" applyBorder="1" applyAlignment="1" applyProtection="1">
      <alignment horizontal="right"/>
      <protection locked="0"/>
    </xf>
    <xf numFmtId="0" fontId="4" fillId="4" borderId="7" xfId="0" applyFont="1" applyFill="1" applyBorder="1" applyProtection="1">
      <protection locked="0"/>
    </xf>
    <xf numFmtId="0" fontId="6" fillId="2" borderId="0" xfId="0" applyFont="1" applyFill="1" applyAlignment="1" applyProtection="1">
      <alignment horizontal="right"/>
      <protection locked="0"/>
    </xf>
    <xf numFmtId="10" fontId="5" fillId="3" borderId="2" xfId="1" applyNumberFormat="1" applyFont="1" applyFill="1" applyBorder="1" applyAlignment="1" applyProtection="1">
      <alignment horizontal="right"/>
      <protection locked="0"/>
    </xf>
    <xf numFmtId="3" fontId="5" fillId="0" borderId="1" xfId="0" applyNumberFormat="1" applyFont="1" applyBorder="1" applyAlignment="1">
      <alignment horizontal="left"/>
    </xf>
    <xf numFmtId="0" fontId="4" fillId="4" borderId="2" xfId="0" applyFont="1" applyFill="1" applyBorder="1" applyAlignment="1">
      <alignment horizontal="left"/>
    </xf>
    <xf numFmtId="0" fontId="5" fillId="0" borderId="0" xfId="0" applyFont="1" applyAlignment="1">
      <alignment vertical="center"/>
    </xf>
    <xf numFmtId="0" fontId="5" fillId="0" borderId="0" xfId="0" applyFont="1" applyAlignment="1">
      <alignment horizontal="center" vertical="center"/>
    </xf>
    <xf numFmtId="0" fontId="4" fillId="0" borderId="0" xfId="0" applyFont="1" applyAlignment="1">
      <alignment horizontal="center" vertical="center"/>
    </xf>
    <xf numFmtId="167" fontId="4" fillId="0" borderId="0" xfId="0" applyNumberFormat="1" applyFont="1" applyAlignment="1">
      <alignment horizontal="center" vertical="center"/>
    </xf>
    <xf numFmtId="0" fontId="6" fillId="2" borderId="2" xfId="0" applyFont="1" applyFill="1" applyBorder="1" applyAlignment="1">
      <alignment horizontal="center" vertical="center"/>
    </xf>
    <xf numFmtId="14" fontId="4" fillId="0" borderId="16" xfId="0" applyNumberFormat="1" applyFont="1" applyBorder="1" applyAlignment="1">
      <alignment horizontal="center" vertical="center"/>
    </xf>
    <xf numFmtId="10" fontId="5" fillId="3" borderId="1" xfId="1" applyNumberFormat="1" applyFont="1" applyFill="1" applyBorder="1" applyProtection="1">
      <protection locked="0"/>
    </xf>
    <xf numFmtId="166" fontId="5" fillId="3" borderId="1" xfId="9" applyNumberFormat="1" applyFont="1" applyFill="1" applyBorder="1" applyProtection="1">
      <protection locked="0"/>
    </xf>
    <xf numFmtId="0" fontId="10" fillId="9" borderId="33" xfId="0" applyFont="1" applyFill="1" applyBorder="1" applyAlignment="1">
      <alignment horizontal="center" vertical="center" wrapText="1"/>
    </xf>
    <xf numFmtId="0" fontId="4" fillId="0" borderId="0" xfId="0" applyFont="1" applyAlignment="1">
      <alignment horizontal="center"/>
    </xf>
    <xf numFmtId="0" fontId="22" fillId="0" borderId="0" xfId="11" applyFont="1"/>
    <xf numFmtId="2" fontId="5" fillId="0" borderId="1" xfId="1" applyNumberFormat="1" applyFont="1" applyBorder="1" applyAlignment="1">
      <alignment horizontal="left" vertical="center" wrapText="1"/>
    </xf>
    <xf numFmtId="0" fontId="6" fillId="11" borderId="40" xfId="0" applyFont="1" applyFill="1" applyBorder="1" applyAlignment="1">
      <alignment horizontal="center" vertical="center" wrapText="1"/>
    </xf>
    <xf numFmtId="0" fontId="10" fillId="12" borderId="33" xfId="0" applyFont="1" applyFill="1" applyBorder="1" applyAlignment="1">
      <alignment horizontal="center" vertical="center" wrapText="1"/>
    </xf>
    <xf numFmtId="0" fontId="10" fillId="12" borderId="42"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4"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26" fillId="8" borderId="33" xfId="0" applyFont="1" applyFill="1" applyBorder="1" applyAlignment="1">
      <alignment horizontal="center" vertical="center" wrapText="1"/>
    </xf>
    <xf numFmtId="0" fontId="26" fillId="8" borderId="47" xfId="0" applyFont="1" applyFill="1" applyBorder="1" applyAlignment="1">
      <alignment horizontal="center" vertical="center" wrapText="1"/>
    </xf>
    <xf numFmtId="0" fontId="5" fillId="13" borderId="32" xfId="0" applyFont="1" applyFill="1" applyBorder="1" applyAlignment="1">
      <alignment vertical="center" wrapText="1"/>
    </xf>
    <xf numFmtId="0" fontId="5" fillId="13" borderId="44" xfId="0" applyFont="1" applyFill="1" applyBorder="1" applyAlignment="1">
      <alignment vertical="center" wrapText="1"/>
    </xf>
    <xf numFmtId="0" fontId="5" fillId="0" borderId="55" xfId="0" applyFont="1" applyBorder="1" applyAlignment="1">
      <alignment horizontal="center" vertical="center" wrapText="1"/>
    </xf>
    <xf numFmtId="0" fontId="5" fillId="0" borderId="46" xfId="0" applyFont="1" applyBorder="1" applyAlignment="1">
      <alignment horizontal="left" vertical="center" wrapText="1"/>
    </xf>
    <xf numFmtId="0" fontId="5" fillId="0" borderId="56" xfId="0" applyFont="1" applyBorder="1" applyAlignment="1">
      <alignment horizontal="center" vertical="center" wrapText="1"/>
    </xf>
    <xf numFmtId="0" fontId="25" fillId="2" borderId="54" xfId="0" applyFont="1" applyFill="1" applyBorder="1" applyAlignment="1">
      <alignment horizontal="center" vertical="center" wrapText="1"/>
    </xf>
    <xf numFmtId="0" fontId="5" fillId="0" borderId="33" xfId="0" applyFont="1" applyBorder="1" applyAlignment="1">
      <alignment horizontal="center" vertical="center" wrapText="1"/>
    </xf>
    <xf numFmtId="0" fontId="6" fillId="0" borderId="18" xfId="0" applyFont="1" applyBorder="1" applyAlignment="1">
      <alignment vertical="center"/>
    </xf>
    <xf numFmtId="0" fontId="6" fillId="0" borderId="0" xfId="0" applyFont="1" applyAlignment="1">
      <alignment vertical="center"/>
    </xf>
    <xf numFmtId="0" fontId="27" fillId="0" borderId="35" xfId="0" applyFont="1" applyBorder="1" applyAlignment="1">
      <alignment vertical="center"/>
    </xf>
    <xf numFmtId="0" fontId="0" fillId="0" borderId="57" xfId="0" applyBorder="1"/>
    <xf numFmtId="9" fontId="5" fillId="0" borderId="67" xfId="1" applyFont="1" applyBorder="1" applyAlignment="1">
      <alignment horizontal="center" vertical="center"/>
    </xf>
    <xf numFmtId="9" fontId="5" fillId="0" borderId="67" xfId="0" applyNumberFormat="1" applyFont="1" applyBorder="1" applyAlignment="1">
      <alignment horizontal="center" vertical="center"/>
    </xf>
    <xf numFmtId="9" fontId="5" fillId="5" borderId="67" xfId="1" applyFont="1" applyFill="1" applyBorder="1" applyAlignment="1">
      <alignment horizontal="center" vertical="center"/>
    </xf>
    <xf numFmtId="9" fontId="5" fillId="0" borderId="68" xfId="1" applyFont="1" applyBorder="1" applyAlignment="1">
      <alignment horizontal="center" vertical="center"/>
    </xf>
    <xf numFmtId="0" fontId="4" fillId="14" borderId="69" xfId="0" applyFont="1" applyFill="1" applyBorder="1" applyAlignment="1">
      <alignment horizontal="center" vertical="center"/>
    </xf>
    <xf numFmtId="0" fontId="21" fillId="14" borderId="70" xfId="0" applyFont="1" applyFill="1" applyBorder="1" applyAlignment="1">
      <alignment horizontal="center" vertical="center"/>
    </xf>
    <xf numFmtId="9" fontId="5" fillId="0" borderId="70" xfId="1" applyFont="1" applyBorder="1" applyAlignment="1">
      <alignment horizontal="center" vertical="center"/>
    </xf>
    <xf numFmtId="0" fontId="4" fillId="14" borderId="50" xfId="0" applyFont="1" applyFill="1" applyBorder="1" applyAlignment="1">
      <alignment horizontal="center" vertical="center"/>
    </xf>
    <xf numFmtId="0" fontId="24" fillId="14" borderId="51" xfId="0" applyFont="1" applyFill="1" applyBorder="1" applyAlignment="1">
      <alignment horizontal="center" vertical="center"/>
    </xf>
    <xf numFmtId="0" fontId="29" fillId="0" borderId="0" xfId="0" applyFont="1"/>
    <xf numFmtId="0" fontId="27" fillId="0" borderId="0" xfId="0" applyFont="1"/>
    <xf numFmtId="0" fontId="5" fillId="0" borderId="16" xfId="0" applyFont="1" applyBorder="1" applyAlignment="1">
      <alignment vertical="center"/>
    </xf>
    <xf numFmtId="14" fontId="12" fillId="3" borderId="1" xfId="0" applyNumberFormat="1" applyFont="1" applyFill="1" applyBorder="1" applyAlignment="1" applyProtection="1">
      <alignment horizontal="center"/>
      <protection locked="0"/>
    </xf>
    <xf numFmtId="0" fontId="27" fillId="0" borderId="74" xfId="0" applyFont="1" applyBorder="1"/>
    <xf numFmtId="0" fontId="29" fillId="0" borderId="75" xfId="0" applyFont="1" applyBorder="1"/>
    <xf numFmtId="10" fontId="29" fillId="0" borderId="75" xfId="1" applyNumberFormat="1" applyFont="1" applyBorder="1"/>
    <xf numFmtId="10" fontId="29" fillId="16" borderId="75" xfId="1" applyNumberFormat="1" applyFont="1" applyFill="1" applyBorder="1"/>
    <xf numFmtId="0" fontId="29" fillId="0" borderId="67" xfId="0" applyFont="1" applyBorder="1"/>
    <xf numFmtId="10" fontId="29" fillId="0" borderId="67" xfId="1" applyNumberFormat="1" applyFont="1" applyBorder="1"/>
    <xf numFmtId="10" fontId="29" fillId="16" borderId="67" xfId="1" applyNumberFormat="1" applyFont="1" applyFill="1" applyBorder="1"/>
    <xf numFmtId="0" fontId="31" fillId="0" borderId="0" xfId="0" applyFont="1"/>
    <xf numFmtId="0" fontId="32" fillId="15" borderId="0" xfId="13" applyFont="1"/>
    <xf numFmtId="0" fontId="33" fillId="4" borderId="1" xfId="0" applyFont="1" applyFill="1" applyBorder="1"/>
    <xf numFmtId="0" fontId="4" fillId="3" borderId="1" xfId="0" applyFont="1" applyFill="1" applyBorder="1" applyAlignment="1" applyProtection="1">
      <alignment horizontal="left"/>
      <protection locked="0"/>
    </xf>
    <xf numFmtId="168" fontId="6" fillId="2" borderId="0" xfId="0" applyNumberFormat="1" applyFont="1" applyFill="1" applyAlignment="1">
      <alignment horizontal="right"/>
    </xf>
    <xf numFmtId="49" fontId="5" fillId="0" borderId="1" xfId="1" applyNumberFormat="1" applyFont="1" applyBorder="1" applyAlignment="1">
      <alignment horizontal="right"/>
    </xf>
    <xf numFmtId="0" fontId="34" fillId="0" borderId="0" xfId="0" applyFont="1" applyAlignment="1">
      <alignment vertical="center"/>
    </xf>
    <xf numFmtId="0" fontId="34" fillId="0" borderId="0" xfId="0" applyFont="1" applyAlignment="1">
      <alignment horizontal="center" vertical="center"/>
    </xf>
    <xf numFmtId="0" fontId="34" fillId="0" borderId="77" xfId="0" applyFont="1" applyBorder="1" applyAlignment="1">
      <alignment horizontal="center" vertical="center"/>
    </xf>
    <xf numFmtId="0" fontId="34" fillId="0" borderId="76" xfId="0" applyFont="1" applyBorder="1" applyAlignment="1">
      <alignment horizontal="center" vertical="center"/>
    </xf>
    <xf numFmtId="0" fontId="34" fillId="0" borderId="79" xfId="0" applyFont="1" applyBorder="1" applyAlignment="1">
      <alignment horizontal="center" vertical="center"/>
    </xf>
    <xf numFmtId="0" fontId="35" fillId="0" borderId="24" xfId="0" applyFont="1" applyBorder="1" applyAlignment="1">
      <alignment vertical="center"/>
    </xf>
    <xf numFmtId="0" fontId="34" fillId="0" borderId="24" xfId="0" applyFont="1" applyBorder="1" applyAlignment="1">
      <alignment vertical="center"/>
    </xf>
    <xf numFmtId="0" fontId="36" fillId="2" borderId="0" xfId="0" applyFont="1" applyFill="1" applyAlignment="1">
      <alignment vertical="center"/>
    </xf>
    <xf numFmtId="0" fontId="38" fillId="2" borderId="0" xfId="0" applyFont="1" applyFill="1" applyAlignment="1">
      <alignment vertical="center"/>
    </xf>
    <xf numFmtId="0" fontId="34" fillId="0" borderId="0" xfId="0" applyFont="1" applyAlignment="1">
      <alignment horizontal="left" vertical="center"/>
    </xf>
    <xf numFmtId="0" fontId="34" fillId="0" borderId="87" xfId="0" applyFont="1" applyBorder="1" applyAlignment="1">
      <alignment horizontal="center" vertical="center"/>
    </xf>
    <xf numFmtId="0" fontId="34" fillId="0" borderId="88" xfId="0" applyFont="1" applyBorder="1" applyAlignment="1">
      <alignment horizontal="center" vertical="center"/>
    </xf>
    <xf numFmtId="0" fontId="35" fillId="16" borderId="81" xfId="0" applyFont="1" applyFill="1" applyBorder="1" applyAlignment="1">
      <alignment horizontal="center" vertical="center" wrapText="1"/>
    </xf>
    <xf numFmtId="0" fontId="35" fillId="16" borderId="80" xfId="0" applyFont="1" applyFill="1" applyBorder="1" applyAlignment="1">
      <alignment horizontal="center" vertical="center" wrapText="1"/>
    </xf>
    <xf numFmtId="0" fontId="35" fillId="0" borderId="84" xfId="0" applyFont="1" applyBorder="1" applyAlignment="1">
      <alignment horizontal="center" vertical="center" wrapText="1"/>
    </xf>
    <xf numFmtId="0" fontId="35" fillId="0" borderId="89" xfId="0" applyFont="1" applyBorder="1" applyAlignment="1">
      <alignment horizontal="center" vertical="center" wrapText="1"/>
    </xf>
    <xf numFmtId="0" fontId="36" fillId="2" borderId="84" xfId="0" applyFont="1" applyFill="1" applyBorder="1" applyAlignment="1">
      <alignment horizontal="center" vertical="center" wrapText="1"/>
    </xf>
    <xf numFmtId="0" fontId="36" fillId="2" borderId="89" xfId="0" applyFont="1" applyFill="1" applyBorder="1" applyAlignment="1">
      <alignment horizontal="center" vertical="center" wrapText="1"/>
    </xf>
    <xf numFmtId="0" fontId="34" fillId="0" borderId="0" xfId="0" applyFont="1" applyAlignment="1">
      <alignment horizontal="left" vertical="center" wrapText="1"/>
    </xf>
    <xf numFmtId="0" fontId="34" fillId="18" borderId="78" xfId="0" applyFont="1" applyFill="1" applyBorder="1" applyAlignment="1">
      <alignment horizontal="center" vertical="center"/>
    </xf>
    <xf numFmtId="0" fontId="41" fillId="0" borderId="0" xfId="0" applyFont="1" applyAlignment="1">
      <alignment vertical="center"/>
    </xf>
    <xf numFmtId="0" fontId="39" fillId="0" borderId="0" xfId="0" applyFont="1" applyAlignment="1">
      <alignment vertical="center"/>
    </xf>
    <xf numFmtId="0" fontId="34" fillId="0" borderId="90" xfId="0" applyFont="1" applyBorder="1" applyAlignment="1">
      <alignment vertical="center"/>
    </xf>
    <xf numFmtId="14" fontId="34" fillId="0" borderId="90" xfId="0" applyNumberFormat="1" applyFont="1" applyBorder="1" applyAlignment="1">
      <alignment vertical="center"/>
    </xf>
    <xf numFmtId="0" fontId="5" fillId="0" borderId="1" xfId="0" applyFont="1" applyBorder="1" applyAlignment="1">
      <alignment wrapText="1"/>
    </xf>
    <xf numFmtId="14" fontId="5" fillId="0" borderId="1" xfId="0" applyNumberFormat="1" applyFont="1" applyBorder="1" applyAlignment="1">
      <alignment vertical="center"/>
    </xf>
    <xf numFmtId="0" fontId="5" fillId="0" borderId="0" xfId="0" applyFont="1" applyAlignment="1">
      <alignment horizontal="left" vertical="center"/>
    </xf>
    <xf numFmtId="9" fontId="5" fillId="0" borderId="0" xfId="1" applyFont="1" applyBorder="1" applyAlignment="1">
      <alignment horizontal="center" vertical="center"/>
    </xf>
    <xf numFmtId="9" fontId="5" fillId="0" borderId="0" xfId="1" applyFont="1" applyBorder="1" applyAlignment="1">
      <alignment horizontal="center" vertical="center" wrapText="1"/>
    </xf>
    <xf numFmtId="0" fontId="42" fillId="0" borderId="0" xfId="0" applyFont="1"/>
    <xf numFmtId="0" fontId="43" fillId="19" borderId="92" xfId="0" applyFont="1" applyFill="1" applyBorder="1" applyAlignment="1">
      <alignment horizontal="left" vertical="center"/>
    </xf>
    <xf numFmtId="0" fontId="43" fillId="19" borderId="93" xfId="0" applyFont="1" applyFill="1" applyBorder="1" applyAlignment="1">
      <alignment horizontal="center" vertical="center"/>
    </xf>
    <xf numFmtId="0" fontId="44" fillId="22" borderId="96" xfId="0" applyFont="1" applyFill="1" applyBorder="1" applyAlignment="1">
      <alignment vertical="center" wrapText="1"/>
    </xf>
    <xf numFmtId="0" fontId="44" fillId="22" borderId="97" xfId="0" applyFont="1" applyFill="1" applyBorder="1" applyAlignment="1">
      <alignment horizontal="center" vertical="center" wrapText="1"/>
    </xf>
    <xf numFmtId="0" fontId="44" fillId="22" borderId="99" xfId="0" applyFont="1" applyFill="1" applyBorder="1" applyAlignment="1">
      <alignment horizontal="center" vertical="center" wrapText="1"/>
    </xf>
    <xf numFmtId="0" fontId="44" fillId="22" borderId="100" xfId="0" applyFont="1" applyFill="1" applyBorder="1" applyAlignment="1">
      <alignment horizontal="center" vertical="center" wrapText="1"/>
    </xf>
    <xf numFmtId="0" fontId="44" fillId="21" borderId="96" xfId="0" applyFont="1" applyFill="1" applyBorder="1" applyAlignment="1">
      <alignment vertical="center"/>
    </xf>
    <xf numFmtId="0" fontId="44" fillId="21" borderId="102" xfId="0" applyFont="1" applyFill="1" applyBorder="1" applyAlignment="1">
      <alignment horizontal="center" vertical="center" wrapText="1"/>
    </xf>
    <xf numFmtId="0" fontId="44" fillId="21" borderId="97" xfId="0" applyFont="1" applyFill="1" applyBorder="1" applyAlignment="1">
      <alignment horizontal="center" vertical="center"/>
    </xf>
    <xf numFmtId="0" fontId="44" fillId="21" borderId="103" xfId="0" applyFont="1" applyFill="1" applyBorder="1" applyAlignment="1">
      <alignment horizontal="center" vertical="center"/>
    </xf>
    <xf numFmtId="0" fontId="44" fillId="21" borderId="99" xfId="0" applyFont="1" applyFill="1" applyBorder="1" applyAlignment="1">
      <alignment horizontal="center" vertical="center"/>
    </xf>
    <xf numFmtId="0" fontId="44" fillId="21" borderId="100" xfId="0" applyFont="1" applyFill="1" applyBorder="1" applyAlignment="1">
      <alignment horizontal="center" vertical="center"/>
    </xf>
    <xf numFmtId="0" fontId="46" fillId="0" borderId="104" xfId="0" applyFont="1" applyBorder="1" applyAlignment="1">
      <alignment vertical="center" wrapText="1"/>
    </xf>
    <xf numFmtId="0" fontId="46" fillId="0" borderId="107" xfId="0" applyFont="1" applyBorder="1" applyAlignment="1">
      <alignment horizontal="center" vertical="center" wrapText="1"/>
    </xf>
    <xf numFmtId="0" fontId="46" fillId="0" borderId="108" xfId="0" applyFont="1" applyBorder="1" applyAlignment="1">
      <alignment horizontal="center" vertical="center" wrapText="1"/>
    </xf>
    <xf numFmtId="0" fontId="46" fillId="0" borderId="109" xfId="0" applyFont="1" applyBorder="1" applyAlignment="1">
      <alignment horizontal="center" vertical="center" wrapText="1"/>
    </xf>
    <xf numFmtId="0" fontId="46" fillId="0" borderId="110" xfId="0" applyFont="1" applyBorder="1" applyAlignment="1">
      <alignment horizontal="center" vertical="center" wrapText="1"/>
    </xf>
    <xf numFmtId="0" fontId="46" fillId="0" borderId="111" xfId="0" applyFont="1" applyBorder="1" applyAlignment="1">
      <alignment vertical="center" wrapText="1"/>
    </xf>
    <xf numFmtId="0" fontId="46" fillId="0" borderId="112" xfId="0" applyFont="1" applyBorder="1" applyAlignment="1">
      <alignment horizontal="center" vertical="center" wrapText="1"/>
    </xf>
    <xf numFmtId="0" fontId="46" fillId="0" borderId="115" xfId="0" applyFont="1" applyBorder="1" applyAlignment="1">
      <alignment horizontal="center" vertical="center" wrapText="1"/>
    </xf>
    <xf numFmtId="0" fontId="46" fillId="0" borderId="116" xfId="0" applyFont="1" applyBorder="1" applyAlignment="1">
      <alignment horizontal="center" vertical="center" wrapText="1"/>
    </xf>
    <xf numFmtId="0" fontId="46" fillId="0" borderId="129" xfId="0" applyFont="1" applyBorder="1" applyAlignment="1">
      <alignment vertical="center" wrapText="1"/>
    </xf>
    <xf numFmtId="0" fontId="46" fillId="0" borderId="132" xfId="0" applyFont="1" applyBorder="1" applyAlignment="1">
      <alignment horizontal="center" vertical="center" wrapText="1"/>
    </xf>
    <xf numFmtId="0" fontId="46" fillId="0" borderId="133" xfId="0" applyFont="1" applyBorder="1" applyAlignment="1">
      <alignment horizontal="center" vertical="center" wrapText="1"/>
    </xf>
    <xf numFmtId="0" fontId="46" fillId="0" borderId="105" xfId="0" applyFont="1" applyBorder="1" applyAlignment="1">
      <alignment horizontal="center" vertical="center" wrapText="1"/>
    </xf>
    <xf numFmtId="0" fontId="46" fillId="0" borderId="130" xfId="0" applyFont="1" applyBorder="1" applyAlignment="1">
      <alignment horizontal="center" vertical="center" wrapText="1"/>
    </xf>
    <xf numFmtId="0" fontId="46" fillId="0" borderId="0" xfId="0" applyFont="1" applyAlignment="1">
      <alignment horizontal="center" vertical="center" wrapText="1"/>
    </xf>
    <xf numFmtId="0" fontId="36" fillId="2" borderId="20" xfId="0" applyFont="1" applyFill="1" applyBorder="1" applyAlignment="1">
      <alignment horizontal="left" vertical="center" wrapText="1"/>
    </xf>
    <xf numFmtId="0" fontId="37" fillId="17" borderId="20" xfId="0" applyFont="1" applyFill="1" applyBorder="1" applyAlignment="1">
      <alignment horizontal="left" vertical="center" wrapText="1"/>
    </xf>
    <xf numFmtId="0" fontId="35" fillId="16" borderId="24" xfId="0" applyFont="1" applyFill="1" applyBorder="1" applyAlignment="1">
      <alignment horizontal="left" vertical="center" wrapText="1"/>
    </xf>
    <xf numFmtId="0" fontId="34" fillId="0" borderId="137" xfId="0" applyFont="1" applyBorder="1" applyAlignment="1">
      <alignment horizontal="left" vertical="center" wrapText="1"/>
    </xf>
    <xf numFmtId="0" fontId="34" fillId="0" borderId="138" xfId="0" applyFont="1" applyBorder="1" applyAlignment="1">
      <alignment horizontal="left" vertical="center" wrapText="1"/>
    </xf>
    <xf numFmtId="0" fontId="34" fillId="0" borderId="139" xfId="0" applyFont="1" applyBorder="1" applyAlignment="1">
      <alignment horizontal="left" vertical="center" wrapText="1"/>
    </xf>
    <xf numFmtId="0" fontId="46" fillId="0" borderId="127" xfId="0" applyFont="1" applyBorder="1" applyAlignment="1">
      <alignment horizontal="center" vertical="center" wrapText="1"/>
    </xf>
    <xf numFmtId="0" fontId="46" fillId="0" borderId="0" xfId="0" applyFont="1" applyAlignment="1">
      <alignment horizontal="left" vertical="center" wrapText="1"/>
    </xf>
    <xf numFmtId="0" fontId="46" fillId="0" borderId="0" xfId="0" applyFont="1" applyAlignment="1">
      <alignment vertical="center"/>
    </xf>
    <xf numFmtId="14" fontId="5" fillId="0" borderId="1" xfId="0" applyNumberFormat="1" applyFont="1" applyBorder="1" applyAlignment="1">
      <alignment horizontal="right" vertical="center"/>
    </xf>
    <xf numFmtId="0" fontId="2" fillId="0" borderId="0" xfId="14"/>
    <xf numFmtId="0" fontId="2" fillId="0" borderId="143" xfId="14" applyBorder="1" applyAlignment="1">
      <alignment horizontal="center" vertical="center"/>
    </xf>
    <xf numFmtId="0" fontId="2" fillId="0" borderId="143" xfId="14" applyBorder="1" applyAlignment="1">
      <alignment horizontal="center"/>
    </xf>
    <xf numFmtId="0" fontId="2" fillId="0" borderId="143" xfId="14" applyBorder="1"/>
    <xf numFmtId="0" fontId="2" fillId="23" borderId="143" xfId="14" applyFill="1" applyBorder="1" applyAlignment="1">
      <alignment horizontal="center"/>
    </xf>
    <xf numFmtId="0" fontId="1" fillId="0" borderId="143" xfId="14" applyFont="1" applyBorder="1" applyAlignment="1">
      <alignment horizontal="right"/>
    </xf>
    <xf numFmtId="0" fontId="2" fillId="23" borderId="143" xfId="14" applyFill="1" applyBorder="1" applyAlignment="1">
      <alignment horizontal="center"/>
    </xf>
    <xf numFmtId="0" fontId="2" fillId="0" borderId="143" xfId="14" applyBorder="1" applyAlignment="1">
      <alignment horizontal="center" vertical="center"/>
    </xf>
    <xf numFmtId="0" fontId="4" fillId="0" borderId="4" xfId="0" applyFont="1" applyBorder="1" applyAlignment="1">
      <alignment horizontal="left" vertical="center" wrapText="1"/>
    </xf>
    <xf numFmtId="0" fontId="4" fillId="0" borderId="6" xfId="0" applyFont="1" applyBorder="1" applyAlignment="1">
      <alignment horizontal="left" vertical="center" wrapText="1"/>
    </xf>
    <xf numFmtId="0" fontId="4" fillId="0" borderId="7" xfId="0" applyFont="1" applyBorder="1" applyAlignment="1">
      <alignment horizontal="left" vertical="center" wrapText="1"/>
    </xf>
    <xf numFmtId="0" fontId="4" fillId="0" borderId="22" xfId="0" applyFont="1" applyBorder="1" applyAlignment="1">
      <alignment horizontal="left" vertical="center" wrapText="1"/>
    </xf>
    <xf numFmtId="0" fontId="16" fillId="4" borderId="30" xfId="0" applyFont="1" applyFill="1" applyBorder="1" applyAlignment="1" applyProtection="1">
      <alignment horizontal="left" vertical="center" wrapText="1"/>
      <protection locked="0"/>
    </xf>
    <xf numFmtId="0" fontId="16" fillId="4" borderId="29" xfId="0" applyFont="1" applyFill="1" applyBorder="1" applyAlignment="1" applyProtection="1">
      <alignment horizontal="left" vertical="center" wrapText="1"/>
      <protection locked="0"/>
    </xf>
    <xf numFmtId="0" fontId="16" fillId="4" borderId="31" xfId="0" applyFont="1" applyFill="1" applyBorder="1" applyAlignment="1" applyProtection="1">
      <alignment horizontal="left" vertical="center" wrapText="1"/>
      <protection locked="0"/>
    </xf>
    <xf numFmtId="0" fontId="19" fillId="7" borderId="9" xfId="8" applyFont="1" applyBorder="1" applyAlignment="1" applyProtection="1">
      <alignment horizontal="center" vertical="center"/>
    </xf>
    <xf numFmtId="0" fontId="19" fillId="7" borderId="10" xfId="8" applyFont="1" applyBorder="1" applyAlignment="1" applyProtection="1">
      <alignment horizontal="center" vertical="center"/>
    </xf>
    <xf numFmtId="0" fontId="4" fillId="4" borderId="7" xfId="0" applyFont="1" applyFill="1" applyBorder="1" applyAlignment="1" applyProtection="1">
      <alignment horizontal="left" vertical="center" wrapText="1"/>
      <protection locked="0"/>
    </xf>
    <xf numFmtId="0" fontId="4" fillId="4" borderId="22" xfId="0" applyFont="1" applyFill="1" applyBorder="1" applyAlignment="1" applyProtection="1">
      <alignment horizontal="left" vertical="center" wrapText="1"/>
      <protection locked="0"/>
    </xf>
    <xf numFmtId="0" fontId="5" fillId="3" borderId="1" xfId="1" applyNumberFormat="1" applyFont="1" applyFill="1" applyBorder="1" applyAlignment="1" applyProtection="1">
      <alignment horizontal="left"/>
    </xf>
    <xf numFmtId="164" fontId="4" fillId="3" borderId="1" xfId="0" applyNumberFormat="1" applyFont="1" applyFill="1" applyBorder="1" applyAlignment="1">
      <alignment horizontal="left"/>
    </xf>
    <xf numFmtId="0" fontId="5" fillId="3" borderId="4" xfId="1" applyNumberFormat="1" applyFont="1" applyFill="1" applyBorder="1" applyAlignment="1" applyProtection="1">
      <alignment horizontal="left" vertical="center" wrapText="1"/>
    </xf>
    <xf numFmtId="0" fontId="5" fillId="3" borderId="6" xfId="1" applyNumberFormat="1" applyFont="1" applyFill="1" applyBorder="1" applyAlignment="1" applyProtection="1">
      <alignment horizontal="left" vertical="center" wrapText="1"/>
    </xf>
    <xf numFmtId="0" fontId="5" fillId="3" borderId="18" xfId="1" applyNumberFormat="1" applyFont="1" applyFill="1" applyBorder="1" applyAlignment="1" applyProtection="1">
      <alignment horizontal="left" vertical="center" wrapText="1"/>
    </xf>
    <xf numFmtId="0" fontId="5" fillId="3" borderId="26" xfId="1" applyNumberFormat="1" applyFont="1" applyFill="1" applyBorder="1" applyAlignment="1" applyProtection="1">
      <alignment horizontal="left" vertical="center" wrapText="1"/>
    </xf>
    <xf numFmtId="0" fontId="5" fillId="3" borderId="1" xfId="0" applyFont="1" applyFill="1" applyBorder="1" applyAlignment="1">
      <alignment horizontal="left"/>
    </xf>
    <xf numFmtId="0" fontId="6" fillId="2" borderId="0" xfId="0" applyFont="1" applyFill="1" applyAlignment="1">
      <alignment horizontal="left"/>
    </xf>
    <xf numFmtId="0" fontId="6" fillId="2" borderId="26" xfId="0" applyFont="1" applyFill="1" applyBorder="1" applyAlignment="1">
      <alignment horizontal="left"/>
    </xf>
    <xf numFmtId="0" fontId="4" fillId="4" borderId="1" xfId="0" applyFont="1" applyFill="1" applyBorder="1" applyAlignment="1">
      <alignment horizontal="left"/>
    </xf>
    <xf numFmtId="164" fontId="4" fillId="3" borderId="2" xfId="0" applyNumberFormat="1" applyFont="1" applyFill="1" applyBorder="1" applyAlignment="1">
      <alignment horizontal="left"/>
    </xf>
    <xf numFmtId="164" fontId="4" fillId="3" borderId="3" xfId="0" applyNumberFormat="1" applyFont="1" applyFill="1" applyBorder="1" applyAlignment="1">
      <alignment horizontal="left"/>
    </xf>
    <xf numFmtId="0" fontId="5" fillId="0" borderId="9" xfId="0" applyFont="1" applyBorder="1" applyAlignment="1" applyProtection="1">
      <alignment horizontal="left" vertical="center" wrapText="1"/>
      <protection locked="0"/>
    </xf>
    <xf numFmtId="0" fontId="5" fillId="0" borderId="10" xfId="0" applyFont="1" applyBorder="1" applyAlignment="1" applyProtection="1">
      <alignment horizontal="left" vertical="center"/>
      <protection locked="0"/>
    </xf>
    <xf numFmtId="0" fontId="5" fillId="0" borderId="2"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16" xfId="0" applyFont="1" applyBorder="1" applyAlignment="1" applyProtection="1">
      <alignment horizontal="left" vertical="top"/>
      <protection locked="0"/>
    </xf>
    <xf numFmtId="0" fontId="4" fillId="4" borderId="2" xfId="0" applyFont="1" applyFill="1" applyBorder="1" applyAlignment="1">
      <alignment horizontal="left"/>
    </xf>
    <xf numFmtId="0" fontId="4" fillId="4" borderId="16" xfId="0" applyFont="1" applyFill="1" applyBorder="1" applyAlignment="1">
      <alignment horizontal="left"/>
    </xf>
    <xf numFmtId="2" fontId="5" fillId="3" borderId="19" xfId="0" applyNumberFormat="1" applyFont="1" applyFill="1" applyBorder="1" applyAlignment="1" applyProtection="1">
      <alignment horizontal="left" vertical="center"/>
      <protection locked="0"/>
    </xf>
    <xf numFmtId="2" fontId="5" fillId="3" borderId="20" xfId="0" applyNumberFormat="1" applyFont="1" applyFill="1" applyBorder="1" applyAlignment="1" applyProtection="1">
      <alignment horizontal="left" vertical="center"/>
      <protection locked="0"/>
    </xf>
    <xf numFmtId="2" fontId="5" fillId="3" borderId="21" xfId="0" applyNumberFormat="1" applyFont="1" applyFill="1" applyBorder="1" applyAlignment="1" applyProtection="1">
      <alignment horizontal="left" vertical="center"/>
      <protection locked="0"/>
    </xf>
    <xf numFmtId="0" fontId="5" fillId="0" borderId="7" xfId="0" applyFont="1" applyBorder="1" applyAlignment="1" applyProtection="1">
      <alignment horizontal="left" vertical="top"/>
      <protection locked="0"/>
    </xf>
    <xf numFmtId="0" fontId="5" fillId="0" borderId="8" xfId="0" applyFont="1" applyBorder="1" applyAlignment="1" applyProtection="1">
      <alignment horizontal="left" vertical="top"/>
      <protection locked="0"/>
    </xf>
    <xf numFmtId="0" fontId="5" fillId="0" borderId="17" xfId="0" applyFont="1" applyBorder="1" applyAlignment="1" applyProtection="1">
      <alignment horizontal="left" vertical="top"/>
      <protection locked="0"/>
    </xf>
    <xf numFmtId="0" fontId="5" fillId="0" borderId="1" xfId="0" applyFont="1" applyBorder="1" applyAlignment="1" applyProtection="1">
      <alignment horizontal="left"/>
      <protection locked="0"/>
    </xf>
    <xf numFmtId="0" fontId="5" fillId="0" borderId="2" xfId="0" applyFont="1" applyBorder="1" applyAlignment="1" applyProtection="1">
      <alignment horizontal="left"/>
      <protection locked="0"/>
    </xf>
    <xf numFmtId="0" fontId="5" fillId="0" borderId="16" xfId="0" applyFont="1" applyBorder="1" applyAlignment="1" applyProtection="1">
      <alignment horizontal="left"/>
      <protection locked="0"/>
    </xf>
    <xf numFmtId="0" fontId="5" fillId="3" borderId="4" xfId="0" applyFont="1" applyFill="1" applyBorder="1" applyAlignment="1" applyProtection="1">
      <alignment horizontal="left" vertical="center" wrapText="1"/>
      <protection locked="0"/>
    </xf>
    <xf numFmtId="0" fontId="5" fillId="3" borderId="5" xfId="0" applyFont="1" applyFill="1" applyBorder="1" applyAlignment="1" applyProtection="1">
      <alignment horizontal="left" vertical="center" wrapText="1"/>
      <protection locked="0"/>
    </xf>
    <xf numFmtId="0" fontId="5" fillId="3" borderId="6" xfId="0" applyFont="1" applyFill="1" applyBorder="1" applyAlignment="1" applyProtection="1">
      <alignment horizontal="left" vertical="center" wrapText="1"/>
      <protection locked="0"/>
    </xf>
    <xf numFmtId="0" fontId="5" fillId="3" borderId="23" xfId="0" applyFont="1" applyFill="1" applyBorder="1" applyAlignment="1" applyProtection="1">
      <alignment horizontal="left" vertical="center" wrapText="1"/>
      <protection locked="0"/>
    </xf>
    <xf numFmtId="0" fontId="5" fillId="3" borderId="24" xfId="0" applyFont="1" applyFill="1" applyBorder="1" applyAlignment="1" applyProtection="1">
      <alignment horizontal="left" vertical="center" wrapText="1"/>
      <protection locked="0"/>
    </xf>
    <xf numFmtId="0" fontId="5" fillId="3" borderId="25" xfId="0" applyFont="1" applyFill="1" applyBorder="1" applyAlignment="1" applyProtection="1">
      <alignment horizontal="left" vertical="center" wrapText="1"/>
      <protection locked="0"/>
    </xf>
    <xf numFmtId="0" fontId="5" fillId="0" borderId="4" xfId="0" applyFont="1" applyBorder="1" applyAlignment="1" applyProtection="1">
      <alignment horizontal="left" vertical="top" wrapText="1"/>
      <protection locked="0"/>
    </xf>
    <xf numFmtId="0" fontId="5" fillId="0" borderId="5" xfId="0" applyFont="1" applyBorder="1" applyAlignment="1" applyProtection="1">
      <alignment horizontal="left" vertical="top" wrapText="1"/>
      <protection locked="0"/>
    </xf>
    <xf numFmtId="0" fontId="5" fillId="0" borderId="6" xfId="0" applyFont="1" applyBorder="1" applyAlignment="1" applyProtection="1">
      <alignment horizontal="left" vertical="top" wrapText="1"/>
      <protection locked="0"/>
    </xf>
    <xf numFmtId="0" fontId="5" fillId="0" borderId="18" xfId="0" applyFont="1" applyBorder="1" applyAlignment="1" applyProtection="1">
      <alignment horizontal="left" vertical="top" wrapText="1"/>
      <protection locked="0"/>
    </xf>
    <xf numFmtId="0" fontId="5" fillId="0" borderId="0" xfId="0" applyFont="1" applyAlignment="1" applyProtection="1">
      <alignment horizontal="left" vertical="top" wrapText="1"/>
      <protection locked="0"/>
    </xf>
    <xf numFmtId="0" fontId="5" fillId="0" borderId="26" xfId="0" applyFont="1" applyBorder="1" applyAlignment="1" applyProtection="1">
      <alignment horizontal="left" vertical="top" wrapText="1"/>
      <protection locked="0"/>
    </xf>
    <xf numFmtId="0" fontId="5" fillId="0" borderId="7" xfId="0" applyFont="1" applyBorder="1" applyAlignment="1" applyProtection="1">
      <alignment horizontal="left" vertical="top" wrapText="1"/>
      <protection locked="0"/>
    </xf>
    <xf numFmtId="0" fontId="5" fillId="0" borderId="8" xfId="0" applyFont="1" applyBorder="1" applyAlignment="1" applyProtection="1">
      <alignment horizontal="left" vertical="top" wrapText="1"/>
      <protection locked="0"/>
    </xf>
    <xf numFmtId="0" fontId="5" fillId="0" borderId="22" xfId="0" applyFont="1" applyBorder="1" applyAlignment="1" applyProtection="1">
      <alignment horizontal="left" vertical="top" wrapText="1"/>
      <protection locked="0"/>
    </xf>
    <xf numFmtId="0" fontId="5" fillId="0" borderId="15" xfId="0" applyFont="1" applyBorder="1" applyAlignment="1" applyProtection="1">
      <alignment horizontal="left" vertical="center"/>
      <protection locked="0"/>
    </xf>
    <xf numFmtId="0" fontId="5" fillId="3" borderId="7" xfId="0" applyFont="1" applyFill="1" applyBorder="1" applyAlignment="1" applyProtection="1">
      <alignment horizontal="left" vertical="center" wrapText="1"/>
      <protection locked="0"/>
    </xf>
    <xf numFmtId="0" fontId="5" fillId="3" borderId="8" xfId="0" applyFont="1" applyFill="1" applyBorder="1" applyAlignment="1" applyProtection="1">
      <alignment horizontal="left" vertical="center" wrapText="1"/>
      <protection locked="0"/>
    </xf>
    <xf numFmtId="0" fontId="5" fillId="3" borderId="22" xfId="0" applyFont="1" applyFill="1" applyBorder="1" applyAlignment="1" applyProtection="1">
      <alignment horizontal="left" vertical="center" wrapText="1"/>
      <protection locked="0"/>
    </xf>
    <xf numFmtId="164" fontId="5" fillId="3" borderId="2" xfId="0" applyNumberFormat="1" applyFont="1" applyFill="1" applyBorder="1" applyAlignment="1">
      <alignment horizontal="left"/>
    </xf>
    <xf numFmtId="164" fontId="5" fillId="3" borderId="16" xfId="0" applyNumberFormat="1" applyFont="1" applyFill="1" applyBorder="1" applyAlignment="1">
      <alignment horizontal="left"/>
    </xf>
    <xf numFmtId="0" fontId="4" fillId="3" borderId="1" xfId="0" applyFont="1" applyFill="1" applyBorder="1" applyAlignment="1" applyProtection="1">
      <alignment horizontal="left" vertical="center" wrapText="1"/>
      <protection locked="0"/>
    </xf>
    <xf numFmtId="164" fontId="4" fillId="4" borderId="2" xfId="0" applyNumberFormat="1" applyFont="1" applyFill="1" applyBorder="1" applyAlignment="1">
      <alignment horizontal="left"/>
    </xf>
    <xf numFmtId="164" fontId="4" fillId="4" borderId="16" xfId="0" applyNumberFormat="1" applyFont="1" applyFill="1" applyBorder="1" applyAlignment="1">
      <alignment horizontal="left"/>
    </xf>
    <xf numFmtId="164" fontId="4" fillId="3" borderId="16" xfId="0" applyNumberFormat="1" applyFont="1" applyFill="1" applyBorder="1" applyAlignment="1">
      <alignment horizontal="left"/>
    </xf>
    <xf numFmtId="0" fontId="4" fillId="3" borderId="4" xfId="0" applyFont="1" applyFill="1" applyBorder="1" applyAlignment="1" applyProtection="1">
      <alignment horizontal="left" vertical="center"/>
      <protection locked="0"/>
    </xf>
    <xf numFmtId="0" fontId="4" fillId="3" borderId="6" xfId="0" applyFont="1" applyFill="1" applyBorder="1" applyAlignment="1" applyProtection="1">
      <alignment horizontal="left" vertical="center"/>
      <protection locked="0"/>
    </xf>
    <xf numFmtId="0" fontId="4" fillId="3" borderId="7" xfId="0" applyFont="1" applyFill="1" applyBorder="1" applyAlignment="1" applyProtection="1">
      <alignment horizontal="left" vertical="center"/>
      <protection locked="0"/>
    </xf>
    <xf numFmtId="0" fontId="4" fillId="3" borderId="22" xfId="0" applyFont="1" applyFill="1" applyBorder="1" applyAlignment="1" applyProtection="1">
      <alignment horizontal="left" vertical="center"/>
      <protection locked="0"/>
    </xf>
    <xf numFmtId="2" fontId="4" fillId="3" borderId="1" xfId="0" applyNumberFormat="1" applyFont="1" applyFill="1" applyBorder="1" applyAlignment="1" applyProtection="1">
      <alignment horizontal="left" vertical="center" wrapText="1"/>
      <protection locked="0"/>
    </xf>
    <xf numFmtId="2" fontId="5" fillId="0" borderId="11" xfId="0" applyNumberFormat="1" applyFont="1" applyBorder="1" applyAlignment="1" applyProtection="1">
      <alignment horizontal="left" vertical="center"/>
      <protection locked="0"/>
    </xf>
    <xf numFmtId="2" fontId="5" fillId="0" borderId="12" xfId="0" applyNumberFormat="1" applyFont="1" applyBorder="1" applyAlignment="1" applyProtection="1">
      <alignment horizontal="left" vertical="center"/>
      <protection locked="0"/>
    </xf>
    <xf numFmtId="2" fontId="5" fillId="0" borderId="13" xfId="0" applyNumberFormat="1" applyFont="1" applyBorder="1" applyAlignment="1" applyProtection="1">
      <alignment horizontal="left" vertical="center"/>
      <protection locked="0"/>
    </xf>
    <xf numFmtId="2" fontId="5" fillId="0" borderId="2" xfId="0" applyNumberFormat="1" applyFont="1" applyBorder="1" applyAlignment="1" applyProtection="1">
      <alignment horizontal="left" vertical="center"/>
      <protection locked="0"/>
    </xf>
    <xf numFmtId="2" fontId="5" fillId="0" borderId="3" xfId="0" applyNumberFormat="1" applyFont="1" applyBorder="1" applyAlignment="1" applyProtection="1">
      <alignment horizontal="left" vertical="center"/>
      <protection locked="0"/>
    </xf>
    <xf numFmtId="2" fontId="5" fillId="0" borderId="16" xfId="0" applyNumberFormat="1" applyFont="1" applyBorder="1" applyAlignment="1" applyProtection="1">
      <alignment horizontal="left" vertical="center"/>
      <protection locked="0"/>
    </xf>
    <xf numFmtId="164" fontId="4" fillId="3" borderId="2" xfId="0" applyNumberFormat="1" applyFont="1" applyFill="1" applyBorder="1" applyAlignment="1">
      <alignment horizontal="right"/>
    </xf>
    <xf numFmtId="164" fontId="4" fillId="3" borderId="16" xfId="0" applyNumberFormat="1" applyFont="1" applyFill="1" applyBorder="1" applyAlignment="1">
      <alignment horizontal="right"/>
    </xf>
    <xf numFmtId="0" fontId="5" fillId="0" borderId="3" xfId="0" applyFont="1" applyBorder="1" applyAlignment="1" applyProtection="1">
      <alignment horizontal="left"/>
      <protection locked="0"/>
    </xf>
    <xf numFmtId="0" fontId="4" fillId="4" borderId="7" xfId="0" applyFont="1" applyFill="1" applyBorder="1" applyAlignment="1">
      <alignment horizontal="left"/>
    </xf>
    <xf numFmtId="0" fontId="4" fillId="4" borderId="8" xfId="0" applyFont="1" applyFill="1" applyBorder="1" applyAlignment="1">
      <alignment horizontal="left"/>
    </xf>
    <xf numFmtId="0" fontId="4" fillId="4" borderId="17" xfId="0" applyFont="1" applyFill="1" applyBorder="1" applyAlignment="1">
      <alignment horizontal="left"/>
    </xf>
    <xf numFmtId="10" fontId="4" fillId="3" borderId="2" xfId="1" applyNumberFormat="1" applyFont="1" applyFill="1" applyBorder="1" applyAlignment="1" applyProtection="1">
      <alignment horizontal="right"/>
    </xf>
    <xf numFmtId="10" fontId="4" fillId="3" borderId="16" xfId="1" applyNumberFormat="1" applyFont="1" applyFill="1" applyBorder="1" applyAlignment="1" applyProtection="1">
      <alignment horizontal="right"/>
    </xf>
    <xf numFmtId="164" fontId="4" fillId="3" borderId="3" xfId="0" applyNumberFormat="1" applyFont="1" applyFill="1" applyBorder="1" applyAlignment="1">
      <alignment horizontal="right"/>
    </xf>
    <xf numFmtId="164" fontId="5" fillId="3" borderId="1" xfId="0" applyNumberFormat="1" applyFont="1" applyFill="1" applyBorder="1" applyAlignment="1">
      <alignment horizontal="right"/>
    </xf>
    <xf numFmtId="0" fontId="4" fillId="4" borderId="7" xfId="0" applyFont="1" applyFill="1" applyBorder="1" applyAlignment="1" applyProtection="1">
      <alignment horizontal="left"/>
      <protection locked="0"/>
    </xf>
    <xf numFmtId="0" fontId="4" fillId="4" borderId="22" xfId="0" applyFont="1" applyFill="1" applyBorder="1" applyAlignment="1" applyProtection="1">
      <alignment horizontal="left"/>
      <protection locked="0"/>
    </xf>
    <xf numFmtId="164" fontId="5" fillId="3" borderId="2" xfId="0" applyNumberFormat="1" applyFont="1" applyFill="1" applyBorder="1" applyAlignment="1">
      <alignment horizontal="right"/>
    </xf>
    <xf numFmtId="164" fontId="5" fillId="3" borderId="16" xfId="0" applyNumberFormat="1" applyFont="1" applyFill="1" applyBorder="1" applyAlignment="1">
      <alignment horizontal="right"/>
    </xf>
    <xf numFmtId="0" fontId="4" fillId="4" borderId="22" xfId="0" applyFont="1" applyFill="1" applyBorder="1" applyAlignment="1">
      <alignment horizontal="left"/>
    </xf>
    <xf numFmtId="0" fontId="46" fillId="0" borderId="130" xfId="0" applyFont="1" applyBorder="1" applyAlignment="1">
      <alignment horizontal="center" vertical="center" wrapText="1"/>
    </xf>
    <xf numFmtId="0" fontId="46" fillId="0" borderId="131" xfId="0" applyFont="1" applyBorder="1" applyAlignment="1">
      <alignment horizontal="center" vertical="center" wrapText="1"/>
    </xf>
    <xf numFmtId="0" fontId="34" fillId="0" borderId="0" xfId="0" applyFont="1" applyAlignment="1">
      <alignment horizontal="left" vertical="center" wrapText="1" indent="1"/>
    </xf>
    <xf numFmtId="0" fontId="37" fillId="17" borderId="84" xfId="0" applyFont="1" applyFill="1" applyBorder="1" applyAlignment="1">
      <alignment horizontal="left" vertical="center" wrapText="1"/>
    </xf>
    <xf numFmtId="0" fontId="37" fillId="17" borderId="21" xfId="0" applyFont="1" applyFill="1" applyBorder="1" applyAlignment="1">
      <alignment horizontal="left" vertical="center" wrapText="1"/>
    </xf>
    <xf numFmtId="0" fontId="34" fillId="0" borderId="76" xfId="0" applyFont="1" applyBorder="1" applyAlignment="1">
      <alignment horizontal="left" vertical="center" wrapText="1"/>
    </xf>
    <xf numFmtId="0" fontId="34" fillId="0" borderId="85" xfId="0" applyFont="1" applyBorder="1" applyAlignment="1">
      <alignment horizontal="left" vertical="center" wrapText="1"/>
    </xf>
    <xf numFmtId="0" fontId="34" fillId="0" borderId="77" xfId="0" applyFont="1" applyBorder="1" applyAlignment="1">
      <alignment horizontal="left" vertical="center" wrapText="1"/>
    </xf>
    <xf numFmtId="0" fontId="34" fillId="0" borderId="83" xfId="0" applyFont="1" applyBorder="1" applyAlignment="1">
      <alignment horizontal="left" vertical="center" wrapText="1"/>
    </xf>
    <xf numFmtId="0" fontId="35" fillId="16" borderId="81" xfId="0" applyFont="1" applyFill="1" applyBorder="1" applyAlignment="1">
      <alignment horizontal="left" vertical="center" wrapText="1"/>
    </xf>
    <xf numFmtId="0" fontId="35" fillId="16" borderId="86" xfId="0" applyFont="1" applyFill="1" applyBorder="1" applyAlignment="1">
      <alignment horizontal="left" vertical="center" wrapText="1"/>
    </xf>
    <xf numFmtId="0" fontId="34" fillId="0" borderId="79" xfId="0" applyFont="1" applyBorder="1" applyAlignment="1">
      <alignment horizontal="left" vertical="center" wrapText="1"/>
    </xf>
    <xf numFmtId="0" fontId="34" fillId="0" borderId="82" xfId="0" applyFont="1" applyBorder="1" applyAlignment="1">
      <alignment horizontal="left" vertical="center" wrapText="1"/>
    </xf>
    <xf numFmtId="0" fontId="34" fillId="0" borderId="0" xfId="0" applyFont="1" applyAlignment="1">
      <alignment horizontal="left" vertical="center" wrapText="1" indent="3"/>
    </xf>
    <xf numFmtId="0" fontId="44" fillId="21" borderId="95" xfId="0" applyFont="1" applyFill="1" applyBorder="1" applyAlignment="1">
      <alignment horizontal="center" vertical="center" wrapText="1"/>
    </xf>
    <xf numFmtId="0" fontId="44" fillId="21" borderId="0" xfId="0" applyFont="1" applyFill="1" applyAlignment="1">
      <alignment horizontal="center" vertical="center" wrapText="1"/>
    </xf>
    <xf numFmtId="0" fontId="44" fillId="21" borderId="34" xfId="0" applyFont="1" applyFill="1" applyBorder="1" applyAlignment="1">
      <alignment horizontal="center" vertical="center" wrapText="1"/>
    </xf>
    <xf numFmtId="0" fontId="44" fillId="21" borderId="94" xfId="0" applyFont="1" applyFill="1" applyBorder="1" applyAlignment="1">
      <alignment horizontal="center" vertical="center" wrapText="1"/>
    </xf>
    <xf numFmtId="0" fontId="44" fillId="21" borderId="101" xfId="0" applyFont="1" applyFill="1" applyBorder="1" applyAlignment="1">
      <alignment horizontal="center" vertical="center" wrapText="1"/>
    </xf>
    <xf numFmtId="0" fontId="44" fillId="21" borderId="32" xfId="0" applyFont="1" applyFill="1" applyBorder="1" applyAlignment="1">
      <alignment horizontal="center" vertical="center" wrapText="1"/>
    </xf>
    <xf numFmtId="0" fontId="46" fillId="0" borderId="113" xfId="0" applyFont="1" applyBorder="1" applyAlignment="1">
      <alignment horizontal="center" vertical="center" wrapText="1"/>
    </xf>
    <xf numFmtId="0" fontId="46" fillId="0" borderId="118" xfId="0" applyFont="1" applyBorder="1" applyAlignment="1">
      <alignment horizontal="center" vertical="center" wrapText="1"/>
    </xf>
    <xf numFmtId="0" fontId="46" fillId="0" borderId="120" xfId="0" applyFont="1" applyBorder="1" applyAlignment="1">
      <alignment horizontal="center" vertical="center" wrapText="1"/>
    </xf>
    <xf numFmtId="0" fontId="36" fillId="2" borderId="84" xfId="0" applyFont="1" applyFill="1" applyBorder="1" applyAlignment="1">
      <alignment horizontal="left" vertical="center" wrapText="1"/>
    </xf>
    <xf numFmtId="0" fontId="36" fillId="2" borderId="21" xfId="0" applyFont="1" applyFill="1" applyBorder="1" applyAlignment="1">
      <alignment horizontal="left" vertical="center" wrapText="1"/>
    </xf>
    <xf numFmtId="0" fontId="46" fillId="0" borderId="117" xfId="0" applyFont="1" applyBorder="1" applyAlignment="1">
      <alignment horizontal="center" vertical="center" wrapText="1"/>
    </xf>
    <xf numFmtId="0" fontId="46" fillId="0" borderId="119" xfId="0" applyFont="1" applyBorder="1" applyAlignment="1">
      <alignment horizontal="center" vertical="center" wrapText="1"/>
    </xf>
    <xf numFmtId="0" fontId="46" fillId="0" borderId="123" xfId="0" applyFont="1" applyBorder="1" applyAlignment="1">
      <alignment horizontal="center" vertical="center" wrapText="1"/>
    </xf>
    <xf numFmtId="0" fontId="46" fillId="0" borderId="124" xfId="0" applyFont="1" applyBorder="1" applyAlignment="1">
      <alignment horizontal="center" vertical="center" wrapText="1"/>
    </xf>
    <xf numFmtId="0" fontId="46" fillId="0" borderId="107" xfId="0" applyFont="1" applyBorder="1" applyAlignment="1">
      <alignment horizontal="center" vertical="center" wrapText="1"/>
    </xf>
    <xf numFmtId="0" fontId="46" fillId="0" borderId="128" xfId="0" applyFont="1" applyBorder="1" applyAlignment="1">
      <alignment horizontal="center" vertical="center" wrapText="1"/>
    </xf>
    <xf numFmtId="0" fontId="46" fillId="0" borderId="121" xfId="0" applyFont="1" applyBorder="1" applyAlignment="1">
      <alignment horizontal="center" vertical="center" wrapText="1"/>
    </xf>
    <xf numFmtId="0" fontId="46" fillId="0" borderId="125" xfId="0" applyFont="1" applyBorder="1" applyAlignment="1">
      <alignment horizontal="center" vertical="center" wrapText="1"/>
    </xf>
    <xf numFmtId="0" fontId="46" fillId="0" borderId="108" xfId="0" applyFont="1" applyBorder="1" applyAlignment="1">
      <alignment horizontal="center" vertical="center" wrapText="1"/>
    </xf>
    <xf numFmtId="0" fontId="46" fillId="0" borderId="134" xfId="0" applyFont="1" applyBorder="1" applyAlignment="1">
      <alignment horizontal="center" vertical="center" wrapText="1"/>
    </xf>
    <xf numFmtId="0" fontId="46" fillId="0" borderId="115" xfId="0" applyFont="1" applyBorder="1" applyAlignment="1">
      <alignment horizontal="center" vertical="center" wrapText="1"/>
    </xf>
    <xf numFmtId="0" fontId="46" fillId="0" borderId="135" xfId="0" applyFont="1" applyBorder="1" applyAlignment="1">
      <alignment horizontal="center" vertical="center" wrapText="1"/>
    </xf>
    <xf numFmtId="0" fontId="44" fillId="22" borderId="140" xfId="0" applyFont="1" applyFill="1" applyBorder="1" applyAlignment="1">
      <alignment horizontal="center" vertical="center" wrapText="1"/>
    </xf>
    <xf numFmtId="0" fontId="44" fillId="22" borderId="141" xfId="0" applyFont="1" applyFill="1" applyBorder="1" applyAlignment="1">
      <alignment horizontal="center" vertical="center" wrapText="1"/>
    </xf>
    <xf numFmtId="0" fontId="44" fillId="21" borderId="102" xfId="0" applyFont="1" applyFill="1" applyBorder="1" applyAlignment="1">
      <alignment horizontal="center" vertical="center" wrapText="1"/>
    </xf>
    <xf numFmtId="0" fontId="44" fillId="21" borderId="142" xfId="0" applyFont="1" applyFill="1" applyBorder="1" applyAlignment="1">
      <alignment horizontal="center" vertical="center" wrapText="1"/>
    </xf>
    <xf numFmtId="0" fontId="46" fillId="0" borderId="105" xfId="0" applyFont="1" applyBorder="1" applyAlignment="1">
      <alignment horizontal="center" vertical="center" wrapText="1"/>
    </xf>
    <xf numFmtId="0" fontId="46" fillId="0" borderId="106" xfId="0" applyFont="1" applyBorder="1" applyAlignment="1">
      <alignment horizontal="center" vertical="center" wrapText="1"/>
    </xf>
    <xf numFmtId="0" fontId="46" fillId="0" borderId="112" xfId="0" applyFont="1" applyBorder="1" applyAlignment="1">
      <alignment horizontal="center" vertical="center" wrapText="1"/>
    </xf>
    <xf numFmtId="0" fontId="46" fillId="0" borderId="114" xfId="0" applyFont="1" applyBorder="1" applyAlignment="1">
      <alignment horizontal="center" vertical="center" wrapText="1"/>
    </xf>
    <xf numFmtId="0" fontId="44" fillId="22" borderId="97" xfId="0" applyFont="1" applyFill="1" applyBorder="1" applyAlignment="1">
      <alignment horizontal="center" vertical="center" wrapText="1"/>
    </xf>
    <xf numFmtId="0" fontId="44" fillId="22" borderId="98" xfId="0" applyFont="1" applyFill="1" applyBorder="1" applyAlignment="1">
      <alignment horizontal="center" vertical="center" wrapText="1"/>
    </xf>
    <xf numFmtId="0" fontId="46" fillId="0" borderId="110" xfId="0" applyFont="1" applyBorder="1" applyAlignment="1">
      <alignment horizontal="center" vertical="center" wrapText="1"/>
    </xf>
    <xf numFmtId="0" fontId="46" fillId="0" borderId="116" xfId="0" applyFont="1" applyBorder="1" applyAlignment="1">
      <alignment horizontal="center" vertical="center" wrapText="1"/>
    </xf>
    <xf numFmtId="0" fontId="46" fillId="0" borderId="136" xfId="0" applyFont="1" applyBorder="1" applyAlignment="1">
      <alignment horizontal="center" vertical="center" wrapText="1"/>
    </xf>
    <xf numFmtId="0" fontId="46" fillId="0" borderId="101" xfId="0" applyFont="1" applyBorder="1" applyAlignment="1">
      <alignment horizontal="center" vertical="center" wrapText="1"/>
    </xf>
    <xf numFmtId="0" fontId="46" fillId="0" borderId="109" xfId="0" applyFont="1" applyBorder="1" applyAlignment="1">
      <alignment horizontal="center" vertical="center" wrapText="1"/>
    </xf>
    <xf numFmtId="0" fontId="46" fillId="0" borderId="116" xfId="0" applyFont="1" applyBorder="1" applyAlignment="1">
      <alignment horizontal="left" vertical="center" wrapText="1"/>
    </xf>
    <xf numFmtId="0" fontId="46" fillId="0" borderId="136" xfId="0" applyFont="1" applyBorder="1" applyAlignment="1">
      <alignment horizontal="left" vertical="center" wrapText="1"/>
    </xf>
    <xf numFmtId="0" fontId="46" fillId="0" borderId="122" xfId="0" applyFont="1" applyBorder="1" applyAlignment="1">
      <alignment horizontal="center" vertical="center" wrapText="1"/>
    </xf>
    <xf numFmtId="0" fontId="46" fillId="0" borderId="0" xfId="0" applyFont="1" applyAlignment="1">
      <alignment horizontal="center" vertical="center" wrapText="1"/>
    </xf>
    <xf numFmtId="0" fontId="46" fillId="0" borderId="34" xfId="0" applyFont="1" applyBorder="1" applyAlignment="1">
      <alignment horizontal="center" vertical="center" wrapText="1"/>
    </xf>
    <xf numFmtId="0" fontId="46" fillId="0" borderId="126" xfId="0" applyFont="1" applyBorder="1" applyAlignment="1">
      <alignment horizontal="center" vertical="center" wrapText="1"/>
    </xf>
    <xf numFmtId="0" fontId="46" fillId="0" borderId="32" xfId="0" applyFont="1" applyBorder="1" applyAlignment="1">
      <alignment horizontal="center" vertical="center" wrapText="1"/>
    </xf>
    <xf numFmtId="0" fontId="43" fillId="20" borderId="91" xfId="0" applyFont="1" applyFill="1" applyBorder="1" applyAlignment="1">
      <alignment horizontal="center" vertical="center"/>
    </xf>
    <xf numFmtId="0" fontId="43" fillId="20" borderId="67" xfId="0" applyFont="1" applyFill="1" applyBorder="1" applyAlignment="1">
      <alignment horizontal="center" vertical="center"/>
    </xf>
    <xf numFmtId="0" fontId="4" fillId="14" borderId="38" xfId="0" applyFont="1" applyFill="1" applyBorder="1" applyAlignment="1">
      <alignment horizontal="center" vertical="center" wrapText="1"/>
    </xf>
    <xf numFmtId="0" fontId="4" fillId="14" borderId="39" xfId="0" applyFont="1" applyFill="1" applyBorder="1" applyAlignment="1">
      <alignment horizontal="center" vertical="center" wrapText="1"/>
    </xf>
    <xf numFmtId="0" fontId="4" fillId="14" borderId="61" xfId="0" applyFont="1" applyFill="1" applyBorder="1" applyAlignment="1">
      <alignment horizontal="center" vertical="center" wrapText="1"/>
    </xf>
    <xf numFmtId="0" fontId="4" fillId="14" borderId="50" xfId="0" applyFont="1" applyFill="1" applyBorder="1" applyAlignment="1">
      <alignment horizontal="center" vertical="center" wrapText="1"/>
    </xf>
    <xf numFmtId="0" fontId="4" fillId="14" borderId="0" xfId="0" applyFont="1" applyFill="1" applyAlignment="1">
      <alignment horizontal="center" vertical="center" wrapText="1"/>
    </xf>
    <xf numFmtId="0" fontId="4" fillId="14" borderId="34" xfId="0" applyFont="1" applyFill="1" applyBorder="1" applyAlignment="1">
      <alignment horizontal="center" vertical="center" wrapText="1"/>
    </xf>
    <xf numFmtId="0" fontId="4" fillId="14" borderId="37" xfId="0" applyFont="1" applyFill="1" applyBorder="1" applyAlignment="1">
      <alignment horizontal="center" vertical="center" wrapText="1"/>
    </xf>
    <xf numFmtId="0" fontId="4" fillId="14" borderId="49" xfId="0" applyFont="1" applyFill="1" applyBorder="1" applyAlignment="1">
      <alignment horizontal="center" vertical="center" wrapText="1"/>
    </xf>
    <xf numFmtId="0" fontId="5" fillId="0" borderId="62" xfId="0" applyFont="1" applyBorder="1" applyAlignment="1">
      <alignment horizontal="left" vertical="center"/>
    </xf>
    <xf numFmtId="0" fontId="5" fillId="0" borderId="51" xfId="0" applyFont="1" applyBorder="1" applyAlignment="1">
      <alignment horizontal="left" vertical="center"/>
    </xf>
    <xf numFmtId="9" fontId="5" fillId="0" borderId="73" xfId="1" applyFont="1" applyBorder="1" applyAlignment="1">
      <alignment horizontal="center" vertical="center" wrapText="1"/>
    </xf>
    <xf numFmtId="9" fontId="5" fillId="0" borderId="41" xfId="1" applyFont="1" applyBorder="1" applyAlignment="1">
      <alignment horizontal="center" vertical="center" wrapText="1"/>
    </xf>
    <xf numFmtId="9" fontId="5" fillId="0" borderId="56" xfId="1" applyFont="1" applyBorder="1" applyAlignment="1">
      <alignment horizontal="center" vertical="center" wrapText="1"/>
    </xf>
    <xf numFmtId="9" fontId="5" fillId="0" borderId="71" xfId="1" applyFont="1" applyBorder="1" applyAlignment="1">
      <alignment horizontal="center" vertical="center" wrapText="1"/>
    </xf>
    <xf numFmtId="9" fontId="5" fillId="0" borderId="72" xfId="1" applyFont="1" applyBorder="1" applyAlignment="1">
      <alignment horizontal="center" vertical="center" wrapText="1"/>
    </xf>
    <xf numFmtId="0" fontId="5" fillId="5" borderId="62" xfId="0" applyFont="1" applyFill="1" applyBorder="1" applyAlignment="1">
      <alignment horizontal="left" vertical="center"/>
    </xf>
    <xf numFmtId="0" fontId="5" fillId="5" borderId="51" xfId="0" applyFont="1" applyFill="1" applyBorder="1" applyAlignment="1">
      <alignment horizontal="left" vertical="center"/>
    </xf>
    <xf numFmtId="0" fontId="5" fillId="0" borderId="63" xfId="0" applyFont="1" applyBorder="1" applyAlignment="1">
      <alignment horizontal="left" vertical="center"/>
    </xf>
    <xf numFmtId="0" fontId="5" fillId="0" borderId="52" xfId="0" applyFont="1" applyBorder="1" applyAlignment="1">
      <alignment horizontal="left" vertical="center"/>
    </xf>
    <xf numFmtId="0" fontId="4" fillId="0" borderId="65" xfId="0" applyFont="1" applyBorder="1" applyAlignment="1">
      <alignment horizontal="center" vertical="center"/>
    </xf>
    <xf numFmtId="0" fontId="4" fillId="0" borderId="48" xfId="0" applyFont="1" applyBorder="1" applyAlignment="1">
      <alignment horizontal="center" vertical="center"/>
    </xf>
    <xf numFmtId="0" fontId="4" fillId="0" borderId="64" xfId="0" applyFont="1" applyBorder="1" applyAlignment="1">
      <alignment horizontal="center" vertical="center"/>
    </xf>
    <xf numFmtId="0" fontId="4" fillId="0" borderId="58" xfId="0" applyFont="1" applyBorder="1" applyAlignment="1">
      <alignment horizontal="center" vertical="center"/>
    </xf>
    <xf numFmtId="0" fontId="4" fillId="0" borderId="59" xfId="0" applyFont="1" applyBorder="1" applyAlignment="1">
      <alignment horizontal="center" vertical="center"/>
    </xf>
    <xf numFmtId="0" fontId="4" fillId="0" borderId="60" xfId="0" applyFont="1" applyBorder="1" applyAlignment="1">
      <alignment horizontal="center" vertical="center"/>
    </xf>
    <xf numFmtId="0" fontId="27" fillId="0" borderId="40" xfId="0" applyFont="1" applyBorder="1" applyAlignment="1">
      <alignment horizontal="center" vertical="center"/>
    </xf>
    <xf numFmtId="0" fontId="27" fillId="0" borderId="66" xfId="0" applyFont="1" applyBorder="1" applyAlignment="1">
      <alignment horizontal="center" vertical="center"/>
    </xf>
    <xf numFmtId="0" fontId="6" fillId="10" borderId="35" xfId="0" applyFont="1" applyFill="1" applyBorder="1" applyAlignment="1">
      <alignment horizontal="center" vertical="center"/>
    </xf>
    <xf numFmtId="0" fontId="6" fillId="10" borderId="36" xfId="0" applyFont="1" applyFill="1" applyBorder="1" applyAlignment="1">
      <alignment horizontal="center" vertical="center"/>
    </xf>
    <xf numFmtId="0" fontId="6" fillId="2" borderId="57" xfId="0" applyFont="1" applyFill="1" applyBorder="1" applyAlignment="1">
      <alignment horizontal="center" vertical="center" wrapText="1"/>
    </xf>
    <xf numFmtId="0" fontId="6" fillId="2" borderId="53" xfId="0" applyFont="1" applyFill="1" applyBorder="1" applyAlignment="1">
      <alignment horizontal="center" vertical="center" wrapText="1"/>
    </xf>
    <xf numFmtId="0" fontId="6" fillId="2" borderId="54" xfId="0" applyFont="1" applyFill="1" applyBorder="1" applyAlignment="1">
      <alignment horizontal="center" vertical="center" wrapText="1"/>
    </xf>
    <xf numFmtId="0" fontId="6" fillId="11" borderId="38" xfId="0" applyFont="1" applyFill="1" applyBorder="1" applyAlignment="1">
      <alignment horizontal="left" vertical="center" wrapText="1"/>
    </xf>
    <xf numFmtId="0" fontId="6" fillId="11" borderId="40" xfId="0" applyFont="1" applyFill="1" applyBorder="1" applyAlignment="1">
      <alignment horizontal="left" vertical="center" wrapText="1"/>
    </xf>
    <xf numFmtId="0" fontId="6" fillId="11" borderId="38" xfId="0" applyFont="1" applyFill="1" applyBorder="1" applyAlignment="1">
      <alignment horizontal="center" vertical="center" wrapText="1"/>
    </xf>
    <xf numFmtId="0" fontId="6" fillId="11" borderId="0" xfId="0" applyFont="1" applyFill="1" applyAlignment="1">
      <alignment horizontal="center" vertical="center" wrapText="1"/>
    </xf>
    <xf numFmtId="0" fontId="6" fillId="11" borderId="39" xfId="0" applyFont="1" applyFill="1" applyBorder="1" applyAlignment="1">
      <alignment horizontal="center" vertical="center" wrapText="1"/>
    </xf>
    <xf numFmtId="0" fontId="28" fillId="0" borderId="0" xfId="0" applyFont="1" applyAlignment="1">
      <alignment horizontal="left" vertical="center"/>
    </xf>
    <xf numFmtId="0" fontId="5" fillId="0" borderId="2" xfId="0" applyFont="1" applyBorder="1" applyAlignment="1">
      <alignment horizontal="left" vertical="center"/>
    </xf>
    <xf numFmtId="0" fontId="5" fillId="0" borderId="3" xfId="0" applyFont="1" applyBorder="1" applyAlignment="1">
      <alignment horizontal="left" vertical="center"/>
    </xf>
    <xf numFmtId="0" fontId="5" fillId="0" borderId="16" xfId="0" applyFont="1" applyBorder="1" applyAlignment="1">
      <alignment horizontal="left" vertical="center"/>
    </xf>
    <xf numFmtId="0" fontId="5" fillId="0" borderId="2" xfId="1" applyNumberFormat="1" applyFont="1" applyBorder="1" applyAlignment="1">
      <alignment horizontal="left"/>
    </xf>
    <xf numFmtId="0" fontId="5" fillId="0" borderId="3" xfId="1" applyNumberFormat="1" applyFont="1" applyBorder="1" applyAlignment="1">
      <alignment horizontal="left"/>
    </xf>
    <xf numFmtId="0" fontId="5" fillId="0" borderId="16" xfId="1" applyNumberFormat="1" applyFont="1" applyBorder="1" applyAlignment="1">
      <alignment horizontal="left"/>
    </xf>
    <xf numFmtId="0" fontId="5" fillId="0" borderId="2" xfId="1" applyNumberFormat="1" applyFont="1" applyBorder="1" applyAlignment="1">
      <alignment horizontal="left" wrapText="1"/>
    </xf>
    <xf numFmtId="0" fontId="5" fillId="0" borderId="2" xfId="1" applyNumberFormat="1" applyFont="1" applyBorder="1" applyAlignment="1">
      <alignment horizontal="left" vertical="top" wrapText="1"/>
    </xf>
    <xf numFmtId="0" fontId="5" fillId="0" borderId="3" xfId="1" applyNumberFormat="1" applyFont="1" applyBorder="1" applyAlignment="1">
      <alignment horizontal="left" vertical="top"/>
    </xf>
    <xf numFmtId="0" fontId="5" fillId="0" borderId="16" xfId="1" applyNumberFormat="1" applyFont="1" applyBorder="1" applyAlignment="1">
      <alignment horizontal="left" vertical="top"/>
    </xf>
    <xf numFmtId="0" fontId="5" fillId="0" borderId="3" xfId="1" applyNumberFormat="1" applyFont="1" applyBorder="1" applyAlignment="1">
      <alignment horizontal="left" wrapText="1"/>
    </xf>
    <xf numFmtId="0" fontId="5" fillId="0" borderId="16" xfId="1" applyNumberFormat="1" applyFont="1" applyBorder="1" applyAlignment="1">
      <alignment horizontal="left" wrapText="1"/>
    </xf>
    <xf numFmtId="0" fontId="5" fillId="0" borderId="2" xfId="1" quotePrefix="1" applyNumberFormat="1" applyFont="1" applyBorder="1" applyAlignment="1">
      <alignment horizontal="left" vertical="center" wrapText="1"/>
    </xf>
    <xf numFmtId="0" fontId="5" fillId="0" borderId="3" xfId="1" applyNumberFormat="1" applyFont="1" applyBorder="1" applyAlignment="1">
      <alignment horizontal="left" vertical="center"/>
    </xf>
    <xf numFmtId="0" fontId="5" fillId="0" borderId="16" xfId="1" applyNumberFormat="1" applyFont="1" applyBorder="1" applyAlignment="1">
      <alignment horizontal="left" vertical="center"/>
    </xf>
    <xf numFmtId="0" fontId="5" fillId="0" borderId="2" xfId="1" applyNumberFormat="1" applyFont="1" applyBorder="1" applyAlignment="1">
      <alignment horizontal="left" vertical="center" wrapText="1"/>
    </xf>
    <xf numFmtId="0" fontId="4" fillId="4" borderId="3" xfId="0" applyFont="1" applyFill="1" applyBorder="1" applyAlignment="1">
      <alignment horizontal="left"/>
    </xf>
    <xf numFmtId="0" fontId="5" fillId="0" borderId="3" xfId="1" applyNumberFormat="1" applyFont="1" applyBorder="1" applyAlignment="1">
      <alignment horizontal="left" vertical="center" wrapText="1"/>
    </xf>
    <xf numFmtId="0" fontId="5" fillId="0" borderId="16" xfId="1" applyNumberFormat="1" applyFont="1" applyBorder="1" applyAlignment="1">
      <alignment horizontal="left" vertical="center" wrapText="1"/>
    </xf>
    <xf numFmtId="164" fontId="5" fillId="0" borderId="2" xfId="0" applyNumberFormat="1" applyFont="1" applyBorder="1" applyAlignment="1" applyProtection="1">
      <protection locked="0"/>
    </xf>
    <xf numFmtId="164" fontId="5" fillId="0" borderId="16" xfId="0" applyNumberFormat="1" applyFont="1" applyBorder="1" applyAlignment="1" applyProtection="1">
      <protection locked="0"/>
    </xf>
    <xf numFmtId="0" fontId="4" fillId="4" borderId="2" xfId="0" applyFont="1" applyFill="1" applyBorder="1" applyAlignment="1"/>
    <xf numFmtId="0" fontId="4" fillId="4" borderId="16" xfId="0" applyFont="1" applyFill="1" applyBorder="1" applyAlignment="1"/>
    <xf numFmtId="0" fontId="4" fillId="4" borderId="7" xfId="0" applyFont="1" applyFill="1" applyBorder="1" applyAlignment="1"/>
    <xf numFmtId="0" fontId="4" fillId="4" borderId="8" xfId="0" applyFont="1" applyFill="1" applyBorder="1" applyAlignment="1"/>
    <xf numFmtId="164" fontId="5" fillId="3" borderId="2" xfId="0" applyNumberFormat="1" applyFont="1" applyFill="1" applyBorder="1" applyAlignment="1"/>
    <xf numFmtId="164" fontId="5" fillId="3" borderId="3" xfId="0" applyNumberFormat="1" applyFont="1" applyFill="1" applyBorder="1" applyAlignment="1"/>
    <xf numFmtId="164" fontId="4" fillId="3" borderId="2" xfId="0" applyNumberFormat="1" applyFont="1" applyFill="1" applyBorder="1" applyAlignment="1"/>
    <xf numFmtId="164" fontId="4" fillId="3" borderId="3" xfId="0" applyNumberFormat="1" applyFont="1" applyFill="1" applyBorder="1" applyAlignment="1"/>
    <xf numFmtId="164" fontId="5" fillId="3" borderId="2" xfId="0" applyNumberFormat="1" applyFont="1" applyFill="1" applyBorder="1" applyAlignment="1" applyProtection="1">
      <protection locked="0"/>
    </xf>
    <xf numFmtId="164" fontId="5" fillId="3" borderId="3" xfId="0" applyNumberFormat="1" applyFont="1" applyFill="1" applyBorder="1" applyAlignment="1" applyProtection="1">
      <protection locked="0"/>
    </xf>
  </cellXfs>
  <cellStyles count="15">
    <cellStyle name="Bad" xfId="13" builtinId="27"/>
    <cellStyle name="Comma" xfId="9" builtinId="3"/>
    <cellStyle name="Comma 2" xfId="3" xr:uid="{B9D00D5A-09BB-426B-AAB2-59168CCC88D3}"/>
    <cellStyle name="Comma 3" xfId="6" xr:uid="{19DEB2F8-21A5-4B86-9B93-E5C233D612E3}"/>
    <cellStyle name="Currency" xfId="10" builtinId="4"/>
    <cellStyle name="Good" xfId="8" builtinId="26"/>
    <cellStyle name="Hyperlink" xfId="11" builtinId="8"/>
    <cellStyle name="Normal" xfId="0" builtinId="0"/>
    <cellStyle name="Normal 2" xfId="2" xr:uid="{EB2C6A29-40B8-412C-B566-3BF285502B23}"/>
    <cellStyle name="Normal 3" xfId="5" xr:uid="{F5CE22E0-3856-45EF-B7F1-C48412B6D137}"/>
    <cellStyle name="Normal 4" xfId="14" xr:uid="{31DA0591-2FCF-A646-B386-2576E12CA494}"/>
    <cellStyle name="Normal 5" xfId="12" xr:uid="{1529508C-2385-4009-9F88-14ED22DEA509}"/>
    <cellStyle name="Percent" xfId="1" builtinId="5"/>
    <cellStyle name="Percent 2" xfId="4" xr:uid="{6B52F2A6-7A3D-42E2-8290-36C64EBBB265}"/>
    <cellStyle name="Percent 3" xfId="7" xr:uid="{2F229C78-CAD3-42AD-AA34-DF7C5E9E5B45}"/>
  </cellStyles>
  <dxfs count="532">
    <dxf>
      <font>
        <color theme="2" tint="-0.24994659260841701"/>
      </font>
      <fill>
        <patternFill>
          <bgColor theme="2" tint="-0.24994659260841701"/>
        </patternFill>
      </fill>
    </dxf>
    <dxf>
      <font>
        <b val="0"/>
        <i val="0"/>
        <strike val="0"/>
        <condense val="0"/>
        <extend val="0"/>
        <outline val="0"/>
        <shadow val="0"/>
        <u val="none"/>
        <vertAlign val="baseline"/>
        <sz val="10"/>
        <color theme="1"/>
        <name val="Calibri"/>
        <scheme val="minor"/>
      </font>
      <border diagonalUp="0" diagonalDown="0">
        <left style="thin">
          <color theme="2" tint="-0.499984740745262"/>
        </left>
        <right/>
        <top style="thin">
          <color theme="2" tint="-0.499984740745262"/>
        </top>
        <bottom style="thin">
          <color theme="2" tint="-0.499984740745262"/>
        </bottom>
        <vertical/>
        <horizontal/>
      </border>
    </dxf>
    <dxf>
      <font>
        <b val="0"/>
        <i val="0"/>
        <strike val="0"/>
        <condense val="0"/>
        <extend val="0"/>
        <outline val="0"/>
        <shadow val="0"/>
        <u val="none"/>
        <vertAlign val="baseline"/>
        <sz val="10"/>
        <color theme="1"/>
        <name val="Calibri"/>
        <scheme val="minor"/>
      </font>
      <border diagonalUp="0" diagonalDown="0">
        <left/>
        <right style="thin">
          <color theme="2" tint="-0.499984740745262"/>
        </right>
        <top style="thin">
          <color theme="2" tint="-0.499984740745262"/>
        </top>
        <bottom style="thin">
          <color theme="2" tint="-0.499984740745262"/>
        </bottom>
        <vertical/>
        <horizontal/>
      </border>
    </dxf>
    <dxf>
      <border outline="0">
        <top style="thin">
          <color theme="2" tint="-0.499984740745262"/>
        </top>
      </border>
    </dxf>
    <dxf>
      <border outline="0">
        <bottom style="thin">
          <color theme="2" tint="-0.499984740745262"/>
        </bottom>
      </border>
    </dxf>
    <dxf>
      <border outline="0">
        <left style="thin">
          <color theme="2" tint="-0.499984740745262"/>
        </left>
        <right style="thin">
          <color theme="2" tint="-0.499984740745262"/>
        </right>
        <top style="thin">
          <color theme="2" tint="-0.499984740745262"/>
        </top>
        <bottom style="thin">
          <color theme="2" tint="-0.499984740745262"/>
        </bottom>
      </border>
    </dxf>
    <dxf>
      <font>
        <b/>
        <i val="0"/>
        <strike val="0"/>
        <condense val="0"/>
        <extend val="0"/>
        <outline val="0"/>
        <shadow val="0"/>
        <u val="none"/>
        <vertAlign val="baseline"/>
        <sz val="10"/>
        <color theme="1"/>
        <name val="Calibri"/>
        <scheme val="minor"/>
      </font>
      <fill>
        <patternFill patternType="solid">
          <fgColor indexed="64"/>
          <bgColor theme="3" tint="0.59999389629810485"/>
        </patternFill>
      </fill>
      <border diagonalUp="0" diagonalDown="0" outline="0">
        <left style="thin">
          <color theme="2" tint="-0.499984740745262"/>
        </left>
        <right style="thin">
          <color theme="2" tint="-0.499984740745262"/>
        </right>
        <top/>
        <bottom/>
      </border>
    </dxf>
    <dxf>
      <font>
        <b val="0"/>
        <i val="0"/>
        <strike val="0"/>
        <condense val="0"/>
        <extend val="0"/>
        <outline val="0"/>
        <shadow val="0"/>
        <u val="none"/>
        <vertAlign val="baseline"/>
        <sz val="10"/>
        <color theme="1"/>
        <name val="Calibri"/>
        <scheme val="minor"/>
      </font>
      <border diagonalUp="0" diagonalDown="0" outline="0">
        <left style="thin">
          <color theme="2" tint="-0.499984740745262"/>
        </left>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border diagonalUp="0" diagonalDown="0" outline="0">
        <left/>
        <right style="thin">
          <color theme="2" tint="-0.499984740745262"/>
        </right>
        <top style="thin">
          <color theme="2" tint="-0.499984740745262"/>
        </top>
        <bottom style="thin">
          <color theme="2" tint="-0.499984740745262"/>
        </bottom>
      </border>
    </dxf>
    <dxf>
      <border outline="0">
        <top style="thin">
          <color theme="2" tint="-0.499984740745262"/>
        </top>
      </border>
    </dxf>
    <dxf>
      <border outline="0">
        <bottom style="thin">
          <color theme="2" tint="-0.499984740745262"/>
        </bottom>
      </border>
    </dxf>
    <dxf>
      <border outline="0">
        <left style="thin">
          <color theme="2" tint="-0.499984740745262"/>
        </left>
        <right style="thin">
          <color theme="2" tint="-0.499984740745262"/>
        </right>
        <top style="thin">
          <color theme="2" tint="-0.499984740745262"/>
        </top>
        <bottom style="thin">
          <color theme="2" tint="-0.499984740745262"/>
        </bottom>
      </border>
    </dxf>
    <dxf>
      <font>
        <b/>
        <i val="0"/>
        <strike val="0"/>
        <condense val="0"/>
        <extend val="0"/>
        <outline val="0"/>
        <shadow val="0"/>
        <u val="none"/>
        <vertAlign val="baseline"/>
        <sz val="10"/>
        <color theme="1"/>
        <name val="Calibri"/>
        <scheme val="minor"/>
      </font>
      <fill>
        <patternFill patternType="solid">
          <fgColor indexed="64"/>
          <bgColor theme="3" tint="0.59999389629810485"/>
        </patternFill>
      </fill>
      <border diagonalUp="0" diagonalDown="0" outline="0">
        <left style="thin">
          <color theme="2" tint="-0.499984740745262"/>
        </left>
        <right style="thin">
          <color theme="2" tint="-0.499984740745262"/>
        </right>
        <top/>
        <bottom/>
      </border>
    </dxf>
    <dxf>
      <fill>
        <patternFill>
          <fgColor indexed="64"/>
          <bgColor theme="2" tint="-0.249977111117893"/>
        </patternFill>
      </fill>
      <alignment vertical="center" textRotation="0" indent="0" justifyLastLine="0" shrinkToFit="0" readingOrder="0"/>
    </dxf>
    <dxf>
      <font>
        <b val="0"/>
        <i val="0"/>
        <strike val="0"/>
        <condense val="0"/>
        <extend val="0"/>
        <outline val="0"/>
        <shadow val="0"/>
        <u val="none"/>
        <vertAlign val="baseline"/>
        <sz val="10"/>
        <color theme="1"/>
        <name val="Calibri"/>
        <scheme val="minor"/>
      </font>
      <numFmt numFmtId="164" formatCode="&quot;$&quot;#,##0.00"/>
      <fill>
        <patternFill>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numFmt numFmtId="164" formatCode="&quot;$&quot;#,##0.00"/>
      <fill>
        <patternFill>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numFmt numFmtId="164" formatCode="&quot;$&quot;#,##0.00"/>
      <fill>
        <patternFill>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numFmt numFmtId="164" formatCode="&quot;$&quot;#,##0.00"/>
      <fill>
        <patternFill>
          <fgColor indexed="64"/>
          <bgColor theme="2" tint="-0.249977111117893"/>
        </patternFill>
      </fill>
      <alignment vertical="center" textRotation="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fill>
        <patternFill>
          <fgColor indexed="64"/>
          <bgColor theme="2" tint="-0.249977111117893"/>
        </patternFill>
      </fill>
      <alignment horizontal="general" vertical="center" textRotation="0" wrapText="1"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fill>
        <patternFill patternType="solid">
          <fgColor indexed="64"/>
          <bgColor theme="2" tint="-0.249977111117893"/>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dxf>
    <dxf>
      <border outline="0">
        <top style="thin">
          <color theme="2" tint="-0.499984740745262"/>
        </top>
      </border>
    </dxf>
    <dxf>
      <border outline="0">
        <bottom style="thin">
          <color theme="2" tint="-0.499984740745262"/>
        </bottom>
      </border>
    </dxf>
    <dxf>
      <border outline="0">
        <left style="thin">
          <color theme="2" tint="-0.499984740745262"/>
        </left>
        <right style="thin">
          <color theme="2" tint="-0.499984740745262"/>
        </right>
        <top style="thin">
          <color theme="2" tint="-0.499984740745262"/>
        </top>
        <bottom style="thin">
          <color theme="2" tint="-0.499984740745262"/>
        </bottom>
      </border>
    </dxf>
    <dxf>
      <fill>
        <patternFill>
          <fgColor indexed="64"/>
          <bgColor theme="2" tint="-0.249977111117893"/>
        </patternFill>
      </fill>
      <alignment vertical="center" textRotation="0" indent="0" justifyLastLine="0" shrinkToFit="0" readingOrder="0"/>
    </dxf>
    <dxf>
      <font>
        <b/>
        <i val="0"/>
        <strike val="0"/>
        <condense val="0"/>
        <extend val="0"/>
        <outline val="0"/>
        <shadow val="0"/>
        <u val="none"/>
        <vertAlign val="baseline"/>
        <sz val="10"/>
        <color theme="1"/>
        <name val="Calibri"/>
        <scheme val="minor"/>
      </font>
      <fill>
        <patternFill patternType="solid">
          <fgColor indexed="64"/>
          <bgColor theme="3" tint="0.59999389629810485"/>
        </patternFill>
      </fill>
      <border diagonalUp="0" diagonalDown="0" outline="0">
        <left style="thin">
          <color theme="2" tint="-0.499984740745262"/>
        </left>
        <right style="thin">
          <color theme="2" tint="-0.499984740745262"/>
        </right>
        <top/>
        <bottom/>
      </border>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ont>
        <color rgb="FF9C0006"/>
      </font>
      <fill>
        <patternFill>
          <bgColor rgb="FFFFC7CE"/>
        </patternFill>
      </fill>
    </dxf>
    <dxf>
      <font>
        <color rgb="FF9C0006"/>
      </font>
      <fill>
        <patternFill>
          <fgColor auto="1"/>
          <bgColor rgb="FFFFC7CE"/>
        </patternFill>
      </fill>
    </dxf>
    <dxf>
      <fill>
        <patternFill>
          <bgColor theme="0" tint="-0.34998626667073579"/>
        </patternFill>
      </fill>
    </dxf>
    <dxf>
      <fill>
        <patternFill>
          <bgColor theme="0"/>
        </patternFill>
      </fill>
    </dxf>
    <dxf>
      <font>
        <color rgb="FF9C0006"/>
      </font>
      <fill>
        <patternFill>
          <bgColor rgb="FFFFC7CE"/>
        </patternFill>
      </fill>
    </dxf>
    <dxf>
      <fill>
        <patternFill>
          <bgColor theme="0"/>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theme="0"/>
        </patternFill>
      </fill>
    </dxf>
    <dxf>
      <fill>
        <patternFill>
          <bgColor theme="2" tint="-0.24994659260841701"/>
        </patternFill>
      </fill>
    </dxf>
    <dxf>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ont>
        <b val="0"/>
        <i val="0"/>
        <color rgb="FF9C0006"/>
      </font>
      <fill>
        <patternFill patternType="solid">
          <fgColor auto="1"/>
          <bgColor rgb="FFFFC7CE"/>
        </patternFill>
      </fill>
    </dxf>
    <dxf>
      <fill>
        <patternFill>
          <bgColor theme="0"/>
        </patternFill>
      </fill>
    </dxf>
    <dxf>
      <font>
        <b/>
        <i val="0"/>
        <color theme="1"/>
      </font>
    </dxf>
    <dxf>
      <fill>
        <patternFill>
          <bgColor theme="0"/>
        </patternFill>
      </fill>
    </dxf>
    <dxf>
      <fill>
        <patternFill>
          <bgColor theme="2" tint="-0.24994659260841701"/>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ont>
        <color rgb="FF9C0006"/>
      </font>
      <fill>
        <patternFill>
          <bgColor rgb="FFFFC7CE"/>
        </patternFill>
      </fill>
    </dxf>
    <dxf>
      <font>
        <color rgb="FF9C0006"/>
      </font>
      <fill>
        <patternFill>
          <fgColor auto="1"/>
          <bgColor rgb="FFFFC7CE"/>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ill>
        <patternFill>
          <bgColor theme="2" tint="-0.24994659260841701"/>
        </patternFill>
      </fill>
    </dxf>
    <dxf>
      <font>
        <color rgb="FF9C0006"/>
      </font>
      <fill>
        <patternFill>
          <bgColor rgb="FFFFC7CE"/>
        </patternFill>
      </fill>
    </dxf>
    <dxf>
      <fill>
        <patternFill>
          <bgColor theme="0" tint="-0.34998626667073579"/>
        </patternFill>
      </fill>
    </dxf>
    <dxf>
      <fill>
        <patternFill>
          <bgColor theme="0" tint="-0.34998626667073579"/>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0"/>
        </patternFill>
      </fill>
    </dxf>
    <dxf>
      <fill>
        <patternFill patternType="none">
          <bgColor auto="1"/>
        </patternFill>
      </fill>
    </dxf>
    <dxf>
      <fill>
        <patternFill>
          <bgColor theme="2" tint="-0.24994659260841701"/>
        </patternFill>
      </fill>
    </dxf>
    <dxf>
      <fill>
        <patternFill>
          <bgColor theme="2" tint="-0.24994659260841701"/>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ont>
        <color rgb="FF9C0006"/>
      </font>
      <fill>
        <patternFill>
          <bgColor rgb="FFFFC7CE"/>
        </patternFill>
      </fill>
    </dxf>
    <dxf>
      <fill>
        <patternFill>
          <bgColor theme="0"/>
        </patternFill>
      </fill>
    </dxf>
    <dxf>
      <fill>
        <patternFill>
          <bgColor theme="0"/>
        </patternFill>
      </fill>
    </dxf>
    <dxf>
      <fill>
        <patternFill>
          <bgColor theme="0"/>
        </patternFill>
      </fill>
    </dxf>
    <dxf>
      <font>
        <b/>
        <i val="0"/>
      </font>
    </dxf>
    <dxf>
      <font>
        <b/>
        <i val="0"/>
      </font>
      <fill>
        <patternFill>
          <bgColor theme="3" tint="0.59996337778862885"/>
        </patternFill>
      </fill>
    </dxf>
    <dxf>
      <font>
        <b/>
        <i val="0"/>
      </font>
      <fill>
        <patternFill>
          <bgColor theme="3" tint="0.59996337778862885"/>
        </patternFill>
      </fill>
    </dxf>
    <dxf>
      <fill>
        <patternFill>
          <bgColor theme="0"/>
        </patternFill>
      </fill>
    </dxf>
    <dxf>
      <font>
        <b/>
        <i val="0"/>
      </font>
    </dxf>
    <dxf>
      <fill>
        <patternFill>
          <bgColor theme="0"/>
        </patternFill>
      </fill>
    </dxf>
    <dxf>
      <font>
        <b/>
        <i val="0"/>
      </font>
    </dxf>
    <dxf>
      <fill>
        <patternFill>
          <bgColor theme="0"/>
        </patternFill>
      </fill>
    </dxf>
    <dxf>
      <font>
        <b/>
        <i val="0"/>
      </font>
    </dxf>
    <dxf>
      <fill>
        <patternFill>
          <bgColor theme="0"/>
        </patternFill>
      </fill>
    </dxf>
    <dxf>
      <font>
        <b/>
        <i val="0"/>
      </font>
    </dxf>
    <dxf>
      <fill>
        <patternFill>
          <bgColor theme="0"/>
        </patternFill>
      </fill>
    </dxf>
    <dxf>
      <font>
        <b/>
        <i val="0"/>
      </font>
    </dxf>
    <dxf>
      <fill>
        <patternFill>
          <bgColor theme="0"/>
        </patternFill>
      </fill>
    </dxf>
    <dxf>
      <font>
        <b/>
        <i val="0"/>
      </font>
    </dxf>
    <dxf>
      <fill>
        <patternFill>
          <bgColor theme="0"/>
        </patternFill>
      </fill>
    </dxf>
    <dxf>
      <font>
        <b/>
        <i val="0"/>
      </font>
    </dxf>
    <dxf>
      <font>
        <strike val="0"/>
      </font>
      <fill>
        <patternFill patternType="solid">
          <bgColor theme="0"/>
        </patternFill>
      </fill>
    </dxf>
    <dxf>
      <fill>
        <patternFill>
          <bgColor theme="0"/>
        </patternFill>
      </fill>
    </dxf>
    <dxf>
      <font>
        <color rgb="FF9C0006"/>
      </font>
      <fill>
        <patternFill>
          <bgColor rgb="FFFFC7CE"/>
        </patternFill>
      </fill>
    </dxf>
    <dxf>
      <font>
        <color theme="3" tint="0.59996337778862885"/>
      </font>
    </dxf>
    <dxf>
      <font>
        <color rgb="FF9C0006"/>
      </font>
      <fill>
        <patternFill>
          <bgColor rgb="FFFFC7CE"/>
        </patternFill>
      </fill>
    </dxf>
    <dxf>
      <font>
        <color theme="2" tint="-0.24994659260841701"/>
      </font>
      <fill>
        <patternFill>
          <bgColor theme="2" tint="-0.24994659260841701"/>
        </patternFill>
      </fill>
    </dxf>
    <dxf>
      <font>
        <color theme="2" tint="-0.24994659260841701"/>
      </font>
      <fill>
        <patternFill>
          <bgColor theme="2" tint="-0.24994659260841701"/>
        </patternFill>
      </fill>
    </dxf>
    <dxf>
      <fill>
        <patternFill patternType="solid">
          <bgColor theme="0"/>
        </patternFill>
      </fill>
    </dxf>
    <dxf>
      <font>
        <color rgb="FF9C0006"/>
      </font>
      <fill>
        <patternFill>
          <bgColor rgb="FFFFC7CE"/>
        </patternFill>
      </fill>
    </dxf>
    <dxf>
      <font>
        <color rgb="FF9C0006"/>
      </font>
      <fill>
        <patternFill>
          <bgColor rgb="FFFFC7CE"/>
        </patternFill>
      </fill>
    </dxf>
    <dxf>
      <font>
        <color theme="2" tint="-0.24994659260841701"/>
      </font>
      <fill>
        <patternFill>
          <bgColor theme="2" tint="-0.24994659260841701"/>
        </patternFill>
      </fill>
    </dxf>
    <dxf>
      <font>
        <color theme="2" tint="-0.24994659260841701"/>
      </font>
      <fill>
        <patternFill>
          <bgColor theme="2" tint="-0.24994659260841701"/>
        </patternFill>
      </fill>
    </dxf>
    <dxf>
      <font>
        <color rgb="FF9C0006"/>
      </font>
      <fill>
        <patternFill>
          <bgColor rgb="FFFFC7CE"/>
        </patternFill>
      </fill>
    </dxf>
    <dxf>
      <font>
        <color rgb="FF9C0006"/>
      </font>
      <fill>
        <patternFill>
          <bgColor rgb="FFFFC7CE"/>
        </patternFill>
      </fill>
    </dxf>
    <dxf>
      <font>
        <color theme="2" tint="-0.24994659260841701"/>
      </font>
      <fill>
        <patternFill>
          <bgColor theme="2" tint="-0.24994659260841701"/>
        </patternFill>
      </fill>
    </dxf>
    <dxf>
      <font>
        <color auto="1"/>
      </font>
    </dxf>
    <dxf>
      <font>
        <color theme="3" tint="0.59996337778862885"/>
      </font>
    </dxf>
    <dxf>
      <font>
        <color theme="3" tint="0.59996337778862885"/>
      </font>
    </dxf>
    <dxf>
      <font>
        <color theme="2" tint="-0.24994659260841701"/>
      </font>
      <fill>
        <patternFill>
          <bgColor theme="2" tint="-0.24994659260841701"/>
        </patternFill>
      </fill>
    </dxf>
    <dxf>
      <font>
        <color theme="2" tint="-0.24994659260841701"/>
      </font>
      <fill>
        <patternFill>
          <bgColor theme="2" tint="-0.24994659260841701"/>
        </patternFill>
      </fill>
    </dxf>
    <dxf>
      <font>
        <color theme="3" tint="0.59996337778862885"/>
      </font>
    </dxf>
    <dxf>
      <font>
        <color theme="3" tint="0.59996337778862885"/>
      </font>
    </dxf>
    <dxf>
      <font>
        <color theme="3" tint="0.59996337778862885"/>
      </font>
    </dxf>
    <dxf>
      <font>
        <color theme="3" tint="0.59996337778862885"/>
      </font>
    </dxf>
    <dxf>
      <font>
        <color theme="2" tint="-0.24994659260841701"/>
      </font>
      <fill>
        <patternFill>
          <bgColor theme="2" tint="-0.24994659260841701"/>
        </patternFill>
      </fill>
    </dxf>
    <dxf>
      <font>
        <color theme="2" tint="-0.24994659260841701"/>
      </font>
      <fill>
        <patternFill>
          <bgColor theme="2" tint="-0.24994659260841701"/>
        </patternFill>
      </fill>
    </dxf>
    <dxf>
      <font>
        <color theme="2" tint="-0.24994659260841701"/>
      </font>
      <fill>
        <patternFill>
          <bgColor theme="2" tint="-0.24994659260841701"/>
        </patternFill>
      </fill>
    </dxf>
    <dxf>
      <font>
        <b val="0"/>
        <i val="0"/>
      </font>
      <fill>
        <patternFill>
          <bgColor theme="0"/>
        </patternFill>
      </fill>
    </dxf>
    <dxf>
      <fill>
        <patternFill>
          <bgColor theme="0"/>
        </patternFill>
      </fill>
    </dxf>
    <dxf>
      <fill>
        <patternFill>
          <bgColor theme="0"/>
        </patternFill>
      </fill>
    </dxf>
    <dxf>
      <font>
        <b/>
        <i val="0"/>
        <color theme="1"/>
      </font>
      <fill>
        <patternFill>
          <bgColor theme="3" tint="0.59996337778862885"/>
        </patternFill>
      </fill>
    </dxf>
    <dxf>
      <font>
        <color rgb="FF9C0006"/>
      </font>
      <fill>
        <patternFill>
          <bgColor rgb="FFFFC7CE"/>
        </patternFill>
      </fill>
    </dxf>
    <dxf>
      <font>
        <color theme="0"/>
      </font>
      <fill>
        <patternFill>
          <bgColor theme="0"/>
        </patternFill>
      </fill>
      <border>
        <left/>
        <right/>
        <top/>
        <bottom/>
      </border>
    </dxf>
    <dxf>
      <font>
        <color rgb="FF9C0006"/>
      </font>
      <fill>
        <patternFill>
          <bgColor rgb="FFFFC7CE"/>
        </patternFill>
      </fill>
    </dxf>
    <dxf>
      <font>
        <color rgb="FF9C0006"/>
      </font>
      <fill>
        <patternFill>
          <bgColor rgb="FFFFC7CE"/>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006100"/>
      </font>
      <fill>
        <patternFill>
          <bgColor rgb="FFC6EFCE"/>
        </patternFill>
      </fill>
    </dxf>
    <dxf>
      <font>
        <sz val="10"/>
      </font>
      <numFmt numFmtId="2" formatCode="0.00"/>
      <fill>
        <patternFill patternType="none">
          <fgColor indexed="64"/>
          <bgColor auto="1"/>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numFmt numFmtId="2" formatCode="0.00"/>
      <fill>
        <patternFill>
          <fgColor rgb="FF000000"/>
          <bgColor rgb="FFAEAAAA"/>
        </patternFill>
      </fill>
      <alignment horizontal="right" vertical="center" textRotation="0" wrapText="0" indent="0" justifyLastLine="0" shrinkToFit="0" readingOrder="0"/>
      <border>
        <left style="thin">
          <color theme="2" tint="-0.499984740745262"/>
        </left>
        <right style="thin">
          <color theme="2" tint="-0.499984740745262"/>
        </right>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rgb="FF757171"/>
        </top>
        <bottom style="thin">
          <color theme="2" tint="-0.499984740745262"/>
        </bottom>
      </border>
    </dxf>
    <dxf>
      <numFmt numFmtId="2" formatCode="0.00"/>
      <fill>
        <patternFill>
          <fgColor rgb="FF000000"/>
          <bgColor rgb="FFAEAAAA"/>
        </patternFill>
      </fill>
      <alignment horizontal="right" vertical="center" textRotation="0" wrapText="0" indent="0" justifyLastLine="0" shrinkToFit="0" readingOrder="0"/>
      <border>
        <left style="thin">
          <color theme="2" tint="-0.499984740745262"/>
        </left>
        <right style="thin">
          <color theme="2" tint="-0.499984740745262"/>
        </right>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family val="2"/>
        <scheme val="minor"/>
      </font>
      <numFmt numFmtId="2" formatCode="0.00"/>
      <fill>
        <patternFill patternType="solid">
          <fgColor rgb="FF000000"/>
          <bgColor rgb="FFAEAAAA"/>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numFmt numFmtId="2" formatCode="0.00"/>
      <fill>
        <patternFill>
          <fgColor rgb="FF000000"/>
          <bgColor rgb="FFAEAAAA"/>
        </patternFill>
      </fill>
      <alignment horizontal="right" vertical="center" textRotation="0" wrapText="0" indent="0" justifyLastLine="0" shrinkToFit="0" readingOrder="0"/>
      <border>
        <left style="thin">
          <color theme="2" tint="-0.499984740745262"/>
        </left>
        <right style="thin">
          <color theme="2" tint="-0.499984740745262"/>
        </right>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family val="2"/>
        <scheme val="minor"/>
      </font>
      <numFmt numFmtId="2" formatCode="0.00"/>
      <fill>
        <patternFill patternType="solid">
          <fgColor rgb="FF000000"/>
          <bgColor rgb="FFAEAAAA"/>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numFmt numFmtId="2" formatCode="0.00"/>
      <fill>
        <patternFill>
          <fgColor rgb="FF000000"/>
          <bgColor rgb="FFAEAAAA"/>
        </patternFill>
      </fill>
      <alignment horizontal="right" vertical="center" textRotation="0" wrapText="0" indent="0" justifyLastLine="0" shrinkToFit="0" readingOrder="0"/>
      <border>
        <left style="thin">
          <color theme="2" tint="-0.499984740745262"/>
        </left>
        <right style="thin">
          <color theme="2" tint="-0.499984740745262"/>
        </right>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family val="2"/>
        <scheme val="minor"/>
      </font>
      <numFmt numFmtId="2" formatCode="0.00"/>
      <fill>
        <patternFill patternType="solid">
          <fgColor rgb="FF000000"/>
          <bgColor rgb="FFAEAAAA"/>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numFmt numFmtId="2" formatCode="0.00"/>
      <fill>
        <patternFill>
          <fgColor rgb="FF000000"/>
          <bgColor rgb="FFAEAAAA"/>
        </patternFill>
      </fill>
      <alignment horizontal="right" vertical="center" textRotation="0" wrapText="0" indent="0" justifyLastLine="0" shrinkToFit="0" readingOrder="0"/>
      <border>
        <left style="thin">
          <color theme="2" tint="-0.499984740745262"/>
        </left>
        <right style="thin">
          <color theme="2" tint="-0.499984740745262"/>
        </right>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numFmt numFmtId="2" formatCode="0.00"/>
      <fill>
        <patternFill patternType="solid">
          <fgColor rgb="FF000000"/>
          <bgColor rgb="FFAEAAAA"/>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numFmt numFmtId="2" formatCode="0.00"/>
      <fill>
        <patternFill patternType="solid">
          <fgColor rgb="FF000000"/>
          <bgColor rgb="FFAEAAAA"/>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fill>
        <patternFill patternType="solid">
          <fgColor indexed="64"/>
          <bgColor theme="2" tint="-0.249977111117893"/>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fill>
        <patternFill patternType="solid">
          <fgColor indexed="64"/>
          <bgColor theme="2" tint="-0.249977111117893"/>
        </patternFill>
      </fill>
      <alignment horizontal="general"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border>
    </dxf>
    <dxf>
      <fill>
        <patternFill>
          <fgColor rgb="FF000000"/>
          <bgColor rgb="FFAEAAAA"/>
        </patternFill>
      </fill>
      <alignment vertical="center" textRotation="0" indent="0" justifyLastLine="0" shrinkToFit="0" readingOrder="0"/>
      <protection locked="1" hidden="0"/>
    </dxf>
    <dxf>
      <font>
        <b/>
        <i val="0"/>
        <strike val="0"/>
        <condense val="0"/>
        <extend val="0"/>
        <outline val="0"/>
        <shadow val="0"/>
        <u val="none"/>
        <vertAlign val="baseline"/>
        <sz val="10"/>
        <color theme="1"/>
        <name val="Calibri"/>
        <family val="2"/>
        <scheme val="minor"/>
      </font>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rgb="FF757171"/>
        </top>
        <bottom style="thin">
          <color theme="2" tint="-0.499984740745262"/>
        </bottom>
      </border>
    </dxf>
    <dxf>
      <border outline="0">
        <top style="thin">
          <color rgb="FF757171"/>
        </top>
      </border>
    </dxf>
    <dxf>
      <border outline="0">
        <bottom style="thin">
          <color rgb="FF757171"/>
        </bottom>
      </border>
    </dxf>
    <dxf>
      <border outline="0">
        <left style="thin">
          <color rgb="FF757171"/>
        </left>
        <right style="thin">
          <color rgb="FF757171"/>
        </right>
        <top style="thin">
          <color rgb="FF757171"/>
        </top>
        <bottom style="thin">
          <color rgb="FF757171"/>
        </bottom>
      </border>
    </dxf>
    <dxf>
      <font>
        <b/>
        <family val="2"/>
      </font>
      <protection locked="1" hidden="0"/>
    </dxf>
    <dxf>
      <fill>
        <patternFill>
          <fgColor rgb="FF000000"/>
          <bgColor rgb="FFAEAAAA"/>
        </patternFill>
      </fill>
      <alignment vertical="center" textRotation="0" indent="0" justifyLastLine="0" shrinkToFit="0" readingOrder="0"/>
      <protection locked="0" hidden="0"/>
    </dxf>
    <dxf>
      <font>
        <b/>
        <i val="0"/>
        <strike val="0"/>
        <condense val="0"/>
        <extend val="0"/>
        <outline val="0"/>
        <shadow val="0"/>
        <u val="none"/>
        <vertAlign val="baseline"/>
        <sz val="10"/>
        <color theme="1"/>
        <name val="Calibri"/>
        <scheme val="minor"/>
      </font>
      <fill>
        <patternFill patternType="solid">
          <fgColor indexed="64"/>
          <bgColor theme="3" tint="0.59999389629810485"/>
        </patternFill>
      </fill>
      <alignment horizontal="center" vertical="center" textRotation="0" wrapText="1" indent="0" justifyLastLine="0" shrinkToFit="0" readingOrder="0"/>
      <border diagonalUp="0" diagonalDown="0" outline="0">
        <left style="thin">
          <color theme="2" tint="-0.499984740745262"/>
        </left>
        <right style="thin">
          <color theme="2" tint="-0.499984740745262"/>
        </right>
        <top/>
        <bottom/>
      </border>
      <protection locked="0" hidden="0"/>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s>
  <tableStyles count="0" defaultTableStyle="TableStyleMedium2" defaultPivotStyle="PivotStyleLight16"/>
  <colors>
    <mruColors>
      <color rgb="FF3366CC"/>
      <color rgb="FF000099"/>
      <color rgb="FFFFC7CE"/>
      <color rgb="FF9C0006"/>
      <color rgb="FFFFC4CD"/>
      <color rgb="FFC6EFCE"/>
      <color rgb="FF0061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500B1-A12D-4C11-A305-7D59A097C682}" name="Resource_Rates_Table56" displayName="Resource_Rates_Table56" ref="B9:BV120" totalsRowCount="1" headerRowDxfId="469" dataDxfId="468" totalsRowDxfId="467" headerRowBorderDxfId="465" tableBorderDxfId="466" totalsRowBorderDxfId="464">
  <autoFilter ref="B9:BV119" xr:uid="{00000000-0009-0000-0100-000001000000}"/>
  <tableColumns count="73">
    <tableColumn id="14" xr3:uid="{FCD459CC-CD51-4069-B5C4-5A3D2CF6A435}" name="Resource Area" dataDxfId="462" totalsRowDxfId="463"/>
    <tableColumn id="3" xr3:uid="{426F2B2E-2B61-4853-8BE4-1A18FDAEE092}" name="Resource Title" totalsRowLabel="Total Hours" dataDxfId="460" totalsRowDxfId="461"/>
    <tableColumn id="7" xr3:uid="{F6CCBF09-B9E1-4E99-B905-48C910EC00A3}" name="Project Total" totalsRowFunction="custom" dataDxfId="458" totalsRowDxfId="459">
      <calculatedColumnFormula>SUM(Resource_Rates_Table56[[#This Row],[Year 1 Hours]],Resource_Rates_Table56[[#This Row],[Year 2 Hours]],Resource_Rates_Table56[[#This Row],[Year 3 Hours]],Resource_Rates_Table56[[#This Row],[Year 4 Hours]],Resource_Rates_Table56[[#This Row],[Year 5 Hours]])</calculatedColumnFormula>
      <totalsRowFormula>SUM(Resource_Rates_Table56[Project Total])</totalsRowFormula>
    </tableColumn>
    <tableColumn id="1" xr3:uid="{C014BE52-2ACD-4B62-A38B-53A7B2AD56E9}" name="Year 1 Hours" totalsRowFunction="custom" dataDxfId="456" totalsRowDxfId="457">
      <calculatedColumnFormula>SUM(O10:Z10)</calculatedColumnFormula>
      <totalsRowFormula>SUM(Resource_Rates_Table56[Year 1 Hours])</totalsRowFormula>
    </tableColumn>
    <tableColumn id="9" xr3:uid="{44630CCA-9939-40F0-9D20-2B7168BC5B66}" name="Year 1 FTE Count" totalsRowFunction="sum" dataDxfId="454" totalsRowDxfId="455">
      <calculatedColumnFormula>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calculatedColumnFormula>
    </tableColumn>
    <tableColumn id="2" xr3:uid="{9A488924-F799-4662-8C2A-AC07FAC41528}" name="Year 2 Hours" totalsRowFunction="custom" dataDxfId="452" totalsRowDxfId="453">
      <calculatedColumnFormula>SUM(AA10:AL10)</calculatedColumnFormula>
      <totalsRowFormula>SUM(Resource_Rates_Table56[Year 2 Hours])</totalsRowFormula>
    </tableColumn>
    <tableColumn id="10" xr3:uid="{1F597DBC-63FD-46DC-BDA0-7238D3C47827}" name="Year 2 FTE Count" totalsRowFunction="sum" dataDxfId="450" totalsRowDxfId="451">
      <calculatedColumnFormula>IFERROR(Resource_Rates_Table56[[#This Row],[Year 2 Hours]]/((IF(AND($D$4&gt;12,$D$4&lt;25),$D$4-12,IF($D$4&gt;24,12,"N/A")))*IF(VLOOKUP(Resource_Rates_Table56[[#This Row],[Resource Title]],'Resource Descriptions'!$D$6:$J$112,7,FALSE)="Onshore",$F$4,$F$5)),"N/A")</calculatedColumnFormula>
    </tableColumn>
    <tableColumn id="4" xr3:uid="{BD1199EA-F11F-40F7-88DB-127601415B79}" name="Year 3 Hours" totalsRowFunction="custom" dataDxfId="448" totalsRowDxfId="449">
      <calculatedColumnFormula>SUM(AM10:AX10)</calculatedColumnFormula>
      <totalsRowFormula>SUM(Resource_Rates_Table56[Year 3 Hours])</totalsRowFormula>
    </tableColumn>
    <tableColumn id="12" xr3:uid="{EE790373-81EE-472A-9558-1A66BE94F4AF}" name="Year 3 FTE Count" totalsRowFunction="sum" dataDxfId="446" totalsRowDxfId="447">
      <calculatedColumnFormula>IFERROR(Resource_Rates_Table56[[#This Row],[Year 3 Hours]]/((IF(AND($D$4&gt;24,$D$4&lt;37),$D$4-24,IF($D$4&gt;36,12,"N/A")))*IF(VLOOKUP(Resource_Rates_Table56[[#This Row],[Resource Title]],'Resource Descriptions'!$D$6:$J$112,7,FALSE)="Onshore",$F$4,$F$5)),"N/A")</calculatedColumnFormula>
    </tableColumn>
    <tableColumn id="5" xr3:uid="{82FB5260-E8E2-4A14-B6A5-9A27F0F1FEF3}" name="Year 4 Hours" totalsRowFunction="custom" dataDxfId="444" totalsRowDxfId="445">
      <calculatedColumnFormula>SUM(AY10:BJ10)</calculatedColumnFormula>
      <totalsRowFormula>SUM(Resource_Rates_Table56[Year 4 Hours])</totalsRowFormula>
    </tableColumn>
    <tableColumn id="11" xr3:uid="{7ECAF068-3B81-4565-8FF2-F8D909000DD4}" name="Year 4 FTE Count" totalsRowFunction="sum" dataDxfId="442" totalsRowDxfId="443">
      <calculatedColumnFormula>IFERROR(Resource_Rates_Table56[[#This Row],[Year 4 Hours]]/((IF(AND($D$4&gt;36,$D$4&lt;49),$D$4-36,IF($D$4&gt;48,12,"N/A")))*IF(VLOOKUP(Resource_Rates_Table56[[#This Row],[Resource Title]],'Resource Descriptions'!$D$6:$J$112,7,FALSE)="Onshore",$F$4,$F$5)),"N/A")</calculatedColumnFormula>
    </tableColumn>
    <tableColumn id="6" xr3:uid="{5A70F97F-C6AB-433A-B4A5-C424485D8D2C}" name="Year 5 Hours" totalsRowFunction="custom" dataDxfId="440" totalsRowDxfId="441">
      <calculatedColumnFormula>SUM(BK10:BV10)</calculatedColumnFormula>
      <totalsRowFormula>SUM(Resource_Rates_Table56[Year 5 Hours])</totalsRowFormula>
    </tableColumn>
    <tableColumn id="13" xr3:uid="{DA096911-C89D-4F18-8890-8A42E0FAF850}" name="Year 5 FTE Count" totalsRowFunction="sum" dataDxfId="438" totalsRowDxfId="439">
      <calculatedColumnFormula>IFERROR(Resource_Rates_Table56[[#This Row],[Year 5 Hours]]/((IF(AND($D$4&gt;48,$D$4&lt;61),$D$4-48,IF($D$4&gt;60,12,"N/A")))*IF(VLOOKUP(Resource_Rates_Table56[[#This Row],[Resource Title]],'Resource Descriptions'!$D$6:$J$112,7,FALSE)="Onshore",$F$4,$F$5)),"N/A")</calculatedColumnFormula>
    </tableColumn>
    <tableColumn id="15" xr3:uid="{66EAC7F7-2344-4B14-88DE-31B5FEFF01C0}" name="M1" totalsRowFunction="sum" dataDxfId="436" totalsRowDxfId="437"/>
    <tableColumn id="16" xr3:uid="{137EB3C8-984F-4A69-AB10-FFF30E81BA98}" name="M2" totalsRowFunction="sum" dataDxfId="434" totalsRowDxfId="435"/>
    <tableColumn id="17" xr3:uid="{EA9DE25D-6065-44A3-9272-6F35B10AF7D5}" name="M3" totalsRowFunction="sum" dataDxfId="432" totalsRowDxfId="433"/>
    <tableColumn id="18" xr3:uid="{609875AC-72B9-43CA-95BE-526F99FBC789}" name="M4" totalsRowFunction="sum" dataDxfId="430" totalsRowDxfId="431"/>
    <tableColumn id="19" xr3:uid="{DAFCFD39-7312-4F78-9C5A-D2AF57C41AA4}" name="M5" totalsRowFunction="sum" dataDxfId="428" totalsRowDxfId="429"/>
    <tableColumn id="20" xr3:uid="{E88BC1BD-83CF-4CAF-9D98-74AFF63220AF}" name="M6" totalsRowFunction="sum" dataDxfId="426" totalsRowDxfId="427"/>
    <tableColumn id="21" xr3:uid="{39765DA7-495A-4F7B-9115-DC1A0812AAEE}" name="M7" totalsRowFunction="sum" dataDxfId="424" totalsRowDxfId="425"/>
    <tableColumn id="22" xr3:uid="{653657D4-241D-4345-BE8A-804930C55A90}" name="M8" totalsRowFunction="sum" dataDxfId="422" totalsRowDxfId="423"/>
    <tableColumn id="23" xr3:uid="{DF079CBA-3BD0-4212-9241-E276520C6275}" name="M9" totalsRowFunction="sum" dataDxfId="420" totalsRowDxfId="421"/>
    <tableColumn id="24" xr3:uid="{4745C061-E849-4EBD-B0D9-9DC1ABA713C3}" name="M10" totalsRowFunction="sum" dataDxfId="418" totalsRowDxfId="419"/>
    <tableColumn id="25" xr3:uid="{0916E070-1448-4423-B2ED-BA77A48CA398}" name="M11" totalsRowFunction="sum" dataDxfId="416" totalsRowDxfId="417"/>
    <tableColumn id="26" xr3:uid="{0104C00F-169B-4EF0-82E1-8403D1F8570E}" name="M12" totalsRowFunction="sum" dataDxfId="414" totalsRowDxfId="415"/>
    <tableColumn id="27" xr3:uid="{45E495AA-8CDD-42A9-9245-EE6CD91A7E40}" name="M13" totalsRowFunction="sum" dataDxfId="412" totalsRowDxfId="413"/>
    <tableColumn id="28" xr3:uid="{424DCF25-17A4-425D-B2D9-0BFA50DF98FB}" name="M14" totalsRowFunction="sum" dataDxfId="410" totalsRowDxfId="411"/>
    <tableColumn id="29" xr3:uid="{A543800D-0A9B-4325-97FB-D6B537E83739}" name="M15" totalsRowFunction="sum" dataDxfId="408" totalsRowDxfId="409"/>
    <tableColumn id="30" xr3:uid="{2825C21A-45CF-48C3-984A-40FA1513328B}" name="M16" totalsRowFunction="sum" dataDxfId="406" totalsRowDxfId="407"/>
    <tableColumn id="31" xr3:uid="{ACEC89BD-2F44-407B-B1FF-41F971CC2B25}" name="M17" totalsRowFunction="sum" dataDxfId="404" totalsRowDxfId="405"/>
    <tableColumn id="32" xr3:uid="{35EF47AB-AF7B-4BB9-8FCC-5E37D198646D}" name="M18" totalsRowFunction="sum" dataDxfId="402" totalsRowDxfId="403"/>
    <tableColumn id="33" xr3:uid="{F0AF1233-F8D5-4974-BCA0-5289981A131B}" name="M19" totalsRowFunction="sum" dataDxfId="400" totalsRowDxfId="401"/>
    <tableColumn id="34" xr3:uid="{636D571E-6EDA-4F76-9F8C-F2E29AEF0BCD}" name="M20" totalsRowFunction="sum" dataDxfId="398" totalsRowDxfId="399"/>
    <tableColumn id="35" xr3:uid="{8782C310-240F-4001-9CC0-E6BE4CBDED64}" name="M21" totalsRowFunction="sum" dataDxfId="396" totalsRowDxfId="397"/>
    <tableColumn id="36" xr3:uid="{3D2F02C6-52FF-4D2D-92D4-779F3A53BEE8}" name="M22" totalsRowFunction="sum" dataDxfId="394" totalsRowDxfId="395"/>
    <tableColumn id="37" xr3:uid="{7C414299-F1EA-48BE-9ABC-4538D2658956}" name="M23" totalsRowFunction="sum" dataDxfId="392" totalsRowDxfId="393"/>
    <tableColumn id="38" xr3:uid="{885569BF-2B6C-4A32-B439-9635512F6BE7}" name="M24" totalsRowFunction="sum" dataDxfId="390" totalsRowDxfId="391"/>
    <tableColumn id="39" xr3:uid="{874AEB81-9BF6-42FD-A006-8E6B5B1C905C}" name="M25" totalsRowFunction="sum" dataDxfId="388" totalsRowDxfId="389"/>
    <tableColumn id="40" xr3:uid="{E708F5EC-ADCE-4EF6-8A4C-F3C3AA9A536F}" name="M26" totalsRowFunction="sum" dataDxfId="386" totalsRowDxfId="387"/>
    <tableColumn id="41" xr3:uid="{0BFA549D-0D04-4DC1-AB1B-B6C48DACF877}" name="M27" totalsRowFunction="sum" dataDxfId="384" totalsRowDxfId="385"/>
    <tableColumn id="42" xr3:uid="{10554476-44A0-4B79-9278-4DA27BC22596}" name="M28" totalsRowFunction="sum" dataDxfId="382" totalsRowDxfId="383"/>
    <tableColumn id="43" xr3:uid="{BC229E13-B52A-415E-875F-8EC2E96CB8E6}" name="M29" totalsRowFunction="sum" dataDxfId="380" totalsRowDxfId="381"/>
    <tableColumn id="44" xr3:uid="{187A2125-D801-4AC1-AC76-146111B13913}" name="M30" totalsRowFunction="sum" dataDxfId="378" totalsRowDxfId="379"/>
    <tableColumn id="45" xr3:uid="{F7B137B6-0BED-4583-83E2-329898DE6BC3}" name="M31" totalsRowFunction="sum" dataDxfId="376" totalsRowDxfId="377"/>
    <tableColumn id="46" xr3:uid="{83B5F401-66FC-4F2A-A0CC-92DC5B5AD9A1}" name="M32" totalsRowFunction="sum" dataDxfId="374" totalsRowDxfId="375"/>
    <tableColumn id="47" xr3:uid="{4A96F3DF-6A59-42CB-9A93-A7E0DE558EEB}" name="M33" totalsRowFunction="sum" dataDxfId="372" totalsRowDxfId="373"/>
    <tableColumn id="48" xr3:uid="{47913AF2-28FC-4BE2-9726-B290BA1BF95F}" name="M34" totalsRowFunction="sum" dataDxfId="370" totalsRowDxfId="371"/>
    <tableColumn id="49" xr3:uid="{EF9587E1-D360-4CF0-821B-C37F3A878161}" name="M35" totalsRowFunction="sum" dataDxfId="368" totalsRowDxfId="369"/>
    <tableColumn id="50" xr3:uid="{4A3AE675-DF88-4404-8618-DE64D8651131}" name="M36" totalsRowFunction="sum" dataDxfId="366" totalsRowDxfId="367"/>
    <tableColumn id="51" xr3:uid="{4F275959-EBF4-4A91-805C-BE5E6F1AD066}" name="M37" totalsRowFunction="sum" dataDxfId="364" totalsRowDxfId="365"/>
    <tableColumn id="52" xr3:uid="{EE3A0472-1451-47D2-A964-46064AF82FA2}" name="M38" totalsRowFunction="sum" dataDxfId="362" totalsRowDxfId="363"/>
    <tableColumn id="53" xr3:uid="{04D5A364-9A54-4E02-8C29-770F20E462EE}" name="M39" totalsRowFunction="sum" dataDxfId="360" totalsRowDxfId="361"/>
    <tableColumn id="54" xr3:uid="{F0BDDFB1-A14E-40AB-99B0-520841F29C88}" name="M40" totalsRowFunction="sum" dataDxfId="358" totalsRowDxfId="359"/>
    <tableColumn id="55" xr3:uid="{BFCA0576-7426-441E-940F-1DF4CF3A0E9C}" name="M41" totalsRowFunction="sum" dataDxfId="356" totalsRowDxfId="357"/>
    <tableColumn id="56" xr3:uid="{24B3BF65-CA4D-4876-8CDD-0647B176221E}" name="M42" totalsRowFunction="sum" dataDxfId="354" totalsRowDxfId="355"/>
    <tableColumn id="57" xr3:uid="{68CFB5D5-AA48-47F2-A640-1C1C56C4BC37}" name="M43" totalsRowFunction="sum" dataDxfId="352" totalsRowDxfId="353"/>
    <tableColumn id="58" xr3:uid="{B7E46ADF-DE2A-44D5-AB16-6B5EA9E1E28E}" name="M44" totalsRowFunction="sum" dataDxfId="350" totalsRowDxfId="351"/>
    <tableColumn id="59" xr3:uid="{8F93D474-4609-4C97-BFB1-15DEBF677043}" name="M45" totalsRowFunction="sum" dataDxfId="348" totalsRowDxfId="349"/>
    <tableColumn id="60" xr3:uid="{04BE0A51-93CC-40DC-ABE6-84DEDC2F7F5F}" name="M46" totalsRowFunction="sum" dataDxfId="346" totalsRowDxfId="347"/>
    <tableColumn id="61" xr3:uid="{D283BBBD-E89C-4215-8392-5C4046F8B557}" name="M47" totalsRowFunction="sum" dataDxfId="344" totalsRowDxfId="345"/>
    <tableColumn id="62" xr3:uid="{A1011E31-5F80-48C7-A883-FC8ACAAFE25B}" name="M48" totalsRowFunction="sum" dataDxfId="342" totalsRowDxfId="343"/>
    <tableColumn id="63" xr3:uid="{CCDD916C-DA86-4EE6-936A-106722BABD45}" name="M49" totalsRowFunction="sum" dataDxfId="340" totalsRowDxfId="341"/>
    <tableColumn id="64" xr3:uid="{6A8CCA5C-2DF9-48A1-A9C2-6EB2CAD54444}" name="M50" totalsRowFunction="sum" dataDxfId="338" totalsRowDxfId="339"/>
    <tableColumn id="65" xr3:uid="{8BC949F5-5D92-4A18-A5ED-D41C4F2A6056}" name="M51" totalsRowFunction="sum" dataDxfId="336" totalsRowDxfId="337"/>
    <tableColumn id="66" xr3:uid="{995DE94B-36CF-4DCD-908A-3117A2305C34}" name="M52" totalsRowFunction="sum" dataDxfId="334" totalsRowDxfId="335"/>
    <tableColumn id="67" xr3:uid="{13148C1E-1C91-4713-A899-190D902B6CF0}" name="M53" totalsRowFunction="sum" dataDxfId="332" totalsRowDxfId="333"/>
    <tableColumn id="68" xr3:uid="{030FBBA4-DBE3-46A7-9E6F-6E21AD7F390E}" name="M54" totalsRowFunction="sum" dataDxfId="330" totalsRowDxfId="331"/>
    <tableColumn id="69" xr3:uid="{742BCF0F-6401-437B-902C-A710530CAA7B}" name="M55" totalsRowFunction="sum" dataDxfId="328" totalsRowDxfId="329"/>
    <tableColumn id="70" xr3:uid="{AB284585-F6AE-4D2B-9B46-4D9819CC6F89}" name="M56" totalsRowFunction="sum" dataDxfId="326" totalsRowDxfId="327"/>
    <tableColumn id="71" xr3:uid="{A6968F99-C8CE-4049-9B56-9B434E689AAB}" name="M57" totalsRowFunction="sum" dataDxfId="324" totalsRowDxfId="325"/>
    <tableColumn id="72" xr3:uid="{9CB90BCF-F8EF-4C98-A95F-1AF0EC5F7226}" name="M58" totalsRowFunction="sum" dataDxfId="322" totalsRowDxfId="323"/>
    <tableColumn id="73" xr3:uid="{550C3BB4-71D1-4AC1-8113-514976993711}" name="M59" totalsRowFunction="sum" dataDxfId="320" totalsRowDxfId="321"/>
    <tableColumn id="74" xr3:uid="{447AF277-A554-4242-8692-F6CF16099F86}" name="M60" totalsRowFunction="sum" dataDxfId="318" totalsRowDxfId="31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source_Rates_Table" displayName="Resource_Rates_Table" ref="D5:J112" totalsRowShown="0" headerRowDxfId="26" dataDxfId="25" headerRowBorderDxfId="23" tableBorderDxfId="24" totalsRowBorderDxfId="22">
  <autoFilter ref="D5:J112" xr:uid="{00000000-0009-0000-0100-000001000000}">
    <filterColumn colId="0" hiddenButton="1"/>
    <filterColumn colId="1" hiddenButton="1"/>
    <filterColumn colId="2" hiddenButton="1"/>
    <filterColumn colId="3" hiddenButton="1"/>
    <filterColumn colId="4" hiddenButton="1"/>
    <filterColumn colId="5" hiddenButton="1"/>
    <filterColumn colId="6" hiddenButton="1"/>
  </autoFilter>
  <sortState xmlns:xlrd2="http://schemas.microsoft.com/office/spreadsheetml/2017/richdata2" ref="B6:I112">
    <sortCondition ref="C5:C112"/>
  </sortState>
  <tableColumns count="7">
    <tableColumn id="3" xr3:uid="{00000000-0010-0000-0000-000003000000}" name="Resource Title" dataDxfId="21"/>
    <tableColumn id="4" xr3:uid="{00000000-0010-0000-0000-000004000000}" name="Resource Description" dataDxfId="20"/>
    <tableColumn id="5" xr3:uid="{00000000-0010-0000-0000-000005000000}" name="Resource Regular Rate" dataDxfId="19"/>
    <tableColumn id="6" xr3:uid="{00000000-0010-0000-0000-000006000000}" name="Resource OT Rate" dataDxfId="18"/>
    <tableColumn id="7" xr3:uid="{00000000-0010-0000-0000-000007000000}" name="2nd Shift Rate" dataDxfId="17"/>
    <tableColumn id="8" xr3:uid="{00000000-0010-0000-0000-000008000000}" name="3rd Shift Rate" dataDxfId="16"/>
    <tableColumn id="1" xr3:uid="{8FFFF621-F202-4B1D-8D73-D0870D552C4A}" name="Onshore/Offshore" dataDxfId="1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hift_Selections_Population" displayName="Shift_Selections_Population" ref="G17:J121" totalsRowShown="0" headerRowDxfId="14" headerRowBorderDxfId="12" tableBorderDxfId="13" totalsRowBorderDxfId="11">
  <autoFilter ref="G17:J121" xr:uid="{00000000-0009-0000-0100-000002000000}"/>
  <sortState xmlns:xlrd2="http://schemas.microsoft.com/office/spreadsheetml/2017/richdata2" ref="G17:J77">
    <sortCondition ref="G16:G77"/>
  </sortState>
  <tableColumns count="4">
    <tableColumn id="1" xr3:uid="{00000000-0010-0000-0100-000001000000}" name="Resource Type" dataDxfId="10"/>
    <tableColumn id="2" xr3:uid="{00000000-0010-0000-0100-000002000000}" name="Start" dataDxfId="9">
      <calculatedColumnFormula>MATCH(G18,$B$20:$B$313,0)-1</calculatedColumnFormula>
    </tableColumn>
    <tableColumn id="3" xr3:uid="{00000000-0010-0000-0100-000003000000}" name="End" dataDxfId="8">
      <calculatedColumnFormula>MATCH(G18,$B$20:$B$313,1)-1</calculatedColumnFormula>
    </tableColumn>
    <tableColumn id="4" xr3:uid="{00000000-0010-0000-0100-000004000000}" name="Length" dataDxfId="7">
      <calculatedColumnFormula>I18-H18+1</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hift_Selection" displayName="Shift_Selection" ref="B19:C313" totalsRowShown="0" headerRowDxfId="6" headerRowBorderDxfId="4" tableBorderDxfId="5" totalsRowBorderDxfId="3">
  <autoFilter ref="B19:C313" xr:uid="{00000000-0009-0000-0100-000003000000}"/>
  <tableColumns count="2">
    <tableColumn id="1" xr3:uid="{00000000-0010-0000-0200-000001000000}" name="Resource Type" dataDxfId="2"/>
    <tableColumn id="2" xr3:uid="{00000000-0010-0000-0200-000002000000}" name="Shift" data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file:///C:/sites/policies_portal/sitepages/zones-inventory-policy.aspx" TargetMode="External"/><Relationship Id="rId1" Type="http://schemas.openxmlformats.org/officeDocument/2006/relationships/hyperlink" Target="https://www.zones.com/site/statics/static_page.html?name=corporate/terms-and-conditions/return-policy"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6887F-EE30-6C40-AF38-F7E8672B09E0}">
  <dimension ref="B1:N9"/>
  <sheetViews>
    <sheetView tabSelected="1" workbookViewId="0">
      <selection activeCell="C4" sqref="C4:G5"/>
    </sheetView>
  </sheetViews>
  <sheetFormatPr defaultColWidth="10.85546875" defaultRowHeight="15.95"/>
  <cols>
    <col min="1" max="1" width="10.85546875" style="295"/>
    <col min="2" max="2" width="37.42578125" style="295" customWidth="1"/>
    <col min="3" max="12" width="10.85546875" style="295"/>
    <col min="13" max="13" width="16.140625" style="295" customWidth="1"/>
    <col min="14" max="14" width="13.42578125" style="295" customWidth="1"/>
    <col min="15" max="16384" width="10.85546875" style="295"/>
  </cols>
  <sheetData>
    <row r="1" spans="2:14">
      <c r="C1" s="296" t="s">
        <v>0</v>
      </c>
      <c r="D1" s="296" t="s">
        <v>1</v>
      </c>
      <c r="E1" s="296" t="s">
        <v>2</v>
      </c>
      <c r="F1" s="296" t="s">
        <v>3</v>
      </c>
      <c r="G1" s="296" t="s">
        <v>4</v>
      </c>
      <c r="H1" s="296" t="s">
        <v>5</v>
      </c>
      <c r="I1" s="296" t="s">
        <v>6</v>
      </c>
      <c r="J1" s="296" t="s">
        <v>7</v>
      </c>
      <c r="K1" s="296" t="s">
        <v>8</v>
      </c>
      <c r="L1" s="296" t="s">
        <v>9</v>
      </c>
      <c r="M1" s="297"/>
      <c r="N1" s="297">
        <v>40</v>
      </c>
    </row>
    <row r="2" spans="2:14">
      <c r="C2" s="301" t="s">
        <v>10</v>
      </c>
      <c r="D2" s="301"/>
      <c r="E2" s="301" t="s">
        <v>11</v>
      </c>
      <c r="F2" s="301"/>
      <c r="G2" s="301"/>
      <c r="H2" s="301" t="s">
        <v>12</v>
      </c>
      <c r="I2" s="301"/>
      <c r="J2" s="301"/>
      <c r="K2" s="301"/>
      <c r="L2" s="299" t="s">
        <v>13</v>
      </c>
      <c r="M2" s="297" t="s">
        <v>14</v>
      </c>
      <c r="N2" s="297" t="s">
        <v>15</v>
      </c>
    </row>
    <row r="3" spans="2:14">
      <c r="B3" s="298"/>
      <c r="C3" s="298"/>
      <c r="D3" s="298"/>
      <c r="E3" s="298"/>
      <c r="F3" s="298"/>
      <c r="G3" s="298"/>
      <c r="H3" s="296" t="s">
        <v>16</v>
      </c>
      <c r="I3" s="296" t="s">
        <v>17</v>
      </c>
      <c r="J3" s="302" t="s">
        <v>18</v>
      </c>
      <c r="K3" s="302"/>
      <c r="L3" s="298"/>
      <c r="M3" s="297"/>
      <c r="N3" s="297"/>
    </row>
    <row r="4" spans="2:14">
      <c r="B4" s="300" t="s">
        <v>19</v>
      </c>
      <c r="C4" s="297">
        <v>0.25</v>
      </c>
      <c r="D4" s="297">
        <v>0.25</v>
      </c>
      <c r="E4" s="297">
        <v>0.25</v>
      </c>
      <c r="F4" s="297">
        <v>0.25</v>
      </c>
      <c r="G4" s="297">
        <v>0.25</v>
      </c>
      <c r="H4" s="297">
        <v>0.25</v>
      </c>
      <c r="I4" s="297">
        <v>0.25</v>
      </c>
      <c r="J4" s="297">
        <v>0.25</v>
      </c>
      <c r="K4" s="297">
        <v>0.25</v>
      </c>
      <c r="L4" s="297">
        <v>0.25</v>
      </c>
      <c r="M4" s="297">
        <f>SUM(C4:L4)</f>
        <v>2.5</v>
      </c>
      <c r="N4" s="297">
        <f>M4*$N$1</f>
        <v>100</v>
      </c>
    </row>
    <row r="5" spans="2:14">
      <c r="B5" s="300" t="s">
        <v>20</v>
      </c>
      <c r="C5" s="297">
        <v>1</v>
      </c>
      <c r="D5" s="297">
        <v>1</v>
      </c>
      <c r="E5" s="297">
        <v>1</v>
      </c>
      <c r="F5" s="297">
        <v>1</v>
      </c>
      <c r="G5" s="297">
        <v>1</v>
      </c>
      <c r="H5" s="297">
        <v>1</v>
      </c>
      <c r="I5" s="297">
        <v>1</v>
      </c>
      <c r="J5" s="297">
        <v>1</v>
      </c>
      <c r="K5" s="297">
        <v>1</v>
      </c>
      <c r="L5" s="297">
        <v>1</v>
      </c>
      <c r="M5" s="297">
        <f t="shared" ref="M5:M6" si="0">SUM(C5:L5)</f>
        <v>10</v>
      </c>
      <c r="N5" s="297">
        <f t="shared" ref="N5:N6" si="1">M5*$N$1</f>
        <v>400</v>
      </c>
    </row>
    <row r="6" spans="2:14">
      <c r="B6" s="300" t="s">
        <v>21</v>
      </c>
      <c r="C6" s="297">
        <v>0.25</v>
      </c>
      <c r="D6" s="297">
        <v>0.25</v>
      </c>
      <c r="E6" s="297">
        <v>0.25</v>
      </c>
      <c r="F6" s="297">
        <v>0.25</v>
      </c>
      <c r="G6" s="297">
        <v>0.25</v>
      </c>
      <c r="H6" s="297">
        <v>0.25</v>
      </c>
      <c r="I6" s="297">
        <v>0.25</v>
      </c>
      <c r="J6" s="297">
        <v>0.25</v>
      </c>
      <c r="K6" s="297">
        <v>0.25</v>
      </c>
      <c r="L6" s="297">
        <v>0.25</v>
      </c>
      <c r="M6" s="297">
        <f t="shared" si="0"/>
        <v>2.5</v>
      </c>
      <c r="N6" s="297">
        <f t="shared" si="1"/>
        <v>100</v>
      </c>
    </row>
    <row r="9" spans="2:14">
      <c r="C9" s="295">
        <f>6.25*40</f>
        <v>250</v>
      </c>
    </row>
  </sheetData>
  <mergeCells count="4">
    <mergeCell ref="C2:D2"/>
    <mergeCell ref="E2:G2"/>
    <mergeCell ref="H2:K2"/>
    <mergeCell ref="J3:K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57B5A-5D39-4422-B1B8-DA6594AC728D}">
  <sheetPr codeName="Sheet19">
    <tabColor rgb="FFFFC000"/>
  </sheetPr>
  <dimension ref="B2:BV120"/>
  <sheetViews>
    <sheetView showGridLines="0" zoomScale="80" zoomScaleNormal="80" workbookViewId="0">
      <pane xSplit="4" topLeftCell="E1" activePane="topRight" state="frozen"/>
      <selection pane="topRight" activeCell="B4" sqref="B4:C5"/>
    </sheetView>
  </sheetViews>
  <sheetFormatPr defaultColWidth="8.85546875" defaultRowHeight="15"/>
  <cols>
    <col min="1" max="1" width="3.42578125" style="33" customWidth="1"/>
    <col min="2" max="2" width="21.42578125" style="33" bestFit="1" customWidth="1"/>
    <col min="3" max="3" width="34.85546875" style="33" bestFit="1" customWidth="1"/>
    <col min="4" max="14" width="10" style="33" customWidth="1"/>
    <col min="15" max="74" width="10.42578125" style="33" customWidth="1"/>
    <col min="75" max="16384" width="8.85546875" style="33"/>
  </cols>
  <sheetData>
    <row r="2" spans="2:74">
      <c r="B2" s="32"/>
      <c r="C2" s="32"/>
      <c r="D2" s="32"/>
      <c r="E2" s="32"/>
      <c r="F2" s="32"/>
    </row>
    <row r="3" spans="2:74" s="81" customFormat="1" ht="30">
      <c r="B3" s="312"/>
      <c r="C3" s="313"/>
      <c r="D3" s="80" t="s">
        <v>22</v>
      </c>
      <c r="E3" s="80" t="s">
        <v>23</v>
      </c>
      <c r="F3" s="80" t="s">
        <v>24</v>
      </c>
    </row>
    <row r="4" spans="2:74">
      <c r="B4" s="303" t="s">
        <v>25</v>
      </c>
      <c r="C4" s="304"/>
      <c r="D4" s="310">
        <f>COUNTIF(Resource_Rates_Table56[[#Totals],[M1]:[M60]],"&gt;0")</f>
        <v>0</v>
      </c>
      <c r="E4" s="23" t="s">
        <v>26</v>
      </c>
      <c r="F4" s="23">
        <v>160</v>
      </c>
    </row>
    <row r="5" spans="2:74">
      <c r="B5" s="305"/>
      <c r="C5" s="306"/>
      <c r="D5" s="311"/>
      <c r="E5" s="23" t="s">
        <v>27</v>
      </c>
      <c r="F5" s="23">
        <v>176</v>
      </c>
    </row>
    <row r="7" spans="2:74">
      <c r="B7" s="32"/>
      <c r="C7" s="32"/>
      <c r="D7" s="32"/>
      <c r="E7" s="32"/>
      <c r="F7" s="32"/>
      <c r="G7" s="32"/>
      <c r="H7" s="32"/>
      <c r="I7" s="32"/>
      <c r="J7" s="32"/>
      <c r="K7" s="32"/>
      <c r="L7" s="32"/>
      <c r="M7" s="32"/>
      <c r="N7" s="32"/>
      <c r="O7" s="82" t="s">
        <v>28</v>
      </c>
      <c r="P7" s="78"/>
      <c r="Q7" s="78"/>
      <c r="R7" s="78"/>
      <c r="S7" s="78"/>
      <c r="T7" s="78"/>
      <c r="U7" s="78"/>
      <c r="V7" s="78"/>
      <c r="W7" s="78"/>
      <c r="X7" s="78"/>
      <c r="Y7" s="78"/>
      <c r="Z7" s="78"/>
      <c r="AA7" s="78"/>
      <c r="AB7" s="78"/>
      <c r="AC7" s="78"/>
      <c r="AD7" s="78"/>
      <c r="AE7" s="78"/>
      <c r="AF7" s="78"/>
      <c r="AG7" s="78"/>
      <c r="AH7" s="78"/>
      <c r="AI7" s="78"/>
      <c r="AJ7" s="78"/>
      <c r="AK7" s="78"/>
      <c r="AL7" s="78"/>
      <c r="AM7" s="78"/>
      <c r="AN7" s="78"/>
      <c r="AO7" s="78"/>
      <c r="AP7" s="78"/>
      <c r="AQ7" s="78"/>
      <c r="AR7" s="78"/>
      <c r="AS7" s="78"/>
      <c r="AT7" s="78"/>
      <c r="AU7" s="78"/>
      <c r="AV7" s="78"/>
      <c r="AW7" s="78"/>
      <c r="AX7" s="78"/>
      <c r="AY7" s="78"/>
      <c r="AZ7" s="78"/>
      <c r="BA7" s="78"/>
      <c r="BB7" s="78"/>
      <c r="BC7" s="78"/>
      <c r="BD7" s="78"/>
      <c r="BE7" s="78"/>
      <c r="BF7" s="78"/>
      <c r="BG7" s="78"/>
      <c r="BH7" s="78"/>
      <c r="BI7" s="78"/>
      <c r="BJ7" s="78"/>
      <c r="BK7" s="78"/>
      <c r="BL7" s="78"/>
      <c r="BM7" s="78"/>
      <c r="BN7" s="78"/>
      <c r="BO7" s="78"/>
      <c r="BP7" s="78"/>
      <c r="BQ7" s="78"/>
      <c r="BR7" s="78"/>
      <c r="BS7" s="78"/>
      <c r="BT7" s="78"/>
      <c r="BU7" s="78"/>
      <c r="BV7" s="78"/>
    </row>
    <row r="8" spans="2:74" s="85" customFormat="1" ht="57" customHeight="1">
      <c r="B8" s="83"/>
      <c r="C8" s="84"/>
      <c r="D8" s="84"/>
      <c r="E8" s="307" t="s">
        <v>29</v>
      </c>
      <c r="F8" s="308"/>
      <c r="G8" s="308"/>
      <c r="H8" s="308"/>
      <c r="I8" s="308"/>
      <c r="J8" s="308"/>
      <c r="K8" s="308"/>
      <c r="L8" s="308"/>
      <c r="M8" s="308"/>
      <c r="N8" s="309"/>
      <c r="O8" s="94"/>
      <c r="P8" s="94"/>
      <c r="Q8" s="94"/>
      <c r="R8" s="94"/>
      <c r="S8" s="94"/>
      <c r="T8" s="94"/>
      <c r="U8" s="94"/>
      <c r="V8" s="94"/>
      <c r="W8" s="94"/>
      <c r="X8" s="94"/>
      <c r="Y8" s="94"/>
      <c r="Z8" s="94"/>
      <c r="AA8" s="94"/>
      <c r="AB8" s="94"/>
      <c r="AC8" s="94"/>
      <c r="AD8" s="94"/>
      <c r="AE8" s="94"/>
      <c r="AF8" s="94"/>
      <c r="AG8" s="94"/>
      <c r="AH8" s="94"/>
      <c r="AI8" s="94"/>
      <c r="AJ8" s="94"/>
      <c r="AK8" s="94"/>
      <c r="AL8" s="94"/>
      <c r="AM8" s="94"/>
      <c r="AN8" s="94"/>
      <c r="AO8" s="94"/>
      <c r="AP8" s="94"/>
      <c r="AQ8" s="94"/>
      <c r="AR8" s="94"/>
      <c r="AS8" s="94"/>
      <c r="AT8" s="94"/>
      <c r="AU8" s="94"/>
      <c r="AV8" s="94"/>
      <c r="AW8" s="94"/>
      <c r="AX8" s="94"/>
      <c r="AY8" s="94"/>
      <c r="AZ8" s="94"/>
      <c r="BA8" s="94"/>
      <c r="BB8" s="94"/>
      <c r="BC8" s="94"/>
      <c r="BD8" s="94"/>
      <c r="BE8" s="94"/>
      <c r="BF8" s="94"/>
      <c r="BG8" s="94"/>
      <c r="BH8" s="94"/>
      <c r="BI8" s="94"/>
      <c r="BJ8" s="94"/>
      <c r="BK8" s="94"/>
      <c r="BL8" s="94"/>
      <c r="BM8" s="94"/>
      <c r="BN8" s="94"/>
      <c r="BO8" s="94"/>
      <c r="BP8" s="94"/>
      <c r="BQ8" s="94"/>
      <c r="BR8" s="94"/>
      <c r="BS8" s="94"/>
      <c r="BT8" s="94"/>
      <c r="BU8" s="94"/>
      <c r="BV8" s="94"/>
    </row>
    <row r="9" spans="2:74" s="85" customFormat="1" ht="30" customHeight="1">
      <c r="B9" s="83" t="s">
        <v>30</v>
      </c>
      <c r="C9" s="84" t="s">
        <v>31</v>
      </c>
      <c r="D9" s="84" t="s">
        <v>32</v>
      </c>
      <c r="E9" s="83" t="s">
        <v>33</v>
      </c>
      <c r="F9" s="83" t="s">
        <v>34</v>
      </c>
      <c r="G9" s="83" t="s">
        <v>35</v>
      </c>
      <c r="H9" s="83" t="s">
        <v>36</v>
      </c>
      <c r="I9" s="83" t="s">
        <v>37</v>
      </c>
      <c r="J9" s="83" t="s">
        <v>38</v>
      </c>
      <c r="K9" s="83" t="s">
        <v>39</v>
      </c>
      <c r="L9" s="83" t="s">
        <v>40</v>
      </c>
      <c r="M9" s="83" t="s">
        <v>41</v>
      </c>
      <c r="N9" s="83" t="s">
        <v>42</v>
      </c>
      <c r="O9" s="83" t="s">
        <v>43</v>
      </c>
      <c r="P9" s="83" t="s">
        <v>44</v>
      </c>
      <c r="Q9" s="83" t="s">
        <v>45</v>
      </c>
      <c r="R9" s="83" t="s">
        <v>46</v>
      </c>
      <c r="S9" s="83" t="s">
        <v>47</v>
      </c>
      <c r="T9" s="83" t="s">
        <v>48</v>
      </c>
      <c r="U9" s="83" t="s">
        <v>49</v>
      </c>
      <c r="V9" s="83" t="s">
        <v>50</v>
      </c>
      <c r="W9" s="83" t="s">
        <v>51</v>
      </c>
      <c r="X9" s="83" t="s">
        <v>52</v>
      </c>
      <c r="Y9" s="83" t="s">
        <v>53</v>
      </c>
      <c r="Z9" s="83" t="s">
        <v>54</v>
      </c>
      <c r="AA9" s="83" t="s">
        <v>55</v>
      </c>
      <c r="AB9" s="83" t="s">
        <v>56</v>
      </c>
      <c r="AC9" s="83" t="s">
        <v>57</v>
      </c>
      <c r="AD9" s="83" t="s">
        <v>58</v>
      </c>
      <c r="AE9" s="83" t="s">
        <v>59</v>
      </c>
      <c r="AF9" s="83" t="s">
        <v>60</v>
      </c>
      <c r="AG9" s="83" t="s">
        <v>61</v>
      </c>
      <c r="AH9" s="83" t="s">
        <v>62</v>
      </c>
      <c r="AI9" s="83" t="s">
        <v>63</v>
      </c>
      <c r="AJ9" s="83" t="s">
        <v>64</v>
      </c>
      <c r="AK9" s="83" t="s">
        <v>65</v>
      </c>
      <c r="AL9" s="83" t="s">
        <v>66</v>
      </c>
      <c r="AM9" s="83" t="s">
        <v>67</v>
      </c>
      <c r="AN9" s="83" t="s">
        <v>68</v>
      </c>
      <c r="AO9" s="83" t="s">
        <v>69</v>
      </c>
      <c r="AP9" s="83" t="s">
        <v>70</v>
      </c>
      <c r="AQ9" s="83" t="s">
        <v>71</v>
      </c>
      <c r="AR9" s="83" t="s">
        <v>72</v>
      </c>
      <c r="AS9" s="83" t="s">
        <v>73</v>
      </c>
      <c r="AT9" s="83" t="s">
        <v>74</v>
      </c>
      <c r="AU9" s="83" t="s">
        <v>75</v>
      </c>
      <c r="AV9" s="83" t="s">
        <v>76</v>
      </c>
      <c r="AW9" s="83" t="s">
        <v>77</v>
      </c>
      <c r="AX9" s="83" t="s">
        <v>78</v>
      </c>
      <c r="AY9" s="83" t="s">
        <v>79</v>
      </c>
      <c r="AZ9" s="83" t="s">
        <v>80</v>
      </c>
      <c r="BA9" s="83" t="s">
        <v>81</v>
      </c>
      <c r="BB9" s="83" t="s">
        <v>82</v>
      </c>
      <c r="BC9" s="83" t="s">
        <v>83</v>
      </c>
      <c r="BD9" s="83" t="s">
        <v>84</v>
      </c>
      <c r="BE9" s="83" t="s">
        <v>85</v>
      </c>
      <c r="BF9" s="83" t="s">
        <v>86</v>
      </c>
      <c r="BG9" s="83" t="s">
        <v>87</v>
      </c>
      <c r="BH9" s="83" t="s">
        <v>88</v>
      </c>
      <c r="BI9" s="83" t="s">
        <v>89</v>
      </c>
      <c r="BJ9" s="83" t="s">
        <v>90</v>
      </c>
      <c r="BK9" s="83" t="s">
        <v>91</v>
      </c>
      <c r="BL9" s="83" t="s">
        <v>92</v>
      </c>
      <c r="BM9" s="83" t="s">
        <v>93</v>
      </c>
      <c r="BN9" s="83" t="s">
        <v>94</v>
      </c>
      <c r="BO9" s="83" t="s">
        <v>95</v>
      </c>
      <c r="BP9" s="83" t="s">
        <v>96</v>
      </c>
      <c r="BQ9" s="83" t="s">
        <v>97</v>
      </c>
      <c r="BR9" s="83" t="s">
        <v>98</v>
      </c>
      <c r="BS9" s="83" t="s">
        <v>99</v>
      </c>
      <c r="BT9" s="83" t="s">
        <v>100</v>
      </c>
      <c r="BU9" s="83" t="s">
        <v>101</v>
      </c>
      <c r="BV9" s="83" t="s">
        <v>102</v>
      </c>
    </row>
    <row r="10" spans="2:74" ht="15" customHeight="1">
      <c r="B10" s="86" t="s">
        <v>103</v>
      </c>
      <c r="C10" s="23" t="s">
        <v>104</v>
      </c>
      <c r="D10" s="87">
        <f>SUM(Resource_Rates_Table56[[#This Row],[Year 1 Hours]],Resource_Rates_Table56[[#This Row],[Year 2 Hours]],Resource_Rates_Table56[[#This Row],[Year 3 Hours]],Resource_Rates_Table56[[#This Row],[Year 4 Hours]],Resource_Rates_Table56[[#This Row],[Year 5 Hours]])</f>
        <v>0</v>
      </c>
      <c r="E10" s="88">
        <f>SUM(O10:Z10)</f>
        <v>0</v>
      </c>
      <c r="F1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 s="88">
        <f t="shared" ref="G10:G30" si="0">SUM(AA10:AL10)</f>
        <v>0</v>
      </c>
      <c r="H10" s="88" t="str">
        <f>IFERROR(Resource_Rates_Table56[[#This Row],[Year 2 Hours]]/((IF(AND($D$4&gt;12,$D$4&lt;25),$D$4-12,IF($D$4&gt;24,12,"N/A")))*IF(VLOOKUP(Resource_Rates_Table56[[#This Row],[Resource Title]],'Resource Descriptions'!$D$6:$J$112,7,FALSE)="Onshore",$F$4,$F$5)),"N/A")</f>
        <v>N/A</v>
      </c>
      <c r="I10" s="88">
        <f t="shared" ref="I10:I29" si="1">SUM(AM10:AX10)</f>
        <v>0</v>
      </c>
      <c r="J10" s="88" t="str">
        <f>IFERROR(Resource_Rates_Table56[[#This Row],[Year 3 Hours]]/((IF(AND($D$4&gt;24,$D$4&lt;37),$D$4-24,IF($D$4&gt;36,12,"N/A")))*IF(VLOOKUP(Resource_Rates_Table56[[#This Row],[Resource Title]],'Resource Descriptions'!$D$6:$J$112,7,FALSE)="Onshore",$F$4,$F$5)),"N/A")</f>
        <v>N/A</v>
      </c>
      <c r="K10" s="88">
        <f t="shared" ref="K10:K29" si="2">SUM(AY10:BJ10)</f>
        <v>0</v>
      </c>
      <c r="L10" s="88" t="str">
        <f>IFERROR(Resource_Rates_Table56[[#This Row],[Year 4 Hours]]/((IF(AND($D$4&gt;36,$D$4&lt;49),$D$4-36,IF($D$4&gt;48,12,"N/A")))*IF(VLOOKUP(Resource_Rates_Table56[[#This Row],[Resource Title]],'Resource Descriptions'!$D$6:$J$112,7,FALSE)="Onshore",$F$4,$F$5)),"N/A")</f>
        <v>N/A</v>
      </c>
      <c r="M10" s="88">
        <f t="shared" ref="M10:M29" si="3">SUM(BK10:BV10)</f>
        <v>0</v>
      </c>
      <c r="N10" s="88" t="str">
        <f>IFERROR(Resource_Rates_Table56[[#This Row],[Year 5 Hours]]/((IF(AND($D$4&gt;48,$D$4&lt;61),$D$4-48,IF($D$4&gt;60,12,"N/A")))*IF(VLOOKUP(Resource_Rates_Table56[[#This Row],[Resource Title]],'Resource Descriptions'!$D$6:$J$112,7,FALSE)="Onshore",$F$4,$F$5)),"N/A")</f>
        <v>N/A</v>
      </c>
      <c r="O10" s="89">
        <v>0</v>
      </c>
      <c r="P10" s="89">
        <v>0</v>
      </c>
      <c r="Q10" s="89">
        <v>0</v>
      </c>
      <c r="R10" s="89">
        <v>0</v>
      </c>
      <c r="S10" s="89">
        <v>0</v>
      </c>
      <c r="T10" s="89">
        <v>0</v>
      </c>
      <c r="U10" s="89">
        <v>0</v>
      </c>
      <c r="V10" s="89">
        <v>0</v>
      </c>
      <c r="W10" s="89">
        <v>0</v>
      </c>
      <c r="X10" s="89">
        <v>0</v>
      </c>
      <c r="Y10" s="89">
        <v>0</v>
      </c>
      <c r="Z10" s="89">
        <v>0</v>
      </c>
      <c r="AA10" s="89">
        <v>0</v>
      </c>
      <c r="AB10" s="89">
        <v>0</v>
      </c>
      <c r="AC10" s="89">
        <v>0</v>
      </c>
      <c r="AD10" s="89">
        <v>0</v>
      </c>
      <c r="AE10" s="89">
        <v>0</v>
      </c>
      <c r="AF10" s="89">
        <v>0</v>
      </c>
      <c r="AG10" s="89">
        <v>0</v>
      </c>
      <c r="AH10" s="89">
        <v>0</v>
      </c>
      <c r="AI10" s="89">
        <v>0</v>
      </c>
      <c r="AJ10" s="89">
        <v>0</v>
      </c>
      <c r="AK10" s="89">
        <v>0</v>
      </c>
      <c r="AL10" s="89">
        <v>0</v>
      </c>
      <c r="AM10" s="89">
        <v>0</v>
      </c>
      <c r="AN10" s="89">
        <v>0</v>
      </c>
      <c r="AO10" s="89">
        <v>0</v>
      </c>
      <c r="AP10" s="89">
        <v>0</v>
      </c>
      <c r="AQ10" s="89">
        <v>0</v>
      </c>
      <c r="AR10" s="89">
        <v>0</v>
      </c>
      <c r="AS10" s="89">
        <v>0</v>
      </c>
      <c r="AT10" s="89">
        <v>0</v>
      </c>
      <c r="AU10" s="89">
        <v>0</v>
      </c>
      <c r="AV10" s="89">
        <v>0</v>
      </c>
      <c r="AW10" s="89">
        <v>0</v>
      </c>
      <c r="AX10" s="89">
        <v>0</v>
      </c>
      <c r="AY10" s="89">
        <v>0</v>
      </c>
      <c r="AZ10" s="89">
        <v>0</v>
      </c>
      <c r="BA10" s="89">
        <v>0</v>
      </c>
      <c r="BB10" s="89">
        <v>0</v>
      </c>
      <c r="BC10" s="89">
        <v>0</v>
      </c>
      <c r="BD10" s="89">
        <v>0</v>
      </c>
      <c r="BE10" s="89">
        <v>0</v>
      </c>
      <c r="BF10" s="89">
        <v>0</v>
      </c>
      <c r="BG10" s="89">
        <v>0</v>
      </c>
      <c r="BH10" s="89">
        <v>0</v>
      </c>
      <c r="BI10" s="89">
        <v>0</v>
      </c>
      <c r="BJ10" s="89">
        <v>0</v>
      </c>
      <c r="BK10" s="89">
        <v>0</v>
      </c>
      <c r="BL10" s="89">
        <v>0</v>
      </c>
      <c r="BM10" s="89">
        <v>0</v>
      </c>
      <c r="BN10" s="89">
        <v>0</v>
      </c>
      <c r="BO10" s="89">
        <v>0</v>
      </c>
      <c r="BP10" s="89">
        <v>0</v>
      </c>
      <c r="BQ10" s="89">
        <v>0</v>
      </c>
      <c r="BR10" s="89">
        <v>0</v>
      </c>
      <c r="BS10" s="89">
        <v>0</v>
      </c>
      <c r="BT10" s="89">
        <v>0</v>
      </c>
      <c r="BU10" s="89">
        <v>0</v>
      </c>
      <c r="BV10" s="89">
        <v>0</v>
      </c>
    </row>
    <row r="11" spans="2:74" ht="15" customHeight="1">
      <c r="B11" s="86" t="s">
        <v>103</v>
      </c>
      <c r="C11" s="23" t="s">
        <v>105</v>
      </c>
      <c r="D11" s="87">
        <f>SUM(Resource_Rates_Table56[[#This Row],[Year 1 Hours]],Resource_Rates_Table56[[#This Row],[Year 2 Hours]],Resource_Rates_Table56[[#This Row],[Year 3 Hours]],Resource_Rates_Table56[[#This Row],[Year 4 Hours]],Resource_Rates_Table56[[#This Row],[Year 5 Hours]])</f>
        <v>0</v>
      </c>
      <c r="E11" s="88">
        <f t="shared" ref="E11:E29" si="4">SUM(O11:Z11)</f>
        <v>0</v>
      </c>
      <c r="F1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 s="88">
        <f t="shared" si="0"/>
        <v>0</v>
      </c>
      <c r="H11" s="88" t="str">
        <f>IFERROR(Resource_Rates_Table56[[#This Row],[Year 2 Hours]]/((IF(AND($D$4&gt;12,$D$4&lt;25),$D$4-12,IF($D$4&gt;24,12,"N/A")))*IF(VLOOKUP(Resource_Rates_Table56[[#This Row],[Resource Title]],'Resource Descriptions'!$D$6:$J$112,7,FALSE)="Onshore",$F$4,$F$5)),"N/A")</f>
        <v>N/A</v>
      </c>
      <c r="I11" s="88">
        <f t="shared" si="1"/>
        <v>0</v>
      </c>
      <c r="J11" s="88" t="str">
        <f>IFERROR(Resource_Rates_Table56[[#This Row],[Year 3 Hours]]/((IF(AND($D$4&gt;24,$D$4&lt;37),$D$4-24,IF($D$4&gt;36,12,"N/A")))*IF(VLOOKUP(Resource_Rates_Table56[[#This Row],[Resource Title]],'Resource Descriptions'!$D$6:$J$112,7,FALSE)="Onshore",$F$4,$F$5)),"N/A")</f>
        <v>N/A</v>
      </c>
      <c r="K11" s="88">
        <f t="shared" si="2"/>
        <v>0</v>
      </c>
      <c r="L11" s="88" t="str">
        <f>IFERROR(Resource_Rates_Table56[[#This Row],[Year 4 Hours]]/((IF(AND($D$4&gt;36,$D$4&lt;49),$D$4-36,IF($D$4&gt;48,12,"N/A")))*IF(VLOOKUP(Resource_Rates_Table56[[#This Row],[Resource Title]],'Resource Descriptions'!$D$6:$J$112,7,FALSE)="Onshore",$F$4,$F$5)),"N/A")</f>
        <v>N/A</v>
      </c>
      <c r="M11" s="88">
        <f t="shared" si="3"/>
        <v>0</v>
      </c>
      <c r="N11" s="88" t="str">
        <f>IFERROR(Resource_Rates_Table56[[#This Row],[Year 5 Hours]]/((IF(AND($D$4&gt;48,$D$4&lt;61),$D$4-48,IF($D$4&gt;60,12,"N/A")))*IF(VLOOKUP(Resource_Rates_Table56[[#This Row],[Resource Title]],'Resource Descriptions'!$D$6:$J$112,7,FALSE)="Onshore",$F$4,$F$5)),"N/A")</f>
        <v>N/A</v>
      </c>
      <c r="O11" s="89">
        <v>0</v>
      </c>
      <c r="P11" s="89">
        <v>0</v>
      </c>
      <c r="Q11" s="89">
        <v>0</v>
      </c>
      <c r="R11" s="89">
        <v>0</v>
      </c>
      <c r="S11" s="89">
        <v>0</v>
      </c>
      <c r="T11" s="89">
        <v>0</v>
      </c>
      <c r="U11" s="89">
        <v>0</v>
      </c>
      <c r="V11" s="89">
        <v>0</v>
      </c>
      <c r="W11" s="89">
        <v>0</v>
      </c>
      <c r="X11" s="89">
        <v>0</v>
      </c>
      <c r="Y11" s="89">
        <v>0</v>
      </c>
      <c r="Z11" s="89">
        <v>0</v>
      </c>
      <c r="AA11" s="89">
        <v>0</v>
      </c>
      <c r="AB11" s="89">
        <v>0</v>
      </c>
      <c r="AC11" s="89">
        <v>0</v>
      </c>
      <c r="AD11" s="89">
        <v>0</v>
      </c>
      <c r="AE11" s="89">
        <v>0</v>
      </c>
      <c r="AF11" s="89">
        <v>0</v>
      </c>
      <c r="AG11" s="89">
        <v>0</v>
      </c>
      <c r="AH11" s="89">
        <v>0</v>
      </c>
      <c r="AI11" s="89">
        <v>0</v>
      </c>
      <c r="AJ11" s="89">
        <v>0</v>
      </c>
      <c r="AK11" s="89">
        <v>0</v>
      </c>
      <c r="AL11" s="89">
        <v>0</v>
      </c>
      <c r="AM11" s="89">
        <v>0</v>
      </c>
      <c r="AN11" s="89">
        <v>0</v>
      </c>
      <c r="AO11" s="89">
        <v>0</v>
      </c>
      <c r="AP11" s="89">
        <v>0</v>
      </c>
      <c r="AQ11" s="89">
        <v>0</v>
      </c>
      <c r="AR11" s="89">
        <v>0</v>
      </c>
      <c r="AS11" s="89">
        <v>0</v>
      </c>
      <c r="AT11" s="89">
        <v>0</v>
      </c>
      <c r="AU11" s="89">
        <v>0</v>
      </c>
      <c r="AV11" s="89">
        <v>0</v>
      </c>
      <c r="AW11" s="89">
        <v>0</v>
      </c>
      <c r="AX11" s="89">
        <v>0</v>
      </c>
      <c r="AY11" s="89">
        <v>0</v>
      </c>
      <c r="AZ11" s="89">
        <v>0</v>
      </c>
      <c r="BA11" s="89">
        <v>0</v>
      </c>
      <c r="BB11" s="89">
        <v>0</v>
      </c>
      <c r="BC11" s="89">
        <v>0</v>
      </c>
      <c r="BD11" s="89">
        <v>0</v>
      </c>
      <c r="BE11" s="89">
        <v>0</v>
      </c>
      <c r="BF11" s="89">
        <v>0</v>
      </c>
      <c r="BG11" s="89">
        <v>0</v>
      </c>
      <c r="BH11" s="89">
        <v>0</v>
      </c>
      <c r="BI11" s="89">
        <v>0</v>
      </c>
      <c r="BJ11" s="89">
        <v>0</v>
      </c>
      <c r="BK11" s="89">
        <v>0</v>
      </c>
      <c r="BL11" s="89">
        <v>0</v>
      </c>
      <c r="BM11" s="89">
        <v>0</v>
      </c>
      <c r="BN11" s="89">
        <v>0</v>
      </c>
      <c r="BO11" s="89">
        <v>0</v>
      </c>
      <c r="BP11" s="89">
        <v>0</v>
      </c>
      <c r="BQ11" s="89">
        <v>0</v>
      </c>
      <c r="BR11" s="89">
        <v>0</v>
      </c>
      <c r="BS11" s="89">
        <v>0</v>
      </c>
      <c r="BT11" s="89">
        <v>0</v>
      </c>
      <c r="BU11" s="89">
        <v>0</v>
      </c>
      <c r="BV11" s="89">
        <v>0</v>
      </c>
    </row>
    <row r="12" spans="2:74" ht="15" customHeight="1">
      <c r="B12" s="86" t="s">
        <v>103</v>
      </c>
      <c r="C12" s="23" t="s">
        <v>106</v>
      </c>
      <c r="D12" s="87">
        <f>SUM(Resource_Rates_Table56[[#This Row],[Year 1 Hours]],Resource_Rates_Table56[[#This Row],[Year 2 Hours]],Resource_Rates_Table56[[#This Row],[Year 3 Hours]],Resource_Rates_Table56[[#This Row],[Year 4 Hours]],Resource_Rates_Table56[[#This Row],[Year 5 Hours]])</f>
        <v>0</v>
      </c>
      <c r="E12" s="88">
        <f t="shared" si="4"/>
        <v>0</v>
      </c>
      <c r="F1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2" s="88">
        <f t="shared" si="0"/>
        <v>0</v>
      </c>
      <c r="H12" s="88" t="str">
        <f>IFERROR(Resource_Rates_Table56[[#This Row],[Year 2 Hours]]/((IF(AND($D$4&gt;12,$D$4&lt;25),$D$4-12,IF($D$4&gt;24,12,"N/A")))*IF(VLOOKUP(Resource_Rates_Table56[[#This Row],[Resource Title]],'Resource Descriptions'!$D$6:$J$112,7,FALSE)="Onshore",$F$4,$F$5)),"N/A")</f>
        <v>N/A</v>
      </c>
      <c r="I12" s="88">
        <f t="shared" si="1"/>
        <v>0</v>
      </c>
      <c r="J12" s="88" t="str">
        <f>IFERROR(Resource_Rates_Table56[[#This Row],[Year 3 Hours]]/((IF(AND($D$4&gt;24,$D$4&lt;37),$D$4-24,IF($D$4&gt;36,12,"N/A")))*IF(VLOOKUP(Resource_Rates_Table56[[#This Row],[Resource Title]],'Resource Descriptions'!$D$6:$J$112,7,FALSE)="Onshore",$F$4,$F$5)),"N/A")</f>
        <v>N/A</v>
      </c>
      <c r="K12" s="88">
        <f t="shared" si="2"/>
        <v>0</v>
      </c>
      <c r="L12" s="88" t="str">
        <f>IFERROR(Resource_Rates_Table56[[#This Row],[Year 4 Hours]]/((IF(AND($D$4&gt;36,$D$4&lt;49),$D$4-36,IF($D$4&gt;48,12,"N/A")))*IF(VLOOKUP(Resource_Rates_Table56[[#This Row],[Resource Title]],'Resource Descriptions'!$D$6:$J$112,7,FALSE)="Onshore",$F$4,$F$5)),"N/A")</f>
        <v>N/A</v>
      </c>
      <c r="M12" s="88">
        <f t="shared" si="3"/>
        <v>0</v>
      </c>
      <c r="N12" s="88" t="str">
        <f>IFERROR(Resource_Rates_Table56[[#This Row],[Year 5 Hours]]/((IF(AND($D$4&gt;48,$D$4&lt;61),$D$4-48,IF($D$4&gt;60,12,"N/A")))*IF(VLOOKUP(Resource_Rates_Table56[[#This Row],[Resource Title]],'Resource Descriptions'!$D$6:$J$112,7,FALSE)="Onshore",$F$4,$F$5)),"N/A")</f>
        <v>N/A</v>
      </c>
      <c r="O12" s="89">
        <v>0</v>
      </c>
      <c r="P12" s="89">
        <v>0</v>
      </c>
      <c r="Q12" s="89">
        <v>0</v>
      </c>
      <c r="R12" s="89">
        <v>0</v>
      </c>
      <c r="S12" s="89">
        <v>0</v>
      </c>
      <c r="T12" s="89">
        <v>0</v>
      </c>
      <c r="U12" s="89">
        <v>0</v>
      </c>
      <c r="V12" s="89">
        <v>0</v>
      </c>
      <c r="W12" s="89">
        <v>0</v>
      </c>
      <c r="X12" s="89">
        <v>0</v>
      </c>
      <c r="Y12" s="89">
        <v>0</v>
      </c>
      <c r="Z12" s="89">
        <v>0</v>
      </c>
      <c r="AA12" s="89">
        <v>0</v>
      </c>
      <c r="AB12" s="89">
        <v>0</v>
      </c>
      <c r="AC12" s="89">
        <v>0</v>
      </c>
      <c r="AD12" s="89">
        <v>0</v>
      </c>
      <c r="AE12" s="89">
        <v>0</v>
      </c>
      <c r="AF12" s="89">
        <v>0</v>
      </c>
      <c r="AG12" s="89">
        <v>0</v>
      </c>
      <c r="AH12" s="89">
        <v>0</v>
      </c>
      <c r="AI12" s="89">
        <v>0</v>
      </c>
      <c r="AJ12" s="89">
        <v>0</v>
      </c>
      <c r="AK12" s="89">
        <v>0</v>
      </c>
      <c r="AL12" s="89">
        <v>0</v>
      </c>
      <c r="AM12" s="89">
        <v>0</v>
      </c>
      <c r="AN12" s="89">
        <v>0</v>
      </c>
      <c r="AO12" s="89">
        <v>0</v>
      </c>
      <c r="AP12" s="89">
        <v>0</v>
      </c>
      <c r="AQ12" s="89">
        <v>0</v>
      </c>
      <c r="AR12" s="89">
        <v>0</v>
      </c>
      <c r="AS12" s="89">
        <v>0</v>
      </c>
      <c r="AT12" s="89">
        <v>0</v>
      </c>
      <c r="AU12" s="89">
        <v>0</v>
      </c>
      <c r="AV12" s="89">
        <v>0</v>
      </c>
      <c r="AW12" s="89">
        <v>0</v>
      </c>
      <c r="AX12" s="89">
        <v>0</v>
      </c>
      <c r="AY12" s="89">
        <v>0</v>
      </c>
      <c r="AZ12" s="89">
        <v>0</v>
      </c>
      <c r="BA12" s="89">
        <v>0</v>
      </c>
      <c r="BB12" s="89">
        <v>0</v>
      </c>
      <c r="BC12" s="89">
        <v>0</v>
      </c>
      <c r="BD12" s="89">
        <v>0</v>
      </c>
      <c r="BE12" s="89">
        <v>0</v>
      </c>
      <c r="BF12" s="89">
        <v>0</v>
      </c>
      <c r="BG12" s="89">
        <v>0</v>
      </c>
      <c r="BH12" s="89">
        <v>0</v>
      </c>
      <c r="BI12" s="89">
        <v>0</v>
      </c>
      <c r="BJ12" s="89">
        <v>0</v>
      </c>
      <c r="BK12" s="89">
        <v>0</v>
      </c>
      <c r="BL12" s="89">
        <v>0</v>
      </c>
      <c r="BM12" s="89">
        <v>0</v>
      </c>
      <c r="BN12" s="89">
        <v>0</v>
      </c>
      <c r="BO12" s="89">
        <v>0</v>
      </c>
      <c r="BP12" s="89">
        <v>0</v>
      </c>
      <c r="BQ12" s="89">
        <v>0</v>
      </c>
      <c r="BR12" s="89">
        <v>0</v>
      </c>
      <c r="BS12" s="89">
        <v>0</v>
      </c>
      <c r="BT12" s="89">
        <v>0</v>
      </c>
      <c r="BU12" s="89">
        <v>0</v>
      </c>
      <c r="BV12" s="89">
        <v>0</v>
      </c>
    </row>
    <row r="13" spans="2:74" ht="15" customHeight="1">
      <c r="B13" s="86" t="s">
        <v>103</v>
      </c>
      <c r="C13" s="23" t="s">
        <v>107</v>
      </c>
      <c r="D13" s="87">
        <f>SUM(Resource_Rates_Table56[[#This Row],[Year 1 Hours]],Resource_Rates_Table56[[#This Row],[Year 2 Hours]],Resource_Rates_Table56[[#This Row],[Year 3 Hours]],Resource_Rates_Table56[[#This Row],[Year 4 Hours]],Resource_Rates_Table56[[#This Row],[Year 5 Hours]])</f>
        <v>0</v>
      </c>
      <c r="E13" s="88">
        <f t="shared" si="4"/>
        <v>0</v>
      </c>
      <c r="F1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3" s="88">
        <f t="shared" si="0"/>
        <v>0</v>
      </c>
      <c r="H13" s="88" t="str">
        <f>IFERROR(Resource_Rates_Table56[[#This Row],[Year 2 Hours]]/((IF(AND($D$4&gt;12,$D$4&lt;25),$D$4-12,IF($D$4&gt;24,12,"N/A")))*IF(VLOOKUP(Resource_Rates_Table56[[#This Row],[Resource Title]],'Resource Descriptions'!$D$6:$J$112,7,FALSE)="Onshore",$F$4,$F$5)),"N/A")</f>
        <v>N/A</v>
      </c>
      <c r="I13" s="88">
        <f t="shared" si="1"/>
        <v>0</v>
      </c>
      <c r="J13" s="88" t="str">
        <f>IFERROR(Resource_Rates_Table56[[#This Row],[Year 3 Hours]]/((IF(AND($D$4&gt;24,$D$4&lt;37),$D$4-24,IF($D$4&gt;36,12,"N/A")))*IF(VLOOKUP(Resource_Rates_Table56[[#This Row],[Resource Title]],'Resource Descriptions'!$D$6:$J$112,7,FALSE)="Onshore",$F$4,$F$5)),"N/A")</f>
        <v>N/A</v>
      </c>
      <c r="K13" s="88">
        <f t="shared" si="2"/>
        <v>0</v>
      </c>
      <c r="L13" s="88" t="str">
        <f>IFERROR(Resource_Rates_Table56[[#This Row],[Year 4 Hours]]/((IF(AND($D$4&gt;36,$D$4&lt;49),$D$4-36,IF($D$4&gt;48,12,"N/A")))*IF(VLOOKUP(Resource_Rates_Table56[[#This Row],[Resource Title]],'Resource Descriptions'!$D$6:$J$112,7,FALSE)="Onshore",$F$4,$F$5)),"N/A")</f>
        <v>N/A</v>
      </c>
      <c r="M13" s="88">
        <f t="shared" si="3"/>
        <v>0</v>
      </c>
      <c r="N13" s="88" t="str">
        <f>IFERROR(Resource_Rates_Table56[[#This Row],[Year 5 Hours]]/((IF(AND($D$4&gt;48,$D$4&lt;61),$D$4-48,IF($D$4&gt;60,12,"N/A")))*IF(VLOOKUP(Resource_Rates_Table56[[#This Row],[Resource Title]],'Resource Descriptions'!$D$6:$J$112,7,FALSE)="Onshore",$F$4,$F$5)),"N/A")</f>
        <v>N/A</v>
      </c>
      <c r="O13" s="89">
        <v>0</v>
      </c>
      <c r="P13" s="89">
        <v>0</v>
      </c>
      <c r="Q13" s="89">
        <v>0</v>
      </c>
      <c r="R13" s="89">
        <v>0</v>
      </c>
      <c r="S13" s="89">
        <v>0</v>
      </c>
      <c r="T13" s="89">
        <v>0</v>
      </c>
      <c r="U13" s="89">
        <v>0</v>
      </c>
      <c r="V13" s="89">
        <v>0</v>
      </c>
      <c r="W13" s="89">
        <v>0</v>
      </c>
      <c r="X13" s="89">
        <v>0</v>
      </c>
      <c r="Y13" s="89">
        <v>0</v>
      </c>
      <c r="Z13" s="89">
        <v>0</v>
      </c>
      <c r="AA13" s="89">
        <v>0</v>
      </c>
      <c r="AB13" s="89">
        <v>0</v>
      </c>
      <c r="AC13" s="89">
        <v>0</v>
      </c>
      <c r="AD13" s="89">
        <v>0</v>
      </c>
      <c r="AE13" s="89">
        <v>0</v>
      </c>
      <c r="AF13" s="89">
        <v>0</v>
      </c>
      <c r="AG13" s="89">
        <v>0</v>
      </c>
      <c r="AH13" s="89">
        <v>0</v>
      </c>
      <c r="AI13" s="89">
        <v>0</v>
      </c>
      <c r="AJ13" s="89">
        <v>0</v>
      </c>
      <c r="AK13" s="89">
        <v>0</v>
      </c>
      <c r="AL13" s="89">
        <v>0</v>
      </c>
      <c r="AM13" s="89">
        <v>0</v>
      </c>
      <c r="AN13" s="89">
        <v>0</v>
      </c>
      <c r="AO13" s="89">
        <v>0</v>
      </c>
      <c r="AP13" s="89">
        <v>0</v>
      </c>
      <c r="AQ13" s="89">
        <v>0</v>
      </c>
      <c r="AR13" s="89">
        <v>0</v>
      </c>
      <c r="AS13" s="89">
        <v>0</v>
      </c>
      <c r="AT13" s="89">
        <v>0</v>
      </c>
      <c r="AU13" s="89">
        <v>0</v>
      </c>
      <c r="AV13" s="89">
        <v>0</v>
      </c>
      <c r="AW13" s="89">
        <v>0</v>
      </c>
      <c r="AX13" s="89">
        <v>0</v>
      </c>
      <c r="AY13" s="89">
        <v>0</v>
      </c>
      <c r="AZ13" s="89">
        <v>0</v>
      </c>
      <c r="BA13" s="89">
        <v>0</v>
      </c>
      <c r="BB13" s="89">
        <v>0</v>
      </c>
      <c r="BC13" s="89">
        <v>0</v>
      </c>
      <c r="BD13" s="89">
        <v>0</v>
      </c>
      <c r="BE13" s="89">
        <v>0</v>
      </c>
      <c r="BF13" s="89">
        <v>0</v>
      </c>
      <c r="BG13" s="89">
        <v>0</v>
      </c>
      <c r="BH13" s="89">
        <v>0</v>
      </c>
      <c r="BI13" s="89">
        <v>0</v>
      </c>
      <c r="BJ13" s="89">
        <v>0</v>
      </c>
      <c r="BK13" s="89">
        <v>0</v>
      </c>
      <c r="BL13" s="89">
        <v>0</v>
      </c>
      <c r="BM13" s="89">
        <v>0</v>
      </c>
      <c r="BN13" s="89">
        <v>0</v>
      </c>
      <c r="BO13" s="89">
        <v>0</v>
      </c>
      <c r="BP13" s="89">
        <v>0</v>
      </c>
      <c r="BQ13" s="89">
        <v>0</v>
      </c>
      <c r="BR13" s="89">
        <v>0</v>
      </c>
      <c r="BS13" s="89">
        <v>0</v>
      </c>
      <c r="BT13" s="89">
        <v>0</v>
      </c>
      <c r="BU13" s="89">
        <v>0</v>
      </c>
      <c r="BV13" s="89">
        <v>0</v>
      </c>
    </row>
    <row r="14" spans="2:74" ht="15" customHeight="1">
      <c r="B14" s="86" t="s">
        <v>103</v>
      </c>
      <c r="C14" s="23" t="s">
        <v>108</v>
      </c>
      <c r="D14" s="87">
        <f>SUM(Resource_Rates_Table56[[#This Row],[Year 1 Hours]],Resource_Rates_Table56[[#This Row],[Year 2 Hours]],Resource_Rates_Table56[[#This Row],[Year 3 Hours]],Resource_Rates_Table56[[#This Row],[Year 4 Hours]],Resource_Rates_Table56[[#This Row],[Year 5 Hours]])</f>
        <v>0</v>
      </c>
      <c r="E14" s="88">
        <f t="shared" si="4"/>
        <v>0</v>
      </c>
      <c r="F1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4" s="88">
        <f t="shared" si="0"/>
        <v>0</v>
      </c>
      <c r="H14" s="88" t="str">
        <f>IFERROR(Resource_Rates_Table56[[#This Row],[Year 2 Hours]]/((IF(AND($D$4&gt;12,$D$4&lt;25),$D$4-12,IF($D$4&gt;24,12,"N/A")))*IF(VLOOKUP(Resource_Rates_Table56[[#This Row],[Resource Title]],'Resource Descriptions'!$D$6:$J$112,7,FALSE)="Onshore",$F$4,$F$5)),"N/A")</f>
        <v>N/A</v>
      </c>
      <c r="I14" s="88">
        <f t="shared" si="1"/>
        <v>0</v>
      </c>
      <c r="J14" s="88" t="str">
        <f>IFERROR(Resource_Rates_Table56[[#This Row],[Year 3 Hours]]/((IF(AND($D$4&gt;24,$D$4&lt;37),$D$4-24,IF($D$4&gt;36,12,"N/A")))*IF(VLOOKUP(Resource_Rates_Table56[[#This Row],[Resource Title]],'Resource Descriptions'!$D$6:$J$112,7,FALSE)="Onshore",$F$4,$F$5)),"N/A")</f>
        <v>N/A</v>
      </c>
      <c r="K14" s="88">
        <f t="shared" si="2"/>
        <v>0</v>
      </c>
      <c r="L14" s="88" t="str">
        <f>IFERROR(Resource_Rates_Table56[[#This Row],[Year 4 Hours]]/((IF(AND($D$4&gt;36,$D$4&lt;49),$D$4-36,IF($D$4&gt;48,12,"N/A")))*IF(VLOOKUP(Resource_Rates_Table56[[#This Row],[Resource Title]],'Resource Descriptions'!$D$6:$J$112,7,FALSE)="Onshore",$F$4,$F$5)),"N/A")</f>
        <v>N/A</v>
      </c>
      <c r="M14" s="88">
        <f t="shared" si="3"/>
        <v>0</v>
      </c>
      <c r="N14" s="88" t="str">
        <f>IFERROR(Resource_Rates_Table56[[#This Row],[Year 5 Hours]]/((IF(AND($D$4&gt;48,$D$4&lt;61),$D$4-48,IF($D$4&gt;60,12,"N/A")))*IF(VLOOKUP(Resource_Rates_Table56[[#This Row],[Resource Title]],'Resource Descriptions'!$D$6:$J$112,7,FALSE)="Onshore",$F$4,$F$5)),"N/A")</f>
        <v>N/A</v>
      </c>
      <c r="O14" s="89">
        <v>0</v>
      </c>
      <c r="P14" s="89">
        <v>0</v>
      </c>
      <c r="Q14" s="89">
        <v>0</v>
      </c>
      <c r="R14" s="89">
        <v>0</v>
      </c>
      <c r="S14" s="89">
        <v>0</v>
      </c>
      <c r="T14" s="89">
        <v>0</v>
      </c>
      <c r="U14" s="89">
        <v>0</v>
      </c>
      <c r="V14" s="89">
        <v>0</v>
      </c>
      <c r="W14" s="89">
        <v>0</v>
      </c>
      <c r="X14" s="89">
        <v>0</v>
      </c>
      <c r="Y14" s="89">
        <v>0</v>
      </c>
      <c r="Z14" s="89">
        <v>0</v>
      </c>
      <c r="AA14" s="89">
        <v>0</v>
      </c>
      <c r="AB14" s="89">
        <v>0</v>
      </c>
      <c r="AC14" s="89">
        <v>0</v>
      </c>
      <c r="AD14" s="89">
        <v>0</v>
      </c>
      <c r="AE14" s="89">
        <v>0</v>
      </c>
      <c r="AF14" s="89">
        <v>0</v>
      </c>
      <c r="AG14" s="89">
        <v>0</v>
      </c>
      <c r="AH14" s="89">
        <v>0</v>
      </c>
      <c r="AI14" s="89">
        <v>0</v>
      </c>
      <c r="AJ14" s="89">
        <v>0</v>
      </c>
      <c r="AK14" s="89">
        <v>0</v>
      </c>
      <c r="AL14" s="89">
        <v>0</v>
      </c>
      <c r="AM14" s="89">
        <v>0</v>
      </c>
      <c r="AN14" s="89">
        <v>0</v>
      </c>
      <c r="AO14" s="89">
        <v>0</v>
      </c>
      <c r="AP14" s="89">
        <v>0</v>
      </c>
      <c r="AQ14" s="89">
        <v>0</v>
      </c>
      <c r="AR14" s="89">
        <v>0</v>
      </c>
      <c r="AS14" s="89">
        <v>0</v>
      </c>
      <c r="AT14" s="89">
        <v>0</v>
      </c>
      <c r="AU14" s="89">
        <v>0</v>
      </c>
      <c r="AV14" s="89">
        <v>0</v>
      </c>
      <c r="AW14" s="89">
        <v>0</v>
      </c>
      <c r="AX14" s="89">
        <v>0</v>
      </c>
      <c r="AY14" s="89">
        <v>0</v>
      </c>
      <c r="AZ14" s="89">
        <v>0</v>
      </c>
      <c r="BA14" s="89">
        <v>0</v>
      </c>
      <c r="BB14" s="89">
        <v>0</v>
      </c>
      <c r="BC14" s="89">
        <v>0</v>
      </c>
      <c r="BD14" s="89">
        <v>0</v>
      </c>
      <c r="BE14" s="89">
        <v>0</v>
      </c>
      <c r="BF14" s="89">
        <v>0</v>
      </c>
      <c r="BG14" s="89">
        <v>0</v>
      </c>
      <c r="BH14" s="89">
        <v>0</v>
      </c>
      <c r="BI14" s="89">
        <v>0</v>
      </c>
      <c r="BJ14" s="89">
        <v>0</v>
      </c>
      <c r="BK14" s="89">
        <v>0</v>
      </c>
      <c r="BL14" s="89">
        <v>0</v>
      </c>
      <c r="BM14" s="89">
        <v>0</v>
      </c>
      <c r="BN14" s="89">
        <v>0</v>
      </c>
      <c r="BO14" s="89">
        <v>0</v>
      </c>
      <c r="BP14" s="89">
        <v>0</v>
      </c>
      <c r="BQ14" s="89">
        <v>0</v>
      </c>
      <c r="BR14" s="89">
        <v>0</v>
      </c>
      <c r="BS14" s="89">
        <v>0</v>
      </c>
      <c r="BT14" s="89">
        <v>0</v>
      </c>
      <c r="BU14" s="89">
        <v>0</v>
      </c>
      <c r="BV14" s="89">
        <v>0</v>
      </c>
    </row>
    <row r="15" spans="2:74" ht="15" customHeight="1">
      <c r="B15" s="86" t="s">
        <v>103</v>
      </c>
      <c r="C15" s="23" t="s">
        <v>109</v>
      </c>
      <c r="D15" s="87">
        <f>SUM(Resource_Rates_Table56[[#This Row],[Year 1 Hours]],Resource_Rates_Table56[[#This Row],[Year 2 Hours]],Resource_Rates_Table56[[#This Row],[Year 3 Hours]],Resource_Rates_Table56[[#This Row],[Year 4 Hours]],Resource_Rates_Table56[[#This Row],[Year 5 Hours]])</f>
        <v>0</v>
      </c>
      <c r="E15" s="88">
        <f t="shared" si="4"/>
        <v>0</v>
      </c>
      <c r="F1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5" s="88">
        <f t="shared" si="0"/>
        <v>0</v>
      </c>
      <c r="H15" s="88" t="str">
        <f>IFERROR(Resource_Rates_Table56[[#This Row],[Year 2 Hours]]/((IF(AND($D$4&gt;12,$D$4&lt;25),$D$4-12,IF($D$4&gt;24,12,"N/A")))*IF(VLOOKUP(Resource_Rates_Table56[[#This Row],[Resource Title]],'Resource Descriptions'!$D$6:$J$112,7,FALSE)="Onshore",$F$4,$F$5)),"N/A")</f>
        <v>N/A</v>
      </c>
      <c r="I15" s="88">
        <f t="shared" si="1"/>
        <v>0</v>
      </c>
      <c r="J15" s="88" t="str">
        <f>IFERROR(Resource_Rates_Table56[[#This Row],[Year 3 Hours]]/((IF(AND($D$4&gt;24,$D$4&lt;37),$D$4-24,IF($D$4&gt;36,12,"N/A")))*IF(VLOOKUP(Resource_Rates_Table56[[#This Row],[Resource Title]],'Resource Descriptions'!$D$6:$J$112,7,FALSE)="Onshore",$F$4,$F$5)),"N/A")</f>
        <v>N/A</v>
      </c>
      <c r="K15" s="88">
        <f t="shared" si="2"/>
        <v>0</v>
      </c>
      <c r="L15" s="88" t="str">
        <f>IFERROR(Resource_Rates_Table56[[#This Row],[Year 4 Hours]]/((IF(AND($D$4&gt;36,$D$4&lt;49),$D$4-36,IF($D$4&gt;48,12,"N/A")))*IF(VLOOKUP(Resource_Rates_Table56[[#This Row],[Resource Title]],'Resource Descriptions'!$D$6:$J$112,7,FALSE)="Onshore",$F$4,$F$5)),"N/A")</f>
        <v>N/A</v>
      </c>
      <c r="M15" s="88">
        <f t="shared" si="3"/>
        <v>0</v>
      </c>
      <c r="N15" s="88" t="str">
        <f>IFERROR(Resource_Rates_Table56[[#This Row],[Year 5 Hours]]/((IF(AND($D$4&gt;48,$D$4&lt;61),$D$4-48,IF($D$4&gt;60,12,"N/A")))*IF(VLOOKUP(Resource_Rates_Table56[[#This Row],[Resource Title]],'Resource Descriptions'!$D$6:$J$112,7,FALSE)="Onshore",$F$4,$F$5)),"N/A")</f>
        <v>N/A</v>
      </c>
      <c r="O15" s="89">
        <v>0</v>
      </c>
      <c r="P15" s="89">
        <v>0</v>
      </c>
      <c r="Q15" s="89">
        <v>0</v>
      </c>
      <c r="R15" s="89">
        <v>0</v>
      </c>
      <c r="S15" s="89">
        <v>0</v>
      </c>
      <c r="T15" s="89">
        <v>0</v>
      </c>
      <c r="U15" s="89">
        <v>0</v>
      </c>
      <c r="V15" s="89">
        <v>0</v>
      </c>
      <c r="W15" s="89">
        <v>0</v>
      </c>
      <c r="X15" s="89">
        <v>0</v>
      </c>
      <c r="Y15" s="89">
        <v>0</v>
      </c>
      <c r="Z15" s="89">
        <v>0</v>
      </c>
      <c r="AA15" s="89">
        <v>0</v>
      </c>
      <c r="AB15" s="89">
        <v>0</v>
      </c>
      <c r="AC15" s="89">
        <v>0</v>
      </c>
      <c r="AD15" s="89">
        <v>0</v>
      </c>
      <c r="AE15" s="89">
        <v>0</v>
      </c>
      <c r="AF15" s="89">
        <v>0</v>
      </c>
      <c r="AG15" s="89">
        <v>0</v>
      </c>
      <c r="AH15" s="89">
        <v>0</v>
      </c>
      <c r="AI15" s="89">
        <v>0</v>
      </c>
      <c r="AJ15" s="89">
        <v>0</v>
      </c>
      <c r="AK15" s="89">
        <v>0</v>
      </c>
      <c r="AL15" s="89">
        <v>0</v>
      </c>
      <c r="AM15" s="89">
        <v>0</v>
      </c>
      <c r="AN15" s="89">
        <v>0</v>
      </c>
      <c r="AO15" s="89">
        <v>0</v>
      </c>
      <c r="AP15" s="89">
        <v>0</v>
      </c>
      <c r="AQ15" s="89">
        <v>0</v>
      </c>
      <c r="AR15" s="89">
        <v>0</v>
      </c>
      <c r="AS15" s="89">
        <v>0</v>
      </c>
      <c r="AT15" s="89">
        <v>0</v>
      </c>
      <c r="AU15" s="89">
        <v>0</v>
      </c>
      <c r="AV15" s="89">
        <v>0</v>
      </c>
      <c r="AW15" s="89">
        <v>0</v>
      </c>
      <c r="AX15" s="89">
        <v>0</v>
      </c>
      <c r="AY15" s="89">
        <v>0</v>
      </c>
      <c r="AZ15" s="89">
        <v>0</v>
      </c>
      <c r="BA15" s="89">
        <v>0</v>
      </c>
      <c r="BB15" s="89">
        <v>0</v>
      </c>
      <c r="BC15" s="89">
        <v>0</v>
      </c>
      <c r="BD15" s="89">
        <v>0</v>
      </c>
      <c r="BE15" s="89">
        <v>0</v>
      </c>
      <c r="BF15" s="89">
        <v>0</v>
      </c>
      <c r="BG15" s="89">
        <v>0</v>
      </c>
      <c r="BH15" s="89">
        <v>0</v>
      </c>
      <c r="BI15" s="89">
        <v>0</v>
      </c>
      <c r="BJ15" s="89">
        <v>0</v>
      </c>
      <c r="BK15" s="89">
        <v>0</v>
      </c>
      <c r="BL15" s="89">
        <v>0</v>
      </c>
      <c r="BM15" s="89">
        <v>0</v>
      </c>
      <c r="BN15" s="89">
        <v>0</v>
      </c>
      <c r="BO15" s="89">
        <v>0</v>
      </c>
      <c r="BP15" s="89">
        <v>0</v>
      </c>
      <c r="BQ15" s="89">
        <v>0</v>
      </c>
      <c r="BR15" s="89">
        <v>0</v>
      </c>
      <c r="BS15" s="89">
        <v>0</v>
      </c>
      <c r="BT15" s="89">
        <v>0</v>
      </c>
      <c r="BU15" s="89">
        <v>0</v>
      </c>
      <c r="BV15" s="89">
        <v>0</v>
      </c>
    </row>
    <row r="16" spans="2:74" ht="15" customHeight="1">
      <c r="B16" s="86" t="s">
        <v>103</v>
      </c>
      <c r="C16" s="23" t="s">
        <v>110</v>
      </c>
      <c r="D16" s="87">
        <f>SUM(Resource_Rates_Table56[[#This Row],[Year 1 Hours]],Resource_Rates_Table56[[#This Row],[Year 2 Hours]],Resource_Rates_Table56[[#This Row],[Year 3 Hours]],Resource_Rates_Table56[[#This Row],[Year 4 Hours]],Resource_Rates_Table56[[#This Row],[Year 5 Hours]])</f>
        <v>0</v>
      </c>
      <c r="E16" s="88">
        <f t="shared" si="4"/>
        <v>0</v>
      </c>
      <c r="F1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6" s="88">
        <f t="shared" si="0"/>
        <v>0</v>
      </c>
      <c r="H16" s="88" t="str">
        <f>IFERROR(Resource_Rates_Table56[[#This Row],[Year 2 Hours]]/((IF(AND($D$4&gt;12,$D$4&lt;25),$D$4-12,IF($D$4&gt;24,12,"N/A")))*IF(VLOOKUP(Resource_Rates_Table56[[#This Row],[Resource Title]],'Resource Descriptions'!$D$6:$J$112,7,FALSE)="Onshore",$F$4,$F$5)),"N/A")</f>
        <v>N/A</v>
      </c>
      <c r="I16" s="88">
        <f t="shared" si="1"/>
        <v>0</v>
      </c>
      <c r="J16" s="88" t="str">
        <f>IFERROR(Resource_Rates_Table56[[#This Row],[Year 3 Hours]]/((IF(AND($D$4&gt;24,$D$4&lt;37),$D$4-24,IF($D$4&gt;36,12,"N/A")))*IF(VLOOKUP(Resource_Rates_Table56[[#This Row],[Resource Title]],'Resource Descriptions'!$D$6:$J$112,7,FALSE)="Onshore",$F$4,$F$5)),"N/A")</f>
        <v>N/A</v>
      </c>
      <c r="K16" s="88">
        <f t="shared" si="2"/>
        <v>0</v>
      </c>
      <c r="L16" s="88" t="str">
        <f>IFERROR(Resource_Rates_Table56[[#This Row],[Year 4 Hours]]/((IF(AND($D$4&gt;36,$D$4&lt;49),$D$4-36,IF($D$4&gt;48,12,"N/A")))*IF(VLOOKUP(Resource_Rates_Table56[[#This Row],[Resource Title]],'Resource Descriptions'!$D$6:$J$112,7,FALSE)="Onshore",$F$4,$F$5)),"N/A")</f>
        <v>N/A</v>
      </c>
      <c r="M16" s="88">
        <f t="shared" si="3"/>
        <v>0</v>
      </c>
      <c r="N16" s="88" t="str">
        <f>IFERROR(Resource_Rates_Table56[[#This Row],[Year 5 Hours]]/((IF(AND($D$4&gt;48,$D$4&lt;61),$D$4-48,IF($D$4&gt;60,12,"N/A")))*IF(VLOOKUP(Resource_Rates_Table56[[#This Row],[Resource Title]],'Resource Descriptions'!$D$6:$J$112,7,FALSE)="Onshore",$F$4,$F$5)),"N/A")</f>
        <v>N/A</v>
      </c>
      <c r="O16" s="89">
        <v>0</v>
      </c>
      <c r="P16" s="89">
        <v>0</v>
      </c>
      <c r="Q16" s="89">
        <v>0</v>
      </c>
      <c r="R16" s="89">
        <v>0</v>
      </c>
      <c r="S16" s="89">
        <v>0</v>
      </c>
      <c r="T16" s="89">
        <v>0</v>
      </c>
      <c r="U16" s="89">
        <v>0</v>
      </c>
      <c r="V16" s="89">
        <v>0</v>
      </c>
      <c r="W16" s="89">
        <v>0</v>
      </c>
      <c r="X16" s="89">
        <v>0</v>
      </c>
      <c r="Y16" s="89">
        <v>0</v>
      </c>
      <c r="Z16" s="89">
        <v>0</v>
      </c>
      <c r="AA16" s="89">
        <v>0</v>
      </c>
      <c r="AB16" s="89">
        <v>0</v>
      </c>
      <c r="AC16" s="89">
        <v>0</v>
      </c>
      <c r="AD16" s="89">
        <v>0</v>
      </c>
      <c r="AE16" s="89">
        <v>0</v>
      </c>
      <c r="AF16" s="89">
        <v>0</v>
      </c>
      <c r="AG16" s="89">
        <v>0</v>
      </c>
      <c r="AH16" s="89">
        <v>0</v>
      </c>
      <c r="AI16" s="89">
        <v>0</v>
      </c>
      <c r="AJ16" s="89">
        <v>0</v>
      </c>
      <c r="AK16" s="89">
        <v>0</v>
      </c>
      <c r="AL16" s="89">
        <v>0</v>
      </c>
      <c r="AM16" s="89">
        <v>0</v>
      </c>
      <c r="AN16" s="89">
        <v>0</v>
      </c>
      <c r="AO16" s="89">
        <v>0</v>
      </c>
      <c r="AP16" s="89">
        <v>0</v>
      </c>
      <c r="AQ16" s="89">
        <v>0</v>
      </c>
      <c r="AR16" s="89">
        <v>0</v>
      </c>
      <c r="AS16" s="89">
        <v>0</v>
      </c>
      <c r="AT16" s="89">
        <v>0</v>
      </c>
      <c r="AU16" s="89">
        <v>0</v>
      </c>
      <c r="AV16" s="89">
        <v>0</v>
      </c>
      <c r="AW16" s="89">
        <v>0</v>
      </c>
      <c r="AX16" s="89">
        <v>0</v>
      </c>
      <c r="AY16" s="89">
        <v>0</v>
      </c>
      <c r="AZ16" s="89">
        <v>0</v>
      </c>
      <c r="BA16" s="89">
        <v>0</v>
      </c>
      <c r="BB16" s="89">
        <v>0</v>
      </c>
      <c r="BC16" s="89">
        <v>0</v>
      </c>
      <c r="BD16" s="89">
        <v>0</v>
      </c>
      <c r="BE16" s="89">
        <v>0</v>
      </c>
      <c r="BF16" s="89">
        <v>0</v>
      </c>
      <c r="BG16" s="89">
        <v>0</v>
      </c>
      <c r="BH16" s="89">
        <v>0</v>
      </c>
      <c r="BI16" s="89">
        <v>0</v>
      </c>
      <c r="BJ16" s="89">
        <v>0</v>
      </c>
      <c r="BK16" s="89">
        <v>0</v>
      </c>
      <c r="BL16" s="89">
        <v>0</v>
      </c>
      <c r="BM16" s="89">
        <v>0</v>
      </c>
      <c r="BN16" s="89">
        <v>0</v>
      </c>
      <c r="BO16" s="89">
        <v>0</v>
      </c>
      <c r="BP16" s="89">
        <v>0</v>
      </c>
      <c r="BQ16" s="89">
        <v>0</v>
      </c>
      <c r="BR16" s="89">
        <v>0</v>
      </c>
      <c r="BS16" s="89">
        <v>0</v>
      </c>
      <c r="BT16" s="89">
        <v>0</v>
      </c>
      <c r="BU16" s="89">
        <v>0</v>
      </c>
      <c r="BV16" s="89">
        <v>0</v>
      </c>
    </row>
    <row r="17" spans="2:74" ht="15" customHeight="1">
      <c r="B17" s="86" t="s">
        <v>103</v>
      </c>
      <c r="C17" s="23" t="s">
        <v>111</v>
      </c>
      <c r="D17" s="100">
        <f>SUM(Resource_Rates_Table56[[#This Row],[Year 1 Hours]],Resource_Rates_Table56[[#This Row],[Year 2 Hours]],Resource_Rates_Table56[[#This Row],[Year 3 Hours]],Resource_Rates_Table56[[#This Row],[Year 4 Hours]],Resource_Rates_Table56[[#This Row],[Year 5 Hours]])</f>
        <v>0</v>
      </c>
      <c r="E17" s="101">
        <f>SUM(O17:Z17)</f>
        <v>0</v>
      </c>
      <c r="F17"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7" s="101">
        <f>SUM(AA17:AL17)</f>
        <v>0</v>
      </c>
      <c r="H17" s="101" t="str">
        <f>IFERROR(Resource_Rates_Table56[[#This Row],[Year 2 Hours]]/((IF(AND($D$4&gt;12,$D$4&lt;25),$D$4-12,IF($D$4&gt;24,12,"N/A")))*IF(VLOOKUP(Resource_Rates_Table56[[#This Row],[Resource Title]],'Resource Descriptions'!$D$6:$J$112,7,FALSE)="Onshore",$F$4,$F$5)),"N/A")</f>
        <v>N/A</v>
      </c>
      <c r="I17" s="101">
        <f>SUM(AM17:AX17)</f>
        <v>0</v>
      </c>
      <c r="J17" s="101" t="str">
        <f>IFERROR(Resource_Rates_Table56[[#This Row],[Year 3 Hours]]/((IF(AND($D$4&gt;24,$D$4&lt;37),$D$4-24,IF($D$4&gt;36,12,"N/A")))*IF(VLOOKUP(Resource_Rates_Table56[[#This Row],[Resource Title]],'Resource Descriptions'!$D$6:$J$112,7,FALSE)="Onshore",$F$4,$F$5)),"N/A")</f>
        <v>N/A</v>
      </c>
      <c r="K17" s="101">
        <f>SUM(AY17:BJ17)</f>
        <v>0</v>
      </c>
      <c r="L17" s="101" t="str">
        <f>IFERROR(Resource_Rates_Table56[[#This Row],[Year 4 Hours]]/((IF(AND($D$4&gt;36,$D$4&lt;49),$D$4-36,IF($D$4&gt;48,12,"N/A")))*IF(VLOOKUP(Resource_Rates_Table56[[#This Row],[Resource Title]],'Resource Descriptions'!$D$6:$J$112,7,FALSE)="Onshore",$F$4,$F$5)),"N/A")</f>
        <v>N/A</v>
      </c>
      <c r="M17" s="101">
        <f>SUM(BK17:BV17)</f>
        <v>0</v>
      </c>
      <c r="N17" s="101" t="str">
        <f>IFERROR(Resource_Rates_Table56[[#This Row],[Year 5 Hours]]/((IF(AND($D$4&gt;48,$D$4&lt;61),$D$4-48,IF($D$4&gt;60,12,"N/A")))*IF(VLOOKUP(Resource_Rates_Table56[[#This Row],[Resource Title]],'Resource Descriptions'!$D$6:$J$112,7,FALSE)="Onshore",$F$4,$F$5)),"N/A")</f>
        <v>N/A</v>
      </c>
      <c r="O17" s="89">
        <v>0</v>
      </c>
      <c r="P17" s="89">
        <v>0</v>
      </c>
      <c r="Q17" s="89">
        <v>0</v>
      </c>
      <c r="R17" s="89">
        <v>0</v>
      </c>
      <c r="S17" s="89">
        <v>0</v>
      </c>
      <c r="T17" s="89">
        <v>0</v>
      </c>
      <c r="U17" s="89">
        <v>0</v>
      </c>
      <c r="V17" s="89">
        <v>0</v>
      </c>
      <c r="W17" s="89">
        <v>0</v>
      </c>
      <c r="X17" s="89">
        <v>0</v>
      </c>
      <c r="Y17" s="89">
        <v>0</v>
      </c>
      <c r="Z17" s="89">
        <v>0</v>
      </c>
      <c r="AA17" s="89">
        <v>0</v>
      </c>
      <c r="AB17" s="89">
        <v>0</v>
      </c>
      <c r="AC17" s="89">
        <v>0</v>
      </c>
      <c r="AD17" s="89">
        <v>0</v>
      </c>
      <c r="AE17" s="89">
        <v>0</v>
      </c>
      <c r="AF17" s="89">
        <v>0</v>
      </c>
      <c r="AG17" s="89">
        <v>0</v>
      </c>
      <c r="AH17" s="89">
        <v>0</v>
      </c>
      <c r="AI17" s="89">
        <v>0</v>
      </c>
      <c r="AJ17" s="89">
        <v>0</v>
      </c>
      <c r="AK17" s="89">
        <v>0</v>
      </c>
      <c r="AL17" s="89">
        <v>0</v>
      </c>
      <c r="AM17" s="89">
        <v>0</v>
      </c>
      <c r="AN17" s="89">
        <v>0</v>
      </c>
      <c r="AO17" s="89">
        <v>0</v>
      </c>
      <c r="AP17" s="89">
        <v>0</v>
      </c>
      <c r="AQ17" s="89">
        <v>0</v>
      </c>
      <c r="AR17" s="89">
        <v>0</v>
      </c>
      <c r="AS17" s="89">
        <v>0</v>
      </c>
      <c r="AT17" s="89">
        <v>0</v>
      </c>
      <c r="AU17" s="89">
        <v>0</v>
      </c>
      <c r="AV17" s="89">
        <v>0</v>
      </c>
      <c r="AW17" s="89">
        <v>0</v>
      </c>
      <c r="AX17" s="89">
        <v>0</v>
      </c>
      <c r="AY17" s="89">
        <v>0</v>
      </c>
      <c r="AZ17" s="89">
        <v>0</v>
      </c>
      <c r="BA17" s="89">
        <v>0</v>
      </c>
      <c r="BB17" s="89">
        <v>0</v>
      </c>
      <c r="BC17" s="89">
        <v>0</v>
      </c>
      <c r="BD17" s="89">
        <v>0</v>
      </c>
      <c r="BE17" s="89">
        <v>0</v>
      </c>
      <c r="BF17" s="89">
        <v>0</v>
      </c>
      <c r="BG17" s="89">
        <v>0</v>
      </c>
      <c r="BH17" s="89">
        <v>0</v>
      </c>
      <c r="BI17" s="89">
        <v>0</v>
      </c>
      <c r="BJ17" s="89">
        <v>0</v>
      </c>
      <c r="BK17" s="89">
        <v>0</v>
      </c>
      <c r="BL17" s="89">
        <v>0</v>
      </c>
      <c r="BM17" s="89">
        <v>0</v>
      </c>
      <c r="BN17" s="89">
        <v>0</v>
      </c>
      <c r="BO17" s="89">
        <v>0</v>
      </c>
      <c r="BP17" s="89">
        <v>0</v>
      </c>
      <c r="BQ17" s="89">
        <v>0</v>
      </c>
      <c r="BR17" s="89">
        <v>0</v>
      </c>
      <c r="BS17" s="89">
        <v>0</v>
      </c>
      <c r="BT17" s="89">
        <v>0</v>
      </c>
      <c r="BU17" s="89">
        <v>0</v>
      </c>
      <c r="BV17" s="89">
        <v>0</v>
      </c>
    </row>
    <row r="18" spans="2:74" ht="15" customHeight="1">
      <c r="B18" s="86" t="s">
        <v>103</v>
      </c>
      <c r="C18" s="99" t="s">
        <v>112</v>
      </c>
      <c r="D18" s="100">
        <f>SUM(Resource_Rates_Table56[[#This Row],[Year 1 Hours]],Resource_Rates_Table56[[#This Row],[Year 2 Hours]],Resource_Rates_Table56[[#This Row],[Year 3 Hours]],Resource_Rates_Table56[[#This Row],[Year 4 Hours]],Resource_Rates_Table56[[#This Row],[Year 5 Hours]])</f>
        <v>0</v>
      </c>
      <c r="E18" s="101">
        <f>SUM(O18:Z18)</f>
        <v>0</v>
      </c>
      <c r="F18"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8" s="101">
        <f>SUM(AA18:AL18)</f>
        <v>0</v>
      </c>
      <c r="H18" s="101" t="str">
        <f>IFERROR(Resource_Rates_Table56[[#This Row],[Year 2 Hours]]/((IF(AND($D$4&gt;12,$D$4&lt;25),$D$4-12,IF($D$4&gt;24,12,"N/A")))*IF(VLOOKUP(Resource_Rates_Table56[[#This Row],[Resource Title]],'Resource Descriptions'!$D$6:$J$112,7,FALSE)="Onshore",$F$4,$F$5)),"N/A")</f>
        <v>N/A</v>
      </c>
      <c r="I18" s="101">
        <f>SUM(AM18:AX18)</f>
        <v>0</v>
      </c>
      <c r="J18" s="101" t="str">
        <f>IFERROR(Resource_Rates_Table56[[#This Row],[Year 3 Hours]]/((IF(AND($D$4&gt;24,$D$4&lt;37),$D$4-24,IF($D$4&gt;36,12,"N/A")))*IF(VLOOKUP(Resource_Rates_Table56[[#This Row],[Resource Title]],'Resource Descriptions'!$D$6:$J$112,7,FALSE)="Onshore",$F$4,$F$5)),"N/A")</f>
        <v>N/A</v>
      </c>
      <c r="K18" s="101">
        <f>SUM(AY18:BJ18)</f>
        <v>0</v>
      </c>
      <c r="L18" s="101" t="str">
        <f>IFERROR(Resource_Rates_Table56[[#This Row],[Year 4 Hours]]/((IF(AND($D$4&gt;36,$D$4&lt;49),$D$4-36,IF($D$4&gt;48,12,"N/A")))*IF(VLOOKUP(Resource_Rates_Table56[[#This Row],[Resource Title]],'Resource Descriptions'!$D$6:$J$112,7,FALSE)="Onshore",$F$4,$F$5)),"N/A")</f>
        <v>N/A</v>
      </c>
      <c r="M18" s="101">
        <f>SUM(BK18:BV18)</f>
        <v>0</v>
      </c>
      <c r="N18" s="101" t="str">
        <f>IFERROR(Resource_Rates_Table56[[#This Row],[Year 5 Hours]]/((IF(AND($D$4&gt;48,$D$4&lt;61),$D$4-48,IF($D$4&gt;60,12,"N/A")))*IF(VLOOKUP(Resource_Rates_Table56[[#This Row],[Resource Title]],'Resource Descriptions'!$D$6:$J$112,7,FALSE)="Onshore",$F$4,$F$5)),"N/A")</f>
        <v>N/A</v>
      </c>
      <c r="O18" s="89">
        <v>0</v>
      </c>
      <c r="P18" s="89">
        <v>0</v>
      </c>
      <c r="Q18" s="89">
        <v>0</v>
      </c>
      <c r="R18" s="89">
        <v>0</v>
      </c>
      <c r="S18" s="89">
        <v>0</v>
      </c>
      <c r="T18" s="89">
        <v>0</v>
      </c>
      <c r="U18" s="89">
        <v>0</v>
      </c>
      <c r="V18" s="89">
        <v>0</v>
      </c>
      <c r="W18" s="89">
        <v>0</v>
      </c>
      <c r="X18" s="89">
        <v>0</v>
      </c>
      <c r="Y18" s="89">
        <v>0</v>
      </c>
      <c r="Z18" s="89">
        <v>0</v>
      </c>
      <c r="AA18" s="89">
        <v>0</v>
      </c>
      <c r="AB18" s="89">
        <v>0</v>
      </c>
      <c r="AC18" s="89">
        <v>0</v>
      </c>
      <c r="AD18" s="89">
        <v>0</v>
      </c>
      <c r="AE18" s="89">
        <v>0</v>
      </c>
      <c r="AF18" s="89">
        <v>0</v>
      </c>
      <c r="AG18" s="89">
        <v>0</v>
      </c>
      <c r="AH18" s="89">
        <v>0</v>
      </c>
      <c r="AI18" s="89">
        <v>0</v>
      </c>
      <c r="AJ18" s="89">
        <v>0</v>
      </c>
      <c r="AK18" s="89">
        <v>0</v>
      </c>
      <c r="AL18" s="89">
        <v>0</v>
      </c>
      <c r="AM18" s="89">
        <v>0</v>
      </c>
      <c r="AN18" s="89">
        <v>0</v>
      </c>
      <c r="AO18" s="89">
        <v>0</v>
      </c>
      <c r="AP18" s="89">
        <v>0</v>
      </c>
      <c r="AQ18" s="89">
        <v>0</v>
      </c>
      <c r="AR18" s="89">
        <v>0</v>
      </c>
      <c r="AS18" s="89">
        <v>0</v>
      </c>
      <c r="AT18" s="89">
        <v>0</v>
      </c>
      <c r="AU18" s="89">
        <v>0</v>
      </c>
      <c r="AV18" s="89">
        <v>0</v>
      </c>
      <c r="AW18" s="89">
        <v>0</v>
      </c>
      <c r="AX18" s="89">
        <v>0</v>
      </c>
      <c r="AY18" s="89">
        <v>0</v>
      </c>
      <c r="AZ18" s="89">
        <v>0</v>
      </c>
      <c r="BA18" s="89">
        <v>0</v>
      </c>
      <c r="BB18" s="89">
        <v>0</v>
      </c>
      <c r="BC18" s="89">
        <v>0</v>
      </c>
      <c r="BD18" s="89">
        <v>0</v>
      </c>
      <c r="BE18" s="89">
        <v>0</v>
      </c>
      <c r="BF18" s="89">
        <v>0</v>
      </c>
      <c r="BG18" s="89">
        <v>0</v>
      </c>
      <c r="BH18" s="89">
        <v>0</v>
      </c>
      <c r="BI18" s="89">
        <v>0</v>
      </c>
      <c r="BJ18" s="89">
        <v>0</v>
      </c>
      <c r="BK18" s="89">
        <v>0</v>
      </c>
      <c r="BL18" s="89">
        <v>0</v>
      </c>
      <c r="BM18" s="89">
        <v>0</v>
      </c>
      <c r="BN18" s="89">
        <v>0</v>
      </c>
      <c r="BO18" s="89">
        <v>0</v>
      </c>
      <c r="BP18" s="89">
        <v>0</v>
      </c>
      <c r="BQ18" s="89">
        <v>0</v>
      </c>
      <c r="BR18" s="89">
        <v>0</v>
      </c>
      <c r="BS18" s="89">
        <v>0</v>
      </c>
      <c r="BT18" s="89">
        <v>0</v>
      </c>
      <c r="BU18" s="89">
        <v>0</v>
      </c>
      <c r="BV18" s="89">
        <v>0</v>
      </c>
    </row>
    <row r="19" spans="2:74" ht="15" customHeight="1">
      <c r="B19" s="86" t="s">
        <v>103</v>
      </c>
      <c r="C19" s="23" t="s">
        <v>113</v>
      </c>
      <c r="D19" s="87">
        <f>SUM(Resource_Rates_Table56[[#This Row],[Year 1 Hours]],Resource_Rates_Table56[[#This Row],[Year 2 Hours]],Resource_Rates_Table56[[#This Row],[Year 3 Hours]],Resource_Rates_Table56[[#This Row],[Year 4 Hours]],Resource_Rates_Table56[[#This Row],[Year 5 Hours]])</f>
        <v>0</v>
      </c>
      <c r="E19" s="88">
        <f t="shared" si="4"/>
        <v>0</v>
      </c>
      <c r="F1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9" s="88">
        <f t="shared" si="0"/>
        <v>0</v>
      </c>
      <c r="H19" s="88" t="str">
        <f>IFERROR(Resource_Rates_Table56[[#This Row],[Year 2 Hours]]/((IF(AND($D$4&gt;12,$D$4&lt;25),$D$4-12,IF($D$4&gt;24,12,"N/A")))*IF(VLOOKUP(Resource_Rates_Table56[[#This Row],[Resource Title]],'Resource Descriptions'!$D$6:$J$112,7,FALSE)="Onshore",$F$4,$F$5)),"N/A")</f>
        <v>N/A</v>
      </c>
      <c r="I19" s="88">
        <f t="shared" si="1"/>
        <v>0</v>
      </c>
      <c r="J19" s="88" t="str">
        <f>IFERROR(Resource_Rates_Table56[[#This Row],[Year 3 Hours]]/((IF(AND($D$4&gt;24,$D$4&lt;37),$D$4-24,IF($D$4&gt;36,12,"N/A")))*IF(VLOOKUP(Resource_Rates_Table56[[#This Row],[Resource Title]],'Resource Descriptions'!$D$6:$J$112,7,FALSE)="Onshore",$F$4,$F$5)),"N/A")</f>
        <v>N/A</v>
      </c>
      <c r="K19" s="88">
        <f t="shared" si="2"/>
        <v>0</v>
      </c>
      <c r="L19" s="88" t="str">
        <f>IFERROR(Resource_Rates_Table56[[#This Row],[Year 4 Hours]]/((IF(AND($D$4&gt;36,$D$4&lt;49),$D$4-36,IF($D$4&gt;48,12,"N/A")))*IF(VLOOKUP(Resource_Rates_Table56[[#This Row],[Resource Title]],'Resource Descriptions'!$D$6:$J$112,7,FALSE)="Onshore",$F$4,$F$5)),"N/A")</f>
        <v>N/A</v>
      </c>
      <c r="M19" s="88">
        <f t="shared" si="3"/>
        <v>0</v>
      </c>
      <c r="N19" s="88" t="str">
        <f>IFERROR(Resource_Rates_Table56[[#This Row],[Year 5 Hours]]/((IF(AND($D$4&gt;48,$D$4&lt;61),$D$4-48,IF($D$4&gt;60,12,"N/A")))*IF(VLOOKUP(Resource_Rates_Table56[[#This Row],[Resource Title]],'Resource Descriptions'!$D$6:$J$112,7,FALSE)="Onshore",$F$4,$F$5)),"N/A")</f>
        <v>N/A</v>
      </c>
      <c r="O19" s="89">
        <v>0</v>
      </c>
      <c r="P19" s="89">
        <v>0</v>
      </c>
      <c r="Q19" s="89">
        <v>0</v>
      </c>
      <c r="R19" s="89">
        <v>0</v>
      </c>
      <c r="S19" s="89">
        <v>0</v>
      </c>
      <c r="T19" s="89">
        <v>0</v>
      </c>
      <c r="U19" s="89">
        <v>0</v>
      </c>
      <c r="V19" s="89">
        <v>0</v>
      </c>
      <c r="W19" s="89">
        <v>0</v>
      </c>
      <c r="X19" s="89">
        <v>0</v>
      </c>
      <c r="Y19" s="89">
        <v>0</v>
      </c>
      <c r="Z19" s="89">
        <v>0</v>
      </c>
      <c r="AA19" s="89">
        <v>0</v>
      </c>
      <c r="AB19" s="89">
        <v>0</v>
      </c>
      <c r="AC19" s="89">
        <v>0</v>
      </c>
      <c r="AD19" s="89">
        <v>0</v>
      </c>
      <c r="AE19" s="89">
        <v>0</v>
      </c>
      <c r="AF19" s="89">
        <v>0</v>
      </c>
      <c r="AG19" s="89">
        <v>0</v>
      </c>
      <c r="AH19" s="89">
        <v>0</v>
      </c>
      <c r="AI19" s="89">
        <v>0</v>
      </c>
      <c r="AJ19" s="89">
        <v>0</v>
      </c>
      <c r="AK19" s="89">
        <v>0</v>
      </c>
      <c r="AL19" s="89">
        <v>0</v>
      </c>
      <c r="AM19" s="89">
        <v>0</v>
      </c>
      <c r="AN19" s="89">
        <v>0</v>
      </c>
      <c r="AO19" s="89">
        <v>0</v>
      </c>
      <c r="AP19" s="89">
        <v>0</v>
      </c>
      <c r="AQ19" s="89">
        <v>0</v>
      </c>
      <c r="AR19" s="89">
        <v>0</v>
      </c>
      <c r="AS19" s="89">
        <v>0</v>
      </c>
      <c r="AT19" s="89">
        <v>0</v>
      </c>
      <c r="AU19" s="89">
        <v>0</v>
      </c>
      <c r="AV19" s="89">
        <v>0</v>
      </c>
      <c r="AW19" s="89">
        <v>0</v>
      </c>
      <c r="AX19" s="89">
        <v>0</v>
      </c>
      <c r="AY19" s="89">
        <v>0</v>
      </c>
      <c r="AZ19" s="89">
        <v>0</v>
      </c>
      <c r="BA19" s="89">
        <v>0</v>
      </c>
      <c r="BB19" s="89">
        <v>0</v>
      </c>
      <c r="BC19" s="89">
        <v>0</v>
      </c>
      <c r="BD19" s="89">
        <v>0</v>
      </c>
      <c r="BE19" s="89">
        <v>0</v>
      </c>
      <c r="BF19" s="89">
        <v>0</v>
      </c>
      <c r="BG19" s="89">
        <v>0</v>
      </c>
      <c r="BH19" s="89">
        <v>0</v>
      </c>
      <c r="BI19" s="89">
        <v>0</v>
      </c>
      <c r="BJ19" s="89">
        <v>0</v>
      </c>
      <c r="BK19" s="89">
        <v>0</v>
      </c>
      <c r="BL19" s="89">
        <v>0</v>
      </c>
      <c r="BM19" s="89">
        <v>0</v>
      </c>
      <c r="BN19" s="89">
        <v>0</v>
      </c>
      <c r="BO19" s="89">
        <v>0</v>
      </c>
      <c r="BP19" s="89">
        <v>0</v>
      </c>
      <c r="BQ19" s="89">
        <v>0</v>
      </c>
      <c r="BR19" s="89">
        <v>0</v>
      </c>
      <c r="BS19" s="89">
        <v>0</v>
      </c>
      <c r="BT19" s="89">
        <v>0</v>
      </c>
      <c r="BU19" s="89">
        <v>0</v>
      </c>
      <c r="BV19" s="89">
        <v>0</v>
      </c>
    </row>
    <row r="20" spans="2:74" ht="15" customHeight="1">
      <c r="B20" s="86" t="s">
        <v>103</v>
      </c>
      <c r="C20" s="23" t="s">
        <v>114</v>
      </c>
      <c r="D20" s="87">
        <f>SUM(Resource_Rates_Table56[[#This Row],[Year 1 Hours]],Resource_Rates_Table56[[#This Row],[Year 2 Hours]],Resource_Rates_Table56[[#This Row],[Year 3 Hours]],Resource_Rates_Table56[[#This Row],[Year 4 Hours]],Resource_Rates_Table56[[#This Row],[Year 5 Hours]])</f>
        <v>0</v>
      </c>
      <c r="E20" s="88">
        <f t="shared" si="4"/>
        <v>0</v>
      </c>
      <c r="F2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0" s="88">
        <f t="shared" si="0"/>
        <v>0</v>
      </c>
      <c r="H20" s="88" t="str">
        <f>IFERROR(Resource_Rates_Table56[[#This Row],[Year 2 Hours]]/((IF(AND($D$4&gt;12,$D$4&lt;25),$D$4-12,IF($D$4&gt;24,12,"N/A")))*IF(VLOOKUP(Resource_Rates_Table56[[#This Row],[Resource Title]],'Resource Descriptions'!$D$6:$J$112,7,FALSE)="Onshore",$F$4,$F$5)),"N/A")</f>
        <v>N/A</v>
      </c>
      <c r="I20" s="88">
        <f t="shared" si="1"/>
        <v>0</v>
      </c>
      <c r="J20" s="88" t="str">
        <f>IFERROR(Resource_Rates_Table56[[#This Row],[Year 3 Hours]]/((IF(AND($D$4&gt;24,$D$4&lt;37),$D$4-24,IF($D$4&gt;36,12,"N/A")))*IF(VLOOKUP(Resource_Rates_Table56[[#This Row],[Resource Title]],'Resource Descriptions'!$D$6:$J$112,7,FALSE)="Onshore",$F$4,$F$5)),"N/A")</f>
        <v>N/A</v>
      </c>
      <c r="K20" s="88">
        <f t="shared" si="2"/>
        <v>0</v>
      </c>
      <c r="L20" s="88" t="str">
        <f>IFERROR(Resource_Rates_Table56[[#This Row],[Year 4 Hours]]/((IF(AND($D$4&gt;36,$D$4&lt;49),$D$4-36,IF($D$4&gt;48,12,"N/A")))*IF(VLOOKUP(Resource_Rates_Table56[[#This Row],[Resource Title]],'Resource Descriptions'!$D$6:$J$112,7,FALSE)="Onshore",$F$4,$F$5)),"N/A")</f>
        <v>N/A</v>
      </c>
      <c r="M20" s="88">
        <f t="shared" si="3"/>
        <v>0</v>
      </c>
      <c r="N20" s="88" t="str">
        <f>IFERROR(Resource_Rates_Table56[[#This Row],[Year 5 Hours]]/((IF(AND($D$4&gt;48,$D$4&lt;61),$D$4-48,IF($D$4&gt;60,12,"N/A")))*IF(VLOOKUP(Resource_Rates_Table56[[#This Row],[Resource Title]],'Resource Descriptions'!$D$6:$J$112,7,FALSE)="Onshore",$F$4,$F$5)),"N/A")</f>
        <v>N/A</v>
      </c>
      <c r="O20" s="89">
        <v>0</v>
      </c>
      <c r="P20" s="89">
        <v>0</v>
      </c>
      <c r="Q20" s="89">
        <v>0</v>
      </c>
      <c r="R20" s="89">
        <v>0</v>
      </c>
      <c r="S20" s="89">
        <v>0</v>
      </c>
      <c r="T20" s="89">
        <v>0</v>
      </c>
      <c r="U20" s="89">
        <v>0</v>
      </c>
      <c r="V20" s="89">
        <v>0</v>
      </c>
      <c r="W20" s="89">
        <v>0</v>
      </c>
      <c r="X20" s="89">
        <v>0</v>
      </c>
      <c r="Y20" s="89">
        <v>0</v>
      </c>
      <c r="Z20" s="89">
        <v>0</v>
      </c>
      <c r="AA20" s="89">
        <v>0</v>
      </c>
      <c r="AB20" s="89">
        <v>0</v>
      </c>
      <c r="AC20" s="89">
        <v>0</v>
      </c>
      <c r="AD20" s="89">
        <v>0</v>
      </c>
      <c r="AE20" s="89">
        <v>0</v>
      </c>
      <c r="AF20" s="89">
        <v>0</v>
      </c>
      <c r="AG20" s="89">
        <v>0</v>
      </c>
      <c r="AH20" s="89">
        <v>0</v>
      </c>
      <c r="AI20" s="89">
        <v>0</v>
      </c>
      <c r="AJ20" s="89">
        <v>0</v>
      </c>
      <c r="AK20" s="89">
        <v>0</v>
      </c>
      <c r="AL20" s="89">
        <v>0</v>
      </c>
      <c r="AM20" s="89">
        <v>0</v>
      </c>
      <c r="AN20" s="89">
        <v>0</v>
      </c>
      <c r="AO20" s="89">
        <v>0</v>
      </c>
      <c r="AP20" s="89">
        <v>0</v>
      </c>
      <c r="AQ20" s="89">
        <v>0</v>
      </c>
      <c r="AR20" s="89">
        <v>0</v>
      </c>
      <c r="AS20" s="89">
        <v>0</v>
      </c>
      <c r="AT20" s="89">
        <v>0</v>
      </c>
      <c r="AU20" s="89">
        <v>0</v>
      </c>
      <c r="AV20" s="89">
        <v>0</v>
      </c>
      <c r="AW20" s="89">
        <v>0</v>
      </c>
      <c r="AX20" s="89">
        <v>0</v>
      </c>
      <c r="AY20" s="89">
        <v>0</v>
      </c>
      <c r="AZ20" s="89">
        <v>0</v>
      </c>
      <c r="BA20" s="89">
        <v>0</v>
      </c>
      <c r="BB20" s="89">
        <v>0</v>
      </c>
      <c r="BC20" s="89">
        <v>0</v>
      </c>
      <c r="BD20" s="89">
        <v>0</v>
      </c>
      <c r="BE20" s="89">
        <v>0</v>
      </c>
      <c r="BF20" s="89">
        <v>0</v>
      </c>
      <c r="BG20" s="89">
        <v>0</v>
      </c>
      <c r="BH20" s="89">
        <v>0</v>
      </c>
      <c r="BI20" s="89">
        <v>0</v>
      </c>
      <c r="BJ20" s="89">
        <v>0</v>
      </c>
      <c r="BK20" s="89">
        <v>0</v>
      </c>
      <c r="BL20" s="89">
        <v>0</v>
      </c>
      <c r="BM20" s="89">
        <v>0</v>
      </c>
      <c r="BN20" s="89">
        <v>0</v>
      </c>
      <c r="BO20" s="89">
        <v>0</v>
      </c>
      <c r="BP20" s="89">
        <v>0</v>
      </c>
      <c r="BQ20" s="89">
        <v>0</v>
      </c>
      <c r="BR20" s="89">
        <v>0</v>
      </c>
      <c r="BS20" s="89">
        <v>0</v>
      </c>
      <c r="BT20" s="89">
        <v>0</v>
      </c>
      <c r="BU20" s="89">
        <v>0</v>
      </c>
      <c r="BV20" s="89">
        <v>0</v>
      </c>
    </row>
    <row r="21" spans="2:74" ht="15" customHeight="1">
      <c r="B21" s="86" t="s">
        <v>115</v>
      </c>
      <c r="C21" s="23" t="s">
        <v>116</v>
      </c>
      <c r="D21" s="87">
        <f>SUM(Resource_Rates_Table56[[#This Row],[Year 1 Hours]],Resource_Rates_Table56[[#This Row],[Year 2 Hours]],Resource_Rates_Table56[[#This Row],[Year 3 Hours]],Resource_Rates_Table56[[#This Row],[Year 4 Hours]],Resource_Rates_Table56[[#This Row],[Year 5 Hours]])</f>
        <v>0</v>
      </c>
      <c r="E21" s="88">
        <f t="shared" si="4"/>
        <v>0</v>
      </c>
      <c r="F2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1" s="88">
        <f t="shared" si="0"/>
        <v>0</v>
      </c>
      <c r="H21" s="88" t="str">
        <f>IFERROR(Resource_Rates_Table56[[#This Row],[Year 2 Hours]]/((IF(AND($D$4&gt;12,$D$4&lt;25),$D$4-12,IF($D$4&gt;24,12,"N/A")))*IF(VLOOKUP(Resource_Rates_Table56[[#This Row],[Resource Title]],'Resource Descriptions'!$D$6:$J$112,7,FALSE)="Onshore",$F$4,$F$5)),"N/A")</f>
        <v>N/A</v>
      </c>
      <c r="I21" s="88">
        <f t="shared" si="1"/>
        <v>0</v>
      </c>
      <c r="J21" s="88" t="str">
        <f>IFERROR(Resource_Rates_Table56[[#This Row],[Year 3 Hours]]/((IF(AND($D$4&gt;24,$D$4&lt;37),$D$4-24,IF($D$4&gt;36,12,"N/A")))*IF(VLOOKUP(Resource_Rates_Table56[[#This Row],[Resource Title]],'Resource Descriptions'!$D$6:$J$112,7,FALSE)="Onshore",$F$4,$F$5)),"N/A")</f>
        <v>N/A</v>
      </c>
      <c r="K21" s="88">
        <f t="shared" si="2"/>
        <v>0</v>
      </c>
      <c r="L21" s="88" t="str">
        <f>IFERROR(Resource_Rates_Table56[[#This Row],[Year 4 Hours]]/((IF(AND($D$4&gt;36,$D$4&lt;49),$D$4-36,IF($D$4&gt;48,12,"N/A")))*IF(VLOOKUP(Resource_Rates_Table56[[#This Row],[Resource Title]],'Resource Descriptions'!$D$6:$J$112,7,FALSE)="Onshore",$F$4,$F$5)),"N/A")</f>
        <v>N/A</v>
      </c>
      <c r="M21" s="88">
        <f t="shared" si="3"/>
        <v>0</v>
      </c>
      <c r="N21" s="88" t="str">
        <f>IFERROR(Resource_Rates_Table56[[#This Row],[Year 5 Hours]]/((IF(AND($D$4&gt;48,$D$4&lt;61),$D$4-48,IF($D$4&gt;60,12,"N/A")))*IF(VLOOKUP(Resource_Rates_Table56[[#This Row],[Resource Title]],'Resource Descriptions'!$D$6:$J$112,7,FALSE)="Onshore",$F$4,$F$5)),"N/A")</f>
        <v>N/A</v>
      </c>
      <c r="O21" s="89">
        <v>0</v>
      </c>
      <c r="P21" s="89">
        <v>0</v>
      </c>
      <c r="Q21" s="89">
        <v>0</v>
      </c>
      <c r="R21" s="89">
        <v>0</v>
      </c>
      <c r="S21" s="89">
        <v>0</v>
      </c>
      <c r="T21" s="89">
        <v>0</v>
      </c>
      <c r="U21" s="89">
        <v>0</v>
      </c>
      <c r="V21" s="89">
        <v>0</v>
      </c>
      <c r="W21" s="89">
        <v>0</v>
      </c>
      <c r="X21" s="89">
        <v>0</v>
      </c>
      <c r="Y21" s="89">
        <v>0</v>
      </c>
      <c r="Z21" s="89">
        <v>0</v>
      </c>
      <c r="AA21" s="89">
        <v>0</v>
      </c>
      <c r="AB21" s="89">
        <v>0</v>
      </c>
      <c r="AC21" s="89">
        <v>0</v>
      </c>
      <c r="AD21" s="89">
        <v>0</v>
      </c>
      <c r="AE21" s="89">
        <v>0</v>
      </c>
      <c r="AF21" s="89">
        <v>0</v>
      </c>
      <c r="AG21" s="89">
        <v>0</v>
      </c>
      <c r="AH21" s="89">
        <v>0</v>
      </c>
      <c r="AI21" s="89">
        <v>0</v>
      </c>
      <c r="AJ21" s="89">
        <v>0</v>
      </c>
      <c r="AK21" s="89">
        <v>0</v>
      </c>
      <c r="AL21" s="89">
        <v>0</v>
      </c>
      <c r="AM21" s="89">
        <v>0</v>
      </c>
      <c r="AN21" s="89">
        <v>0</v>
      </c>
      <c r="AO21" s="89">
        <v>0</v>
      </c>
      <c r="AP21" s="89">
        <v>0</v>
      </c>
      <c r="AQ21" s="89">
        <v>0</v>
      </c>
      <c r="AR21" s="89">
        <v>0</v>
      </c>
      <c r="AS21" s="89">
        <v>0</v>
      </c>
      <c r="AT21" s="89">
        <v>0</v>
      </c>
      <c r="AU21" s="89">
        <v>0</v>
      </c>
      <c r="AV21" s="89">
        <v>0</v>
      </c>
      <c r="AW21" s="89">
        <v>0</v>
      </c>
      <c r="AX21" s="89">
        <v>0</v>
      </c>
      <c r="AY21" s="89">
        <v>0</v>
      </c>
      <c r="AZ21" s="89">
        <v>0</v>
      </c>
      <c r="BA21" s="89">
        <v>0</v>
      </c>
      <c r="BB21" s="89">
        <v>0</v>
      </c>
      <c r="BC21" s="89">
        <v>0</v>
      </c>
      <c r="BD21" s="89">
        <v>0</v>
      </c>
      <c r="BE21" s="89">
        <v>0</v>
      </c>
      <c r="BF21" s="89">
        <v>0</v>
      </c>
      <c r="BG21" s="89">
        <v>0</v>
      </c>
      <c r="BH21" s="89">
        <v>0</v>
      </c>
      <c r="BI21" s="89">
        <v>0</v>
      </c>
      <c r="BJ21" s="89">
        <v>0</v>
      </c>
      <c r="BK21" s="89">
        <v>0</v>
      </c>
      <c r="BL21" s="89">
        <v>0</v>
      </c>
      <c r="BM21" s="89">
        <v>0</v>
      </c>
      <c r="BN21" s="89">
        <v>0</v>
      </c>
      <c r="BO21" s="89">
        <v>0</v>
      </c>
      <c r="BP21" s="89">
        <v>0</v>
      </c>
      <c r="BQ21" s="89">
        <v>0</v>
      </c>
      <c r="BR21" s="89">
        <v>0</v>
      </c>
      <c r="BS21" s="89">
        <v>0</v>
      </c>
      <c r="BT21" s="89">
        <v>0</v>
      </c>
      <c r="BU21" s="89">
        <v>0</v>
      </c>
      <c r="BV21" s="89">
        <v>0</v>
      </c>
    </row>
    <row r="22" spans="2:74" ht="15" customHeight="1">
      <c r="B22" s="86" t="s">
        <v>115</v>
      </c>
      <c r="C22" s="23" t="s">
        <v>117</v>
      </c>
      <c r="D22" s="87">
        <f>SUM(Resource_Rates_Table56[[#This Row],[Year 1 Hours]],Resource_Rates_Table56[[#This Row],[Year 2 Hours]],Resource_Rates_Table56[[#This Row],[Year 3 Hours]],Resource_Rates_Table56[[#This Row],[Year 4 Hours]],Resource_Rates_Table56[[#This Row],[Year 5 Hours]])</f>
        <v>0</v>
      </c>
      <c r="E22" s="88">
        <f t="shared" si="4"/>
        <v>0</v>
      </c>
      <c r="F2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2" s="88">
        <f t="shared" si="0"/>
        <v>0</v>
      </c>
      <c r="H22" s="88" t="str">
        <f>IFERROR(Resource_Rates_Table56[[#This Row],[Year 2 Hours]]/((IF(AND($D$4&gt;12,$D$4&lt;25),$D$4-12,IF($D$4&gt;24,12,"N/A")))*IF(VLOOKUP(Resource_Rates_Table56[[#This Row],[Resource Title]],'Resource Descriptions'!$D$6:$J$112,7,FALSE)="Onshore",$F$4,$F$5)),"N/A")</f>
        <v>N/A</v>
      </c>
      <c r="I22" s="88">
        <f t="shared" si="1"/>
        <v>0</v>
      </c>
      <c r="J22" s="88" t="str">
        <f>IFERROR(Resource_Rates_Table56[[#This Row],[Year 3 Hours]]/((IF(AND($D$4&gt;24,$D$4&lt;37),$D$4-24,IF($D$4&gt;36,12,"N/A")))*IF(VLOOKUP(Resource_Rates_Table56[[#This Row],[Resource Title]],'Resource Descriptions'!$D$6:$J$112,7,FALSE)="Onshore",$F$4,$F$5)),"N/A")</f>
        <v>N/A</v>
      </c>
      <c r="K22" s="88">
        <f t="shared" si="2"/>
        <v>0</v>
      </c>
      <c r="L22" s="88" t="str">
        <f>IFERROR(Resource_Rates_Table56[[#This Row],[Year 4 Hours]]/((IF(AND($D$4&gt;36,$D$4&lt;49),$D$4-36,IF($D$4&gt;48,12,"N/A")))*IF(VLOOKUP(Resource_Rates_Table56[[#This Row],[Resource Title]],'Resource Descriptions'!$D$6:$J$112,7,FALSE)="Onshore",$F$4,$F$5)),"N/A")</f>
        <v>N/A</v>
      </c>
      <c r="M22" s="88">
        <f t="shared" si="3"/>
        <v>0</v>
      </c>
      <c r="N22" s="88" t="str">
        <f>IFERROR(Resource_Rates_Table56[[#This Row],[Year 5 Hours]]/((IF(AND($D$4&gt;48,$D$4&lt;61),$D$4-48,IF($D$4&gt;60,12,"N/A")))*IF(VLOOKUP(Resource_Rates_Table56[[#This Row],[Resource Title]],'Resource Descriptions'!$D$6:$J$112,7,FALSE)="Onshore",$F$4,$F$5)),"N/A")</f>
        <v>N/A</v>
      </c>
      <c r="O22" s="89">
        <v>0</v>
      </c>
      <c r="P22" s="89">
        <v>0</v>
      </c>
      <c r="Q22" s="89">
        <v>0</v>
      </c>
      <c r="R22" s="89">
        <v>0</v>
      </c>
      <c r="S22" s="89">
        <v>0</v>
      </c>
      <c r="T22" s="89">
        <v>0</v>
      </c>
      <c r="U22" s="89">
        <v>0</v>
      </c>
      <c r="V22" s="89">
        <v>0</v>
      </c>
      <c r="W22" s="89">
        <v>0</v>
      </c>
      <c r="X22" s="89">
        <v>0</v>
      </c>
      <c r="Y22" s="89">
        <v>0</v>
      </c>
      <c r="Z22" s="89">
        <v>0</v>
      </c>
      <c r="AA22" s="89">
        <v>0</v>
      </c>
      <c r="AB22" s="89">
        <v>0</v>
      </c>
      <c r="AC22" s="89">
        <v>0</v>
      </c>
      <c r="AD22" s="89">
        <v>0</v>
      </c>
      <c r="AE22" s="89">
        <v>0</v>
      </c>
      <c r="AF22" s="89">
        <v>0</v>
      </c>
      <c r="AG22" s="89">
        <v>0</v>
      </c>
      <c r="AH22" s="89">
        <v>0</v>
      </c>
      <c r="AI22" s="89">
        <v>0</v>
      </c>
      <c r="AJ22" s="89">
        <v>0</v>
      </c>
      <c r="AK22" s="89">
        <v>0</v>
      </c>
      <c r="AL22" s="89">
        <v>0</v>
      </c>
      <c r="AM22" s="89">
        <v>0</v>
      </c>
      <c r="AN22" s="89">
        <v>0</v>
      </c>
      <c r="AO22" s="89">
        <v>0</v>
      </c>
      <c r="AP22" s="89">
        <v>0</v>
      </c>
      <c r="AQ22" s="89">
        <v>0</v>
      </c>
      <c r="AR22" s="89">
        <v>0</v>
      </c>
      <c r="AS22" s="89">
        <v>0</v>
      </c>
      <c r="AT22" s="89">
        <v>0</v>
      </c>
      <c r="AU22" s="89">
        <v>0</v>
      </c>
      <c r="AV22" s="89">
        <v>0</v>
      </c>
      <c r="AW22" s="89">
        <v>0</v>
      </c>
      <c r="AX22" s="89">
        <v>0</v>
      </c>
      <c r="AY22" s="89">
        <v>0</v>
      </c>
      <c r="AZ22" s="89">
        <v>0</v>
      </c>
      <c r="BA22" s="89">
        <v>0</v>
      </c>
      <c r="BB22" s="89">
        <v>0</v>
      </c>
      <c r="BC22" s="89">
        <v>0</v>
      </c>
      <c r="BD22" s="89">
        <v>0</v>
      </c>
      <c r="BE22" s="89">
        <v>0</v>
      </c>
      <c r="BF22" s="89">
        <v>0</v>
      </c>
      <c r="BG22" s="89">
        <v>0</v>
      </c>
      <c r="BH22" s="89">
        <v>0</v>
      </c>
      <c r="BI22" s="89">
        <v>0</v>
      </c>
      <c r="BJ22" s="89">
        <v>0</v>
      </c>
      <c r="BK22" s="89">
        <v>0</v>
      </c>
      <c r="BL22" s="89">
        <v>0</v>
      </c>
      <c r="BM22" s="89">
        <v>0</v>
      </c>
      <c r="BN22" s="89">
        <v>0</v>
      </c>
      <c r="BO22" s="89">
        <v>0</v>
      </c>
      <c r="BP22" s="89">
        <v>0</v>
      </c>
      <c r="BQ22" s="89">
        <v>0</v>
      </c>
      <c r="BR22" s="89">
        <v>0</v>
      </c>
      <c r="BS22" s="89">
        <v>0</v>
      </c>
      <c r="BT22" s="89">
        <v>0</v>
      </c>
      <c r="BU22" s="89">
        <v>0</v>
      </c>
      <c r="BV22" s="89">
        <v>0</v>
      </c>
    </row>
    <row r="23" spans="2:74" ht="15" customHeight="1">
      <c r="B23" s="86" t="s">
        <v>118</v>
      </c>
      <c r="C23" s="23" t="s">
        <v>119</v>
      </c>
      <c r="D23" s="87">
        <f>SUM(Resource_Rates_Table56[[#This Row],[Year 1 Hours]],Resource_Rates_Table56[[#This Row],[Year 2 Hours]],Resource_Rates_Table56[[#This Row],[Year 3 Hours]],Resource_Rates_Table56[[#This Row],[Year 4 Hours]],Resource_Rates_Table56[[#This Row],[Year 5 Hours]])</f>
        <v>0</v>
      </c>
      <c r="E23" s="88">
        <f t="shared" si="4"/>
        <v>0</v>
      </c>
      <c r="F2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3" s="88">
        <f t="shared" si="0"/>
        <v>0</v>
      </c>
      <c r="H23" s="88" t="str">
        <f>IFERROR(Resource_Rates_Table56[[#This Row],[Year 2 Hours]]/((IF(AND($D$4&gt;12,$D$4&lt;25),$D$4-12,IF($D$4&gt;24,12,"N/A")))*IF(VLOOKUP(Resource_Rates_Table56[[#This Row],[Resource Title]],'Resource Descriptions'!$D$6:$J$112,7,FALSE)="Onshore",$F$4,$F$5)),"N/A")</f>
        <v>N/A</v>
      </c>
      <c r="I23" s="88">
        <f t="shared" si="1"/>
        <v>0</v>
      </c>
      <c r="J23" s="88" t="str">
        <f>IFERROR(Resource_Rates_Table56[[#This Row],[Year 3 Hours]]/((IF(AND($D$4&gt;24,$D$4&lt;37),$D$4-24,IF($D$4&gt;36,12,"N/A")))*IF(VLOOKUP(Resource_Rates_Table56[[#This Row],[Resource Title]],'Resource Descriptions'!$D$6:$J$112,7,FALSE)="Onshore",$F$4,$F$5)),"N/A")</f>
        <v>N/A</v>
      </c>
      <c r="K23" s="88">
        <f t="shared" si="2"/>
        <v>0</v>
      </c>
      <c r="L23" s="88" t="str">
        <f>IFERROR(Resource_Rates_Table56[[#This Row],[Year 4 Hours]]/((IF(AND($D$4&gt;36,$D$4&lt;49),$D$4-36,IF($D$4&gt;48,12,"N/A")))*IF(VLOOKUP(Resource_Rates_Table56[[#This Row],[Resource Title]],'Resource Descriptions'!$D$6:$J$112,7,FALSE)="Onshore",$F$4,$F$5)),"N/A")</f>
        <v>N/A</v>
      </c>
      <c r="M23" s="88">
        <f t="shared" si="3"/>
        <v>0</v>
      </c>
      <c r="N23" s="88" t="str">
        <f>IFERROR(Resource_Rates_Table56[[#This Row],[Year 5 Hours]]/((IF(AND($D$4&gt;48,$D$4&lt;61),$D$4-48,IF($D$4&gt;60,12,"N/A")))*IF(VLOOKUP(Resource_Rates_Table56[[#This Row],[Resource Title]],'Resource Descriptions'!$D$6:$J$112,7,FALSE)="Onshore",$F$4,$F$5)),"N/A")</f>
        <v>N/A</v>
      </c>
      <c r="O23" s="89">
        <v>0</v>
      </c>
      <c r="P23" s="89">
        <v>0</v>
      </c>
      <c r="Q23" s="89">
        <v>0</v>
      </c>
      <c r="R23" s="89">
        <v>0</v>
      </c>
      <c r="S23" s="89">
        <v>0</v>
      </c>
      <c r="T23" s="89">
        <v>0</v>
      </c>
      <c r="U23" s="89">
        <v>0</v>
      </c>
      <c r="V23" s="89">
        <v>0</v>
      </c>
      <c r="W23" s="89">
        <v>0</v>
      </c>
      <c r="X23" s="89">
        <v>0</v>
      </c>
      <c r="Y23" s="89">
        <v>0</v>
      </c>
      <c r="Z23" s="89">
        <v>0</v>
      </c>
      <c r="AA23" s="89">
        <v>0</v>
      </c>
      <c r="AB23" s="89">
        <v>0</v>
      </c>
      <c r="AC23" s="89">
        <v>0</v>
      </c>
      <c r="AD23" s="89">
        <v>0</v>
      </c>
      <c r="AE23" s="89">
        <v>0</v>
      </c>
      <c r="AF23" s="89">
        <v>0</v>
      </c>
      <c r="AG23" s="89">
        <v>0</v>
      </c>
      <c r="AH23" s="89">
        <v>0</v>
      </c>
      <c r="AI23" s="89">
        <v>0</v>
      </c>
      <c r="AJ23" s="89">
        <v>0</v>
      </c>
      <c r="AK23" s="89">
        <v>0</v>
      </c>
      <c r="AL23" s="89">
        <v>0</v>
      </c>
      <c r="AM23" s="89">
        <v>0</v>
      </c>
      <c r="AN23" s="89">
        <v>0</v>
      </c>
      <c r="AO23" s="89">
        <v>0</v>
      </c>
      <c r="AP23" s="89">
        <v>0</v>
      </c>
      <c r="AQ23" s="89">
        <v>0</v>
      </c>
      <c r="AR23" s="89">
        <v>0</v>
      </c>
      <c r="AS23" s="89">
        <v>0</v>
      </c>
      <c r="AT23" s="89">
        <v>0</v>
      </c>
      <c r="AU23" s="89">
        <v>0</v>
      </c>
      <c r="AV23" s="89">
        <v>0</v>
      </c>
      <c r="AW23" s="89">
        <v>0</v>
      </c>
      <c r="AX23" s="89">
        <v>0</v>
      </c>
      <c r="AY23" s="89">
        <v>0</v>
      </c>
      <c r="AZ23" s="89">
        <v>0</v>
      </c>
      <c r="BA23" s="89">
        <v>0</v>
      </c>
      <c r="BB23" s="89">
        <v>0</v>
      </c>
      <c r="BC23" s="89">
        <v>0</v>
      </c>
      <c r="BD23" s="89">
        <v>0</v>
      </c>
      <c r="BE23" s="89">
        <v>0</v>
      </c>
      <c r="BF23" s="89">
        <v>0</v>
      </c>
      <c r="BG23" s="89">
        <v>0</v>
      </c>
      <c r="BH23" s="89">
        <v>0</v>
      </c>
      <c r="BI23" s="89">
        <v>0</v>
      </c>
      <c r="BJ23" s="89">
        <v>0</v>
      </c>
      <c r="BK23" s="89">
        <v>0</v>
      </c>
      <c r="BL23" s="89">
        <v>0</v>
      </c>
      <c r="BM23" s="89">
        <v>0</v>
      </c>
      <c r="BN23" s="89">
        <v>0</v>
      </c>
      <c r="BO23" s="89">
        <v>0</v>
      </c>
      <c r="BP23" s="89">
        <v>0</v>
      </c>
      <c r="BQ23" s="89">
        <v>0</v>
      </c>
      <c r="BR23" s="89">
        <v>0</v>
      </c>
      <c r="BS23" s="89">
        <v>0</v>
      </c>
      <c r="BT23" s="89">
        <v>0</v>
      </c>
      <c r="BU23" s="89">
        <v>0</v>
      </c>
      <c r="BV23" s="89">
        <v>0</v>
      </c>
    </row>
    <row r="24" spans="2:74" ht="15" customHeight="1">
      <c r="B24" s="86" t="s">
        <v>118</v>
      </c>
      <c r="C24" s="23" t="s">
        <v>120</v>
      </c>
      <c r="D24" s="87">
        <f>SUM(Resource_Rates_Table56[[#This Row],[Year 1 Hours]],Resource_Rates_Table56[[#This Row],[Year 2 Hours]],Resource_Rates_Table56[[#This Row],[Year 3 Hours]],Resource_Rates_Table56[[#This Row],[Year 4 Hours]],Resource_Rates_Table56[[#This Row],[Year 5 Hours]])</f>
        <v>0</v>
      </c>
      <c r="E24" s="88">
        <f t="shared" si="4"/>
        <v>0</v>
      </c>
      <c r="F2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4" s="88">
        <f t="shared" si="0"/>
        <v>0</v>
      </c>
      <c r="H24" s="88" t="str">
        <f>IFERROR(Resource_Rates_Table56[[#This Row],[Year 2 Hours]]/((IF(AND($D$4&gt;12,$D$4&lt;25),$D$4-12,IF($D$4&gt;24,12,"N/A")))*IF(VLOOKUP(Resource_Rates_Table56[[#This Row],[Resource Title]],'Resource Descriptions'!$D$6:$J$112,7,FALSE)="Onshore",$F$4,$F$5)),"N/A")</f>
        <v>N/A</v>
      </c>
      <c r="I24" s="88">
        <f t="shared" si="1"/>
        <v>0</v>
      </c>
      <c r="J24" s="88" t="str">
        <f>IFERROR(Resource_Rates_Table56[[#This Row],[Year 3 Hours]]/((IF(AND($D$4&gt;24,$D$4&lt;37),$D$4-24,IF($D$4&gt;36,12,"N/A")))*IF(VLOOKUP(Resource_Rates_Table56[[#This Row],[Resource Title]],'Resource Descriptions'!$D$6:$J$112,7,FALSE)="Onshore",$F$4,$F$5)),"N/A")</f>
        <v>N/A</v>
      </c>
      <c r="K24" s="88">
        <f t="shared" si="2"/>
        <v>0</v>
      </c>
      <c r="L24" s="88" t="str">
        <f>IFERROR(Resource_Rates_Table56[[#This Row],[Year 4 Hours]]/((IF(AND($D$4&gt;36,$D$4&lt;49),$D$4-36,IF($D$4&gt;48,12,"N/A")))*IF(VLOOKUP(Resource_Rates_Table56[[#This Row],[Resource Title]],'Resource Descriptions'!$D$6:$J$112,7,FALSE)="Onshore",$F$4,$F$5)),"N/A")</f>
        <v>N/A</v>
      </c>
      <c r="M24" s="88">
        <f t="shared" si="3"/>
        <v>0</v>
      </c>
      <c r="N24" s="88" t="str">
        <f>IFERROR(Resource_Rates_Table56[[#This Row],[Year 5 Hours]]/((IF(AND($D$4&gt;48,$D$4&lt;61),$D$4-48,IF($D$4&gt;60,12,"N/A")))*IF(VLOOKUP(Resource_Rates_Table56[[#This Row],[Resource Title]],'Resource Descriptions'!$D$6:$J$112,7,FALSE)="Onshore",$F$4,$F$5)),"N/A")</f>
        <v>N/A</v>
      </c>
      <c r="O24" s="89">
        <v>0</v>
      </c>
      <c r="P24" s="89">
        <v>0</v>
      </c>
      <c r="Q24" s="89">
        <v>0</v>
      </c>
      <c r="R24" s="89">
        <v>0</v>
      </c>
      <c r="S24" s="89">
        <v>0</v>
      </c>
      <c r="T24" s="89">
        <v>0</v>
      </c>
      <c r="U24" s="89">
        <v>0</v>
      </c>
      <c r="V24" s="89">
        <v>0</v>
      </c>
      <c r="W24" s="89">
        <v>0</v>
      </c>
      <c r="X24" s="89">
        <v>0</v>
      </c>
      <c r="Y24" s="89">
        <v>0</v>
      </c>
      <c r="Z24" s="89">
        <v>0</v>
      </c>
      <c r="AA24" s="89">
        <v>0</v>
      </c>
      <c r="AB24" s="89">
        <v>0</v>
      </c>
      <c r="AC24" s="89">
        <v>0</v>
      </c>
      <c r="AD24" s="89">
        <v>0</v>
      </c>
      <c r="AE24" s="89">
        <v>0</v>
      </c>
      <c r="AF24" s="89">
        <v>0</v>
      </c>
      <c r="AG24" s="89">
        <v>0</v>
      </c>
      <c r="AH24" s="89">
        <v>0</v>
      </c>
      <c r="AI24" s="89">
        <v>0</v>
      </c>
      <c r="AJ24" s="89">
        <v>0</v>
      </c>
      <c r="AK24" s="89">
        <v>0</v>
      </c>
      <c r="AL24" s="89">
        <v>0</v>
      </c>
      <c r="AM24" s="89">
        <v>0</v>
      </c>
      <c r="AN24" s="89">
        <v>0</v>
      </c>
      <c r="AO24" s="89">
        <v>0</v>
      </c>
      <c r="AP24" s="89">
        <v>0</v>
      </c>
      <c r="AQ24" s="89">
        <v>0</v>
      </c>
      <c r="AR24" s="89">
        <v>0</v>
      </c>
      <c r="AS24" s="89">
        <v>0</v>
      </c>
      <c r="AT24" s="89">
        <v>0</v>
      </c>
      <c r="AU24" s="89">
        <v>0</v>
      </c>
      <c r="AV24" s="89">
        <v>0</v>
      </c>
      <c r="AW24" s="89">
        <v>0</v>
      </c>
      <c r="AX24" s="89">
        <v>0</v>
      </c>
      <c r="AY24" s="89">
        <v>0</v>
      </c>
      <c r="AZ24" s="89">
        <v>0</v>
      </c>
      <c r="BA24" s="89">
        <v>0</v>
      </c>
      <c r="BB24" s="89">
        <v>0</v>
      </c>
      <c r="BC24" s="89">
        <v>0</v>
      </c>
      <c r="BD24" s="89">
        <v>0</v>
      </c>
      <c r="BE24" s="89">
        <v>0</v>
      </c>
      <c r="BF24" s="89">
        <v>0</v>
      </c>
      <c r="BG24" s="89">
        <v>0</v>
      </c>
      <c r="BH24" s="89">
        <v>0</v>
      </c>
      <c r="BI24" s="89">
        <v>0</v>
      </c>
      <c r="BJ24" s="89">
        <v>0</v>
      </c>
      <c r="BK24" s="89">
        <v>0</v>
      </c>
      <c r="BL24" s="89">
        <v>0</v>
      </c>
      <c r="BM24" s="89">
        <v>0</v>
      </c>
      <c r="BN24" s="89">
        <v>0</v>
      </c>
      <c r="BO24" s="89">
        <v>0</v>
      </c>
      <c r="BP24" s="89">
        <v>0</v>
      </c>
      <c r="BQ24" s="89">
        <v>0</v>
      </c>
      <c r="BR24" s="89">
        <v>0</v>
      </c>
      <c r="BS24" s="89">
        <v>0</v>
      </c>
      <c r="BT24" s="89">
        <v>0</v>
      </c>
      <c r="BU24" s="89">
        <v>0</v>
      </c>
      <c r="BV24" s="89">
        <v>0</v>
      </c>
    </row>
    <row r="25" spans="2:74" ht="15" customHeight="1">
      <c r="B25" s="86" t="s">
        <v>118</v>
      </c>
      <c r="C25" s="23" t="s">
        <v>121</v>
      </c>
      <c r="D25" s="87">
        <f>SUM(Resource_Rates_Table56[[#This Row],[Year 1 Hours]],Resource_Rates_Table56[[#This Row],[Year 2 Hours]],Resource_Rates_Table56[[#This Row],[Year 3 Hours]],Resource_Rates_Table56[[#This Row],[Year 4 Hours]],Resource_Rates_Table56[[#This Row],[Year 5 Hours]])</f>
        <v>0</v>
      </c>
      <c r="E25" s="88">
        <f t="shared" si="4"/>
        <v>0</v>
      </c>
      <c r="F2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5" s="88">
        <f t="shared" si="0"/>
        <v>0</v>
      </c>
      <c r="H25" s="88" t="str">
        <f>IFERROR(Resource_Rates_Table56[[#This Row],[Year 2 Hours]]/((IF(AND($D$4&gt;12,$D$4&lt;25),$D$4-12,IF($D$4&gt;24,12,"N/A")))*IF(VLOOKUP(Resource_Rates_Table56[[#This Row],[Resource Title]],'Resource Descriptions'!$D$6:$J$112,7,FALSE)="Onshore",$F$4,$F$5)),"N/A")</f>
        <v>N/A</v>
      </c>
      <c r="I25" s="88">
        <f t="shared" si="1"/>
        <v>0</v>
      </c>
      <c r="J25" s="88" t="str">
        <f>IFERROR(Resource_Rates_Table56[[#This Row],[Year 3 Hours]]/((IF(AND($D$4&gt;24,$D$4&lt;37),$D$4-24,IF($D$4&gt;36,12,"N/A")))*IF(VLOOKUP(Resource_Rates_Table56[[#This Row],[Resource Title]],'Resource Descriptions'!$D$6:$J$112,7,FALSE)="Onshore",$F$4,$F$5)),"N/A")</f>
        <v>N/A</v>
      </c>
      <c r="K25" s="88">
        <f t="shared" si="2"/>
        <v>0</v>
      </c>
      <c r="L25" s="88" t="str">
        <f>IFERROR(Resource_Rates_Table56[[#This Row],[Year 4 Hours]]/((IF(AND($D$4&gt;36,$D$4&lt;49),$D$4-36,IF($D$4&gt;48,12,"N/A")))*IF(VLOOKUP(Resource_Rates_Table56[[#This Row],[Resource Title]],'Resource Descriptions'!$D$6:$J$112,7,FALSE)="Onshore",$F$4,$F$5)),"N/A")</f>
        <v>N/A</v>
      </c>
      <c r="M25" s="88">
        <f t="shared" si="3"/>
        <v>0</v>
      </c>
      <c r="N25" s="88" t="str">
        <f>IFERROR(Resource_Rates_Table56[[#This Row],[Year 5 Hours]]/((IF(AND($D$4&gt;48,$D$4&lt;61),$D$4-48,IF($D$4&gt;60,12,"N/A")))*IF(VLOOKUP(Resource_Rates_Table56[[#This Row],[Resource Title]],'Resource Descriptions'!$D$6:$J$112,7,FALSE)="Onshore",$F$4,$F$5)),"N/A")</f>
        <v>N/A</v>
      </c>
      <c r="O25" s="89">
        <v>0</v>
      </c>
      <c r="P25" s="89">
        <v>0</v>
      </c>
      <c r="Q25" s="89">
        <v>0</v>
      </c>
      <c r="R25" s="89">
        <v>0</v>
      </c>
      <c r="S25" s="89">
        <v>0</v>
      </c>
      <c r="T25" s="89">
        <v>0</v>
      </c>
      <c r="U25" s="89">
        <v>0</v>
      </c>
      <c r="V25" s="89">
        <v>0</v>
      </c>
      <c r="W25" s="89">
        <v>0</v>
      </c>
      <c r="X25" s="89">
        <v>0</v>
      </c>
      <c r="Y25" s="89">
        <v>0</v>
      </c>
      <c r="Z25" s="89">
        <v>0</v>
      </c>
      <c r="AA25" s="89">
        <v>0</v>
      </c>
      <c r="AB25" s="89">
        <v>0</v>
      </c>
      <c r="AC25" s="89">
        <v>0</v>
      </c>
      <c r="AD25" s="89">
        <v>0</v>
      </c>
      <c r="AE25" s="89">
        <v>0</v>
      </c>
      <c r="AF25" s="89">
        <v>0</v>
      </c>
      <c r="AG25" s="89">
        <v>0</v>
      </c>
      <c r="AH25" s="89">
        <v>0</v>
      </c>
      <c r="AI25" s="89">
        <v>0</v>
      </c>
      <c r="AJ25" s="89">
        <v>0</v>
      </c>
      <c r="AK25" s="89">
        <v>0</v>
      </c>
      <c r="AL25" s="89">
        <v>0</v>
      </c>
      <c r="AM25" s="89">
        <v>0</v>
      </c>
      <c r="AN25" s="89">
        <v>0</v>
      </c>
      <c r="AO25" s="89">
        <v>0</v>
      </c>
      <c r="AP25" s="89">
        <v>0</v>
      </c>
      <c r="AQ25" s="89">
        <v>0</v>
      </c>
      <c r="AR25" s="89">
        <v>0</v>
      </c>
      <c r="AS25" s="89">
        <v>0</v>
      </c>
      <c r="AT25" s="89">
        <v>0</v>
      </c>
      <c r="AU25" s="89">
        <v>0</v>
      </c>
      <c r="AV25" s="89">
        <v>0</v>
      </c>
      <c r="AW25" s="89">
        <v>0</v>
      </c>
      <c r="AX25" s="89">
        <v>0</v>
      </c>
      <c r="AY25" s="89">
        <v>0</v>
      </c>
      <c r="AZ25" s="89">
        <v>0</v>
      </c>
      <c r="BA25" s="89">
        <v>0</v>
      </c>
      <c r="BB25" s="89">
        <v>0</v>
      </c>
      <c r="BC25" s="89">
        <v>0</v>
      </c>
      <c r="BD25" s="89">
        <v>0</v>
      </c>
      <c r="BE25" s="89">
        <v>0</v>
      </c>
      <c r="BF25" s="89">
        <v>0</v>
      </c>
      <c r="BG25" s="89">
        <v>0</v>
      </c>
      <c r="BH25" s="89">
        <v>0</v>
      </c>
      <c r="BI25" s="89">
        <v>0</v>
      </c>
      <c r="BJ25" s="89">
        <v>0</v>
      </c>
      <c r="BK25" s="89">
        <v>0</v>
      </c>
      <c r="BL25" s="89">
        <v>0</v>
      </c>
      <c r="BM25" s="89">
        <v>0</v>
      </c>
      <c r="BN25" s="89">
        <v>0</v>
      </c>
      <c r="BO25" s="89">
        <v>0</v>
      </c>
      <c r="BP25" s="89">
        <v>0</v>
      </c>
      <c r="BQ25" s="89">
        <v>0</v>
      </c>
      <c r="BR25" s="89">
        <v>0</v>
      </c>
      <c r="BS25" s="89">
        <v>0</v>
      </c>
      <c r="BT25" s="89">
        <v>0</v>
      </c>
      <c r="BU25" s="89">
        <v>0</v>
      </c>
      <c r="BV25" s="89">
        <v>0</v>
      </c>
    </row>
    <row r="26" spans="2:74" ht="15" customHeight="1">
      <c r="B26" s="86" t="s">
        <v>122</v>
      </c>
      <c r="C26" s="23" t="s">
        <v>123</v>
      </c>
      <c r="D26" s="87">
        <f>SUM(Resource_Rates_Table56[[#This Row],[Year 1 Hours]],Resource_Rates_Table56[[#This Row],[Year 2 Hours]],Resource_Rates_Table56[[#This Row],[Year 3 Hours]],Resource_Rates_Table56[[#This Row],[Year 4 Hours]],Resource_Rates_Table56[[#This Row],[Year 5 Hours]])</f>
        <v>0</v>
      </c>
      <c r="E26" s="88">
        <f t="shared" si="4"/>
        <v>0</v>
      </c>
      <c r="F2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6" s="88">
        <f t="shared" si="0"/>
        <v>0</v>
      </c>
      <c r="H26" s="88" t="str">
        <f>IFERROR(Resource_Rates_Table56[[#This Row],[Year 2 Hours]]/((IF(AND($D$4&gt;12,$D$4&lt;25),$D$4-12,IF($D$4&gt;24,12,"N/A")))*IF(VLOOKUP(Resource_Rates_Table56[[#This Row],[Resource Title]],'Resource Descriptions'!$D$6:$J$112,7,FALSE)="Onshore",$F$4,$F$5)),"N/A")</f>
        <v>N/A</v>
      </c>
      <c r="I26" s="88">
        <f t="shared" si="1"/>
        <v>0</v>
      </c>
      <c r="J26" s="88" t="str">
        <f>IFERROR(Resource_Rates_Table56[[#This Row],[Year 3 Hours]]/((IF(AND($D$4&gt;24,$D$4&lt;37),$D$4-24,IF($D$4&gt;36,12,"N/A")))*IF(VLOOKUP(Resource_Rates_Table56[[#This Row],[Resource Title]],'Resource Descriptions'!$D$6:$J$112,7,FALSE)="Onshore",$F$4,$F$5)),"N/A")</f>
        <v>N/A</v>
      </c>
      <c r="K26" s="88">
        <f t="shared" si="2"/>
        <v>0</v>
      </c>
      <c r="L26" s="88" t="str">
        <f>IFERROR(Resource_Rates_Table56[[#This Row],[Year 4 Hours]]/((IF(AND($D$4&gt;36,$D$4&lt;49),$D$4-36,IF($D$4&gt;48,12,"N/A")))*IF(VLOOKUP(Resource_Rates_Table56[[#This Row],[Resource Title]],'Resource Descriptions'!$D$6:$J$112,7,FALSE)="Onshore",$F$4,$F$5)),"N/A")</f>
        <v>N/A</v>
      </c>
      <c r="M26" s="88">
        <f t="shared" si="3"/>
        <v>0</v>
      </c>
      <c r="N26" s="88" t="str">
        <f>IFERROR(Resource_Rates_Table56[[#This Row],[Year 5 Hours]]/((IF(AND($D$4&gt;48,$D$4&lt;61),$D$4-48,IF($D$4&gt;60,12,"N/A")))*IF(VLOOKUP(Resource_Rates_Table56[[#This Row],[Resource Title]],'Resource Descriptions'!$D$6:$J$112,7,FALSE)="Onshore",$F$4,$F$5)),"N/A")</f>
        <v>N/A</v>
      </c>
      <c r="O26" s="89">
        <v>0</v>
      </c>
      <c r="P26" s="89">
        <v>0</v>
      </c>
      <c r="Q26" s="89">
        <v>0</v>
      </c>
      <c r="R26" s="89">
        <v>0</v>
      </c>
      <c r="S26" s="89">
        <v>0</v>
      </c>
      <c r="T26" s="89">
        <v>0</v>
      </c>
      <c r="U26" s="89">
        <v>0</v>
      </c>
      <c r="V26" s="89">
        <v>0</v>
      </c>
      <c r="W26" s="89">
        <v>0</v>
      </c>
      <c r="X26" s="89">
        <v>0</v>
      </c>
      <c r="Y26" s="89">
        <v>0</v>
      </c>
      <c r="Z26" s="89">
        <v>0</v>
      </c>
      <c r="AA26" s="89">
        <v>0</v>
      </c>
      <c r="AB26" s="89">
        <v>0</v>
      </c>
      <c r="AC26" s="89">
        <v>0</v>
      </c>
      <c r="AD26" s="89">
        <v>0</v>
      </c>
      <c r="AE26" s="89">
        <v>0</v>
      </c>
      <c r="AF26" s="89">
        <v>0</v>
      </c>
      <c r="AG26" s="89">
        <v>0</v>
      </c>
      <c r="AH26" s="89">
        <v>0</v>
      </c>
      <c r="AI26" s="89">
        <v>0</v>
      </c>
      <c r="AJ26" s="89">
        <v>0</v>
      </c>
      <c r="AK26" s="89">
        <v>0</v>
      </c>
      <c r="AL26" s="89">
        <v>0</v>
      </c>
      <c r="AM26" s="89">
        <v>0</v>
      </c>
      <c r="AN26" s="89">
        <v>0</v>
      </c>
      <c r="AO26" s="89">
        <v>0</v>
      </c>
      <c r="AP26" s="89">
        <v>0</v>
      </c>
      <c r="AQ26" s="89">
        <v>0</v>
      </c>
      <c r="AR26" s="89">
        <v>0</v>
      </c>
      <c r="AS26" s="89">
        <v>0</v>
      </c>
      <c r="AT26" s="89">
        <v>0</v>
      </c>
      <c r="AU26" s="89">
        <v>0</v>
      </c>
      <c r="AV26" s="89">
        <v>0</v>
      </c>
      <c r="AW26" s="89">
        <v>0</v>
      </c>
      <c r="AX26" s="89">
        <v>0</v>
      </c>
      <c r="AY26" s="89">
        <v>0</v>
      </c>
      <c r="AZ26" s="89">
        <v>0</v>
      </c>
      <c r="BA26" s="89">
        <v>0</v>
      </c>
      <c r="BB26" s="89">
        <v>0</v>
      </c>
      <c r="BC26" s="89">
        <v>0</v>
      </c>
      <c r="BD26" s="89">
        <v>0</v>
      </c>
      <c r="BE26" s="89">
        <v>0</v>
      </c>
      <c r="BF26" s="89">
        <v>0</v>
      </c>
      <c r="BG26" s="89">
        <v>0</v>
      </c>
      <c r="BH26" s="89">
        <v>0</v>
      </c>
      <c r="BI26" s="89">
        <v>0</v>
      </c>
      <c r="BJ26" s="89">
        <v>0</v>
      </c>
      <c r="BK26" s="89">
        <v>0</v>
      </c>
      <c r="BL26" s="89">
        <v>0</v>
      </c>
      <c r="BM26" s="89">
        <v>0</v>
      </c>
      <c r="BN26" s="89">
        <v>0</v>
      </c>
      <c r="BO26" s="89">
        <v>0</v>
      </c>
      <c r="BP26" s="89">
        <v>0</v>
      </c>
      <c r="BQ26" s="89">
        <v>0</v>
      </c>
      <c r="BR26" s="89">
        <v>0</v>
      </c>
      <c r="BS26" s="89">
        <v>0</v>
      </c>
      <c r="BT26" s="89">
        <v>0</v>
      </c>
      <c r="BU26" s="89">
        <v>0</v>
      </c>
      <c r="BV26" s="89">
        <v>0</v>
      </c>
    </row>
    <row r="27" spans="2:74" ht="15" customHeight="1">
      <c r="B27" s="86" t="s">
        <v>122</v>
      </c>
      <c r="C27" s="23" t="s">
        <v>124</v>
      </c>
      <c r="D27" s="87">
        <f>SUM(Resource_Rates_Table56[[#This Row],[Year 1 Hours]],Resource_Rates_Table56[[#This Row],[Year 2 Hours]],Resource_Rates_Table56[[#This Row],[Year 3 Hours]],Resource_Rates_Table56[[#This Row],[Year 4 Hours]],Resource_Rates_Table56[[#This Row],[Year 5 Hours]])</f>
        <v>0</v>
      </c>
      <c r="E27" s="88">
        <f t="shared" si="4"/>
        <v>0</v>
      </c>
      <c r="F2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7" s="88">
        <f t="shared" si="0"/>
        <v>0</v>
      </c>
      <c r="H27" s="88" t="str">
        <f>IFERROR(Resource_Rates_Table56[[#This Row],[Year 2 Hours]]/((IF(AND($D$4&gt;12,$D$4&lt;25),$D$4-12,IF($D$4&gt;24,12,"N/A")))*IF(VLOOKUP(Resource_Rates_Table56[[#This Row],[Resource Title]],'Resource Descriptions'!$D$6:$J$112,7,FALSE)="Onshore",$F$4,$F$5)),"N/A")</f>
        <v>N/A</v>
      </c>
      <c r="I27" s="88">
        <f t="shared" si="1"/>
        <v>0</v>
      </c>
      <c r="J27" s="88" t="str">
        <f>IFERROR(Resource_Rates_Table56[[#This Row],[Year 3 Hours]]/((IF(AND($D$4&gt;24,$D$4&lt;37),$D$4-24,IF($D$4&gt;36,12,"N/A")))*IF(VLOOKUP(Resource_Rates_Table56[[#This Row],[Resource Title]],'Resource Descriptions'!$D$6:$J$112,7,FALSE)="Onshore",$F$4,$F$5)),"N/A")</f>
        <v>N/A</v>
      </c>
      <c r="K27" s="88">
        <f t="shared" si="2"/>
        <v>0</v>
      </c>
      <c r="L27" s="88" t="str">
        <f>IFERROR(Resource_Rates_Table56[[#This Row],[Year 4 Hours]]/((IF(AND($D$4&gt;36,$D$4&lt;49),$D$4-36,IF($D$4&gt;48,12,"N/A")))*IF(VLOOKUP(Resource_Rates_Table56[[#This Row],[Resource Title]],'Resource Descriptions'!$D$6:$J$112,7,FALSE)="Onshore",$F$4,$F$5)),"N/A")</f>
        <v>N/A</v>
      </c>
      <c r="M27" s="88">
        <f t="shared" si="3"/>
        <v>0</v>
      </c>
      <c r="N27" s="88" t="str">
        <f>IFERROR(Resource_Rates_Table56[[#This Row],[Year 5 Hours]]/((IF(AND($D$4&gt;48,$D$4&lt;61),$D$4-48,IF($D$4&gt;60,12,"N/A")))*IF(VLOOKUP(Resource_Rates_Table56[[#This Row],[Resource Title]],'Resource Descriptions'!$D$6:$J$112,7,FALSE)="Onshore",$F$4,$F$5)),"N/A")</f>
        <v>N/A</v>
      </c>
      <c r="O27" s="89">
        <v>0</v>
      </c>
      <c r="P27" s="89">
        <v>0</v>
      </c>
      <c r="Q27" s="89">
        <v>0</v>
      </c>
      <c r="R27" s="89">
        <v>0</v>
      </c>
      <c r="S27" s="89">
        <v>0</v>
      </c>
      <c r="T27" s="89">
        <v>0</v>
      </c>
      <c r="U27" s="89">
        <v>0</v>
      </c>
      <c r="V27" s="89">
        <v>0</v>
      </c>
      <c r="W27" s="89">
        <v>0</v>
      </c>
      <c r="X27" s="89">
        <v>0</v>
      </c>
      <c r="Y27" s="89">
        <v>0</v>
      </c>
      <c r="Z27" s="89">
        <v>0</v>
      </c>
      <c r="AA27" s="89">
        <v>0</v>
      </c>
      <c r="AB27" s="89">
        <v>0</v>
      </c>
      <c r="AC27" s="89">
        <v>0</v>
      </c>
      <c r="AD27" s="89">
        <v>0</v>
      </c>
      <c r="AE27" s="89">
        <v>0</v>
      </c>
      <c r="AF27" s="89">
        <v>0</v>
      </c>
      <c r="AG27" s="89">
        <v>0</v>
      </c>
      <c r="AH27" s="89">
        <v>0</v>
      </c>
      <c r="AI27" s="89">
        <v>0</v>
      </c>
      <c r="AJ27" s="89">
        <v>0</v>
      </c>
      <c r="AK27" s="89">
        <v>0</v>
      </c>
      <c r="AL27" s="89">
        <v>0</v>
      </c>
      <c r="AM27" s="89">
        <v>0</v>
      </c>
      <c r="AN27" s="89">
        <v>0</v>
      </c>
      <c r="AO27" s="89">
        <v>0</v>
      </c>
      <c r="AP27" s="89">
        <v>0</v>
      </c>
      <c r="AQ27" s="89">
        <v>0</v>
      </c>
      <c r="AR27" s="89">
        <v>0</v>
      </c>
      <c r="AS27" s="89">
        <v>0</v>
      </c>
      <c r="AT27" s="89">
        <v>0</v>
      </c>
      <c r="AU27" s="89">
        <v>0</v>
      </c>
      <c r="AV27" s="89">
        <v>0</v>
      </c>
      <c r="AW27" s="89">
        <v>0</v>
      </c>
      <c r="AX27" s="89">
        <v>0</v>
      </c>
      <c r="AY27" s="89">
        <v>0</v>
      </c>
      <c r="AZ27" s="89">
        <v>0</v>
      </c>
      <c r="BA27" s="89">
        <v>0</v>
      </c>
      <c r="BB27" s="89">
        <v>0</v>
      </c>
      <c r="BC27" s="89">
        <v>0</v>
      </c>
      <c r="BD27" s="89">
        <v>0</v>
      </c>
      <c r="BE27" s="89">
        <v>0</v>
      </c>
      <c r="BF27" s="89">
        <v>0</v>
      </c>
      <c r="BG27" s="89">
        <v>0</v>
      </c>
      <c r="BH27" s="89">
        <v>0</v>
      </c>
      <c r="BI27" s="89">
        <v>0</v>
      </c>
      <c r="BJ27" s="89">
        <v>0</v>
      </c>
      <c r="BK27" s="89">
        <v>0</v>
      </c>
      <c r="BL27" s="89">
        <v>0</v>
      </c>
      <c r="BM27" s="89">
        <v>0</v>
      </c>
      <c r="BN27" s="89">
        <v>0</v>
      </c>
      <c r="BO27" s="89">
        <v>0</v>
      </c>
      <c r="BP27" s="89">
        <v>0</v>
      </c>
      <c r="BQ27" s="89">
        <v>0</v>
      </c>
      <c r="BR27" s="89">
        <v>0</v>
      </c>
      <c r="BS27" s="89">
        <v>0</v>
      </c>
      <c r="BT27" s="89">
        <v>0</v>
      </c>
      <c r="BU27" s="89">
        <v>0</v>
      </c>
      <c r="BV27" s="89">
        <v>0</v>
      </c>
    </row>
    <row r="28" spans="2:74" ht="15" customHeight="1">
      <c r="B28" s="86" t="s">
        <v>122</v>
      </c>
      <c r="C28" s="23" t="s">
        <v>125</v>
      </c>
      <c r="D28" s="87">
        <f>SUM(Resource_Rates_Table56[[#This Row],[Year 1 Hours]],Resource_Rates_Table56[[#This Row],[Year 2 Hours]],Resource_Rates_Table56[[#This Row],[Year 3 Hours]],Resource_Rates_Table56[[#This Row],[Year 4 Hours]],Resource_Rates_Table56[[#This Row],[Year 5 Hours]])</f>
        <v>0</v>
      </c>
      <c r="E28" s="88">
        <f t="shared" si="4"/>
        <v>0</v>
      </c>
      <c r="F2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8" s="88">
        <f t="shared" si="0"/>
        <v>0</v>
      </c>
      <c r="H28" s="88" t="str">
        <f>IFERROR(Resource_Rates_Table56[[#This Row],[Year 2 Hours]]/((IF(AND($D$4&gt;12,$D$4&lt;25),$D$4-12,IF($D$4&gt;24,12,"N/A")))*IF(VLOOKUP(Resource_Rates_Table56[[#This Row],[Resource Title]],'Resource Descriptions'!$D$6:$J$112,7,FALSE)="Onshore",$F$4,$F$5)),"N/A")</f>
        <v>N/A</v>
      </c>
      <c r="I28" s="88">
        <f t="shared" si="1"/>
        <v>0</v>
      </c>
      <c r="J28" s="88" t="str">
        <f>IFERROR(Resource_Rates_Table56[[#This Row],[Year 3 Hours]]/((IF(AND($D$4&gt;24,$D$4&lt;37),$D$4-24,IF($D$4&gt;36,12,"N/A")))*IF(VLOOKUP(Resource_Rates_Table56[[#This Row],[Resource Title]],'Resource Descriptions'!$D$6:$J$112,7,FALSE)="Onshore",$F$4,$F$5)),"N/A")</f>
        <v>N/A</v>
      </c>
      <c r="K28" s="88">
        <f t="shared" si="2"/>
        <v>0</v>
      </c>
      <c r="L28" s="88" t="str">
        <f>IFERROR(Resource_Rates_Table56[[#This Row],[Year 4 Hours]]/((IF(AND($D$4&gt;36,$D$4&lt;49),$D$4-36,IF($D$4&gt;48,12,"N/A")))*IF(VLOOKUP(Resource_Rates_Table56[[#This Row],[Resource Title]],'Resource Descriptions'!$D$6:$J$112,7,FALSE)="Onshore",$F$4,$F$5)),"N/A")</f>
        <v>N/A</v>
      </c>
      <c r="M28" s="88">
        <f t="shared" si="3"/>
        <v>0</v>
      </c>
      <c r="N28" s="88" t="str">
        <f>IFERROR(Resource_Rates_Table56[[#This Row],[Year 5 Hours]]/((IF(AND($D$4&gt;48,$D$4&lt;61),$D$4-48,IF($D$4&gt;60,12,"N/A")))*IF(VLOOKUP(Resource_Rates_Table56[[#This Row],[Resource Title]],'Resource Descriptions'!$D$6:$J$112,7,FALSE)="Onshore",$F$4,$F$5)),"N/A")</f>
        <v>N/A</v>
      </c>
      <c r="O28" s="89">
        <v>0</v>
      </c>
      <c r="P28" s="89">
        <v>0</v>
      </c>
      <c r="Q28" s="89">
        <v>0</v>
      </c>
      <c r="R28" s="89">
        <v>0</v>
      </c>
      <c r="S28" s="89">
        <v>0</v>
      </c>
      <c r="T28" s="89">
        <v>0</v>
      </c>
      <c r="U28" s="89">
        <v>0</v>
      </c>
      <c r="V28" s="89">
        <v>0</v>
      </c>
      <c r="W28" s="89">
        <v>0</v>
      </c>
      <c r="X28" s="89">
        <v>0</v>
      </c>
      <c r="Y28" s="89">
        <v>0</v>
      </c>
      <c r="Z28" s="89">
        <v>0</v>
      </c>
      <c r="AA28" s="89">
        <v>0</v>
      </c>
      <c r="AB28" s="89">
        <v>0</v>
      </c>
      <c r="AC28" s="89">
        <v>0</v>
      </c>
      <c r="AD28" s="89">
        <v>0</v>
      </c>
      <c r="AE28" s="89">
        <v>0</v>
      </c>
      <c r="AF28" s="89">
        <v>0</v>
      </c>
      <c r="AG28" s="89">
        <v>0</v>
      </c>
      <c r="AH28" s="89">
        <v>0</v>
      </c>
      <c r="AI28" s="89">
        <v>0</v>
      </c>
      <c r="AJ28" s="89">
        <v>0</v>
      </c>
      <c r="AK28" s="89">
        <v>0</v>
      </c>
      <c r="AL28" s="89">
        <v>0</v>
      </c>
      <c r="AM28" s="89">
        <v>0</v>
      </c>
      <c r="AN28" s="89">
        <v>0</v>
      </c>
      <c r="AO28" s="89">
        <v>0</v>
      </c>
      <c r="AP28" s="89">
        <v>0</v>
      </c>
      <c r="AQ28" s="89">
        <v>0</v>
      </c>
      <c r="AR28" s="89">
        <v>0</v>
      </c>
      <c r="AS28" s="89">
        <v>0</v>
      </c>
      <c r="AT28" s="89">
        <v>0</v>
      </c>
      <c r="AU28" s="89">
        <v>0</v>
      </c>
      <c r="AV28" s="89">
        <v>0</v>
      </c>
      <c r="AW28" s="89">
        <v>0</v>
      </c>
      <c r="AX28" s="89">
        <v>0</v>
      </c>
      <c r="AY28" s="89">
        <v>0</v>
      </c>
      <c r="AZ28" s="89">
        <v>0</v>
      </c>
      <c r="BA28" s="89">
        <v>0</v>
      </c>
      <c r="BB28" s="89">
        <v>0</v>
      </c>
      <c r="BC28" s="89">
        <v>0</v>
      </c>
      <c r="BD28" s="89">
        <v>0</v>
      </c>
      <c r="BE28" s="89">
        <v>0</v>
      </c>
      <c r="BF28" s="89">
        <v>0</v>
      </c>
      <c r="BG28" s="89">
        <v>0</v>
      </c>
      <c r="BH28" s="89">
        <v>0</v>
      </c>
      <c r="BI28" s="89">
        <v>0</v>
      </c>
      <c r="BJ28" s="89">
        <v>0</v>
      </c>
      <c r="BK28" s="89">
        <v>0</v>
      </c>
      <c r="BL28" s="89">
        <v>0</v>
      </c>
      <c r="BM28" s="89">
        <v>0</v>
      </c>
      <c r="BN28" s="89">
        <v>0</v>
      </c>
      <c r="BO28" s="89">
        <v>0</v>
      </c>
      <c r="BP28" s="89">
        <v>0</v>
      </c>
      <c r="BQ28" s="89">
        <v>0</v>
      </c>
      <c r="BR28" s="89">
        <v>0</v>
      </c>
      <c r="BS28" s="89">
        <v>0</v>
      </c>
      <c r="BT28" s="89">
        <v>0</v>
      </c>
      <c r="BU28" s="89">
        <v>0</v>
      </c>
      <c r="BV28" s="89">
        <v>0</v>
      </c>
    </row>
    <row r="29" spans="2:74" ht="15" customHeight="1">
      <c r="B29" s="86" t="s">
        <v>122</v>
      </c>
      <c r="C29" s="23" t="s">
        <v>126</v>
      </c>
      <c r="D29" s="87">
        <f>SUM(Resource_Rates_Table56[[#This Row],[Year 1 Hours]],Resource_Rates_Table56[[#This Row],[Year 2 Hours]],Resource_Rates_Table56[[#This Row],[Year 3 Hours]],Resource_Rates_Table56[[#This Row],[Year 4 Hours]],Resource_Rates_Table56[[#This Row],[Year 5 Hours]])</f>
        <v>0</v>
      </c>
      <c r="E29" s="88">
        <f t="shared" si="4"/>
        <v>0</v>
      </c>
      <c r="F2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9" s="88">
        <f t="shared" si="0"/>
        <v>0</v>
      </c>
      <c r="H29" s="88" t="str">
        <f>IFERROR(Resource_Rates_Table56[[#This Row],[Year 2 Hours]]/((IF(AND($D$4&gt;12,$D$4&lt;25),$D$4-12,IF($D$4&gt;24,12,"N/A")))*IF(VLOOKUP(Resource_Rates_Table56[[#This Row],[Resource Title]],'Resource Descriptions'!$D$6:$J$112,7,FALSE)="Onshore",$F$4,$F$5)),"N/A")</f>
        <v>N/A</v>
      </c>
      <c r="I29" s="88">
        <f t="shared" si="1"/>
        <v>0</v>
      </c>
      <c r="J29" s="88" t="str">
        <f>IFERROR(Resource_Rates_Table56[[#This Row],[Year 3 Hours]]/((IF(AND($D$4&gt;24,$D$4&lt;37),$D$4-24,IF($D$4&gt;36,12,"N/A")))*IF(VLOOKUP(Resource_Rates_Table56[[#This Row],[Resource Title]],'Resource Descriptions'!$D$6:$J$112,7,FALSE)="Onshore",$F$4,$F$5)),"N/A")</f>
        <v>N/A</v>
      </c>
      <c r="K29" s="88">
        <f t="shared" si="2"/>
        <v>0</v>
      </c>
      <c r="L29" s="88" t="str">
        <f>IFERROR(Resource_Rates_Table56[[#This Row],[Year 4 Hours]]/((IF(AND($D$4&gt;36,$D$4&lt;49),$D$4-36,IF($D$4&gt;48,12,"N/A")))*IF(VLOOKUP(Resource_Rates_Table56[[#This Row],[Resource Title]],'Resource Descriptions'!$D$6:$J$112,7,FALSE)="Onshore",$F$4,$F$5)),"N/A")</f>
        <v>N/A</v>
      </c>
      <c r="M29" s="88">
        <f t="shared" si="3"/>
        <v>0</v>
      </c>
      <c r="N29" s="88" t="str">
        <f>IFERROR(Resource_Rates_Table56[[#This Row],[Year 5 Hours]]/((IF(AND($D$4&gt;48,$D$4&lt;61),$D$4-48,IF($D$4&gt;60,12,"N/A")))*IF(VLOOKUP(Resource_Rates_Table56[[#This Row],[Resource Title]],'Resource Descriptions'!$D$6:$J$112,7,FALSE)="Onshore",$F$4,$F$5)),"N/A")</f>
        <v>N/A</v>
      </c>
      <c r="O29" s="89">
        <v>0</v>
      </c>
      <c r="P29" s="89">
        <v>0</v>
      </c>
      <c r="Q29" s="89">
        <v>0</v>
      </c>
      <c r="R29" s="89">
        <v>0</v>
      </c>
      <c r="S29" s="89">
        <v>0</v>
      </c>
      <c r="T29" s="89">
        <v>0</v>
      </c>
      <c r="U29" s="89">
        <v>0</v>
      </c>
      <c r="V29" s="89">
        <v>0</v>
      </c>
      <c r="W29" s="89">
        <v>0</v>
      </c>
      <c r="X29" s="89">
        <v>0</v>
      </c>
      <c r="Y29" s="89">
        <v>0</v>
      </c>
      <c r="Z29" s="89">
        <v>0</v>
      </c>
      <c r="AA29" s="89">
        <v>0</v>
      </c>
      <c r="AB29" s="89">
        <v>0</v>
      </c>
      <c r="AC29" s="89">
        <v>0</v>
      </c>
      <c r="AD29" s="89">
        <v>0</v>
      </c>
      <c r="AE29" s="89">
        <v>0</v>
      </c>
      <c r="AF29" s="89">
        <v>0</v>
      </c>
      <c r="AG29" s="89">
        <v>0</v>
      </c>
      <c r="AH29" s="89">
        <v>0</v>
      </c>
      <c r="AI29" s="89">
        <v>0</v>
      </c>
      <c r="AJ29" s="89">
        <v>0</v>
      </c>
      <c r="AK29" s="89">
        <v>0</v>
      </c>
      <c r="AL29" s="89">
        <v>0</v>
      </c>
      <c r="AM29" s="89">
        <v>0</v>
      </c>
      <c r="AN29" s="89">
        <v>0</v>
      </c>
      <c r="AO29" s="89">
        <v>0</v>
      </c>
      <c r="AP29" s="89">
        <v>0</v>
      </c>
      <c r="AQ29" s="89">
        <v>0</v>
      </c>
      <c r="AR29" s="89">
        <v>0</v>
      </c>
      <c r="AS29" s="89">
        <v>0</v>
      </c>
      <c r="AT29" s="89">
        <v>0</v>
      </c>
      <c r="AU29" s="89">
        <v>0</v>
      </c>
      <c r="AV29" s="89">
        <v>0</v>
      </c>
      <c r="AW29" s="89">
        <v>0</v>
      </c>
      <c r="AX29" s="89">
        <v>0</v>
      </c>
      <c r="AY29" s="89">
        <v>0</v>
      </c>
      <c r="AZ29" s="89">
        <v>0</v>
      </c>
      <c r="BA29" s="89">
        <v>0</v>
      </c>
      <c r="BB29" s="89">
        <v>0</v>
      </c>
      <c r="BC29" s="89">
        <v>0</v>
      </c>
      <c r="BD29" s="89">
        <v>0</v>
      </c>
      <c r="BE29" s="89">
        <v>0</v>
      </c>
      <c r="BF29" s="89">
        <v>0</v>
      </c>
      <c r="BG29" s="89">
        <v>0</v>
      </c>
      <c r="BH29" s="89">
        <v>0</v>
      </c>
      <c r="BI29" s="89">
        <v>0</v>
      </c>
      <c r="BJ29" s="89">
        <v>0</v>
      </c>
      <c r="BK29" s="89">
        <v>0</v>
      </c>
      <c r="BL29" s="89">
        <v>0</v>
      </c>
      <c r="BM29" s="89">
        <v>0</v>
      </c>
      <c r="BN29" s="89">
        <v>0</v>
      </c>
      <c r="BO29" s="89">
        <v>0</v>
      </c>
      <c r="BP29" s="89">
        <v>0</v>
      </c>
      <c r="BQ29" s="89">
        <v>0</v>
      </c>
      <c r="BR29" s="89">
        <v>0</v>
      </c>
      <c r="BS29" s="89">
        <v>0</v>
      </c>
      <c r="BT29" s="89">
        <v>0</v>
      </c>
      <c r="BU29" s="89">
        <v>0</v>
      </c>
      <c r="BV29" s="89">
        <v>0</v>
      </c>
    </row>
    <row r="30" spans="2:74" ht="15" customHeight="1">
      <c r="B30" s="86" t="s">
        <v>127</v>
      </c>
      <c r="C30" s="23" t="s">
        <v>128</v>
      </c>
      <c r="D30" s="87">
        <f>SUM(Resource_Rates_Table56[[#This Row],[Year 1 Hours]],Resource_Rates_Table56[[#This Row],[Year 2 Hours]],Resource_Rates_Table56[[#This Row],[Year 3 Hours]],Resource_Rates_Table56[[#This Row],[Year 4 Hours]],Resource_Rates_Table56[[#This Row],[Year 5 Hours]])</f>
        <v>0</v>
      </c>
      <c r="E30" s="88">
        <f t="shared" ref="E30:E108" si="5">SUM(O30:Z30)</f>
        <v>0</v>
      </c>
      <c r="F3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0" s="88">
        <f t="shared" si="0"/>
        <v>0</v>
      </c>
      <c r="H30" s="88" t="str">
        <f>IFERROR(Resource_Rates_Table56[[#This Row],[Year 2 Hours]]/((IF(AND($D$4&gt;12,$D$4&lt;25),$D$4-12,IF($D$4&gt;24,12,"N/A")))*IF(VLOOKUP(Resource_Rates_Table56[[#This Row],[Resource Title]],'Resource Descriptions'!$D$6:$J$112,7,FALSE)="Onshore",$F$4,$F$5)),"N/A")</f>
        <v>N/A</v>
      </c>
      <c r="I30" s="88">
        <f t="shared" ref="I30:I108" si="6">SUM(AM30:AX30)</f>
        <v>0</v>
      </c>
      <c r="J30" s="88" t="str">
        <f>IFERROR(Resource_Rates_Table56[[#This Row],[Year 3 Hours]]/((IF(AND($D$4&gt;24,$D$4&lt;37),$D$4-24,IF($D$4&gt;36,12,"N/A")))*IF(VLOOKUP(Resource_Rates_Table56[[#This Row],[Resource Title]],'Resource Descriptions'!$D$6:$J$112,7,FALSE)="Onshore",$F$4,$F$5)),"N/A")</f>
        <v>N/A</v>
      </c>
      <c r="K30" s="88">
        <f t="shared" ref="K30:K108" si="7">SUM(AY30:BJ30)</f>
        <v>0</v>
      </c>
      <c r="L30" s="88" t="str">
        <f>IFERROR(Resource_Rates_Table56[[#This Row],[Year 4 Hours]]/((IF(AND($D$4&gt;36,$D$4&lt;49),$D$4-36,IF($D$4&gt;48,12,"N/A")))*IF(VLOOKUP(Resource_Rates_Table56[[#This Row],[Resource Title]],'Resource Descriptions'!$D$6:$J$112,7,FALSE)="Onshore",$F$4,$F$5)),"N/A")</f>
        <v>N/A</v>
      </c>
      <c r="M30" s="88">
        <f t="shared" ref="M30:M108" si="8">SUM(BK30:BV30)</f>
        <v>0</v>
      </c>
      <c r="N30" s="88" t="str">
        <f>IFERROR(Resource_Rates_Table56[[#This Row],[Year 5 Hours]]/((IF(AND($D$4&gt;48,$D$4&lt;61),$D$4-48,IF($D$4&gt;60,12,"N/A")))*IF(VLOOKUP(Resource_Rates_Table56[[#This Row],[Resource Title]],'Resource Descriptions'!$D$6:$J$112,7,FALSE)="Onshore",$F$4,$F$5)),"N/A")</f>
        <v>N/A</v>
      </c>
      <c r="O30" s="89">
        <v>0</v>
      </c>
      <c r="P30" s="89">
        <v>0</v>
      </c>
      <c r="Q30" s="89">
        <v>0</v>
      </c>
      <c r="R30" s="89">
        <v>0</v>
      </c>
      <c r="S30" s="89">
        <v>0</v>
      </c>
      <c r="T30" s="89">
        <v>0</v>
      </c>
      <c r="U30" s="89">
        <v>0</v>
      </c>
      <c r="V30" s="89">
        <v>0</v>
      </c>
      <c r="W30" s="89">
        <v>0</v>
      </c>
      <c r="X30" s="89">
        <v>0</v>
      </c>
      <c r="Y30" s="89">
        <v>0</v>
      </c>
      <c r="Z30" s="89">
        <v>0</v>
      </c>
      <c r="AA30" s="89">
        <v>0</v>
      </c>
      <c r="AB30" s="89">
        <v>0</v>
      </c>
      <c r="AC30" s="89">
        <v>0</v>
      </c>
      <c r="AD30" s="89">
        <v>0</v>
      </c>
      <c r="AE30" s="89">
        <v>0</v>
      </c>
      <c r="AF30" s="89">
        <v>0</v>
      </c>
      <c r="AG30" s="89">
        <v>0</v>
      </c>
      <c r="AH30" s="89">
        <v>0</v>
      </c>
      <c r="AI30" s="89">
        <v>0</v>
      </c>
      <c r="AJ30" s="89">
        <v>0</v>
      </c>
      <c r="AK30" s="89">
        <v>0</v>
      </c>
      <c r="AL30" s="89">
        <v>0</v>
      </c>
      <c r="AM30" s="89">
        <v>0</v>
      </c>
      <c r="AN30" s="89">
        <v>0</v>
      </c>
      <c r="AO30" s="89">
        <v>0</v>
      </c>
      <c r="AP30" s="89">
        <v>0</v>
      </c>
      <c r="AQ30" s="89">
        <v>0</v>
      </c>
      <c r="AR30" s="89">
        <v>0</v>
      </c>
      <c r="AS30" s="89">
        <v>0</v>
      </c>
      <c r="AT30" s="89">
        <v>0</v>
      </c>
      <c r="AU30" s="89">
        <v>0</v>
      </c>
      <c r="AV30" s="89">
        <v>0</v>
      </c>
      <c r="AW30" s="89">
        <v>0</v>
      </c>
      <c r="AX30" s="89">
        <v>0</v>
      </c>
      <c r="AY30" s="89">
        <v>0</v>
      </c>
      <c r="AZ30" s="89">
        <v>0</v>
      </c>
      <c r="BA30" s="89">
        <v>0</v>
      </c>
      <c r="BB30" s="89">
        <v>0</v>
      </c>
      <c r="BC30" s="89">
        <v>0</v>
      </c>
      <c r="BD30" s="89">
        <v>0</v>
      </c>
      <c r="BE30" s="89">
        <v>0</v>
      </c>
      <c r="BF30" s="89">
        <v>0</v>
      </c>
      <c r="BG30" s="89">
        <v>0</v>
      </c>
      <c r="BH30" s="89">
        <v>0</v>
      </c>
      <c r="BI30" s="89">
        <v>0</v>
      </c>
      <c r="BJ30" s="89">
        <v>0</v>
      </c>
      <c r="BK30" s="89">
        <v>0</v>
      </c>
      <c r="BL30" s="89">
        <v>0</v>
      </c>
      <c r="BM30" s="89">
        <v>0</v>
      </c>
      <c r="BN30" s="89">
        <v>0</v>
      </c>
      <c r="BO30" s="89">
        <v>0</v>
      </c>
      <c r="BP30" s="89">
        <v>0</v>
      </c>
      <c r="BQ30" s="89">
        <v>0</v>
      </c>
      <c r="BR30" s="89">
        <v>0</v>
      </c>
      <c r="BS30" s="89">
        <v>0</v>
      </c>
      <c r="BT30" s="89">
        <v>0</v>
      </c>
      <c r="BU30" s="89">
        <v>0</v>
      </c>
      <c r="BV30" s="89">
        <v>0</v>
      </c>
    </row>
    <row r="31" spans="2:74" ht="15" customHeight="1">
      <c r="B31" s="86" t="s">
        <v>127</v>
      </c>
      <c r="C31" s="23" t="s">
        <v>129</v>
      </c>
      <c r="D31" s="87">
        <f>SUM(Resource_Rates_Table56[[#This Row],[Year 1 Hours]],Resource_Rates_Table56[[#This Row],[Year 2 Hours]],Resource_Rates_Table56[[#This Row],[Year 3 Hours]],Resource_Rates_Table56[[#This Row],[Year 4 Hours]],Resource_Rates_Table56[[#This Row],[Year 5 Hours]])</f>
        <v>0</v>
      </c>
      <c r="E31" s="88">
        <f t="shared" si="5"/>
        <v>0</v>
      </c>
      <c r="F3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1" s="88">
        <f t="shared" ref="G31:G108" si="9">SUM(AA31:AL31)</f>
        <v>0</v>
      </c>
      <c r="H31" s="88" t="str">
        <f>IFERROR(Resource_Rates_Table56[[#This Row],[Year 2 Hours]]/((IF(AND($D$4&gt;12,$D$4&lt;25),$D$4-12,IF($D$4&gt;24,12,"N/A")))*IF(VLOOKUP(Resource_Rates_Table56[[#This Row],[Resource Title]],'Resource Descriptions'!$D$6:$J$112,7,FALSE)="Onshore",$F$4,$F$5)),"N/A")</f>
        <v>N/A</v>
      </c>
      <c r="I31" s="88">
        <f t="shared" si="6"/>
        <v>0</v>
      </c>
      <c r="J31" s="88" t="str">
        <f>IFERROR(Resource_Rates_Table56[[#This Row],[Year 3 Hours]]/((IF(AND($D$4&gt;24,$D$4&lt;37),$D$4-24,IF($D$4&gt;36,12,"N/A")))*IF(VLOOKUP(Resource_Rates_Table56[[#This Row],[Resource Title]],'Resource Descriptions'!$D$6:$J$112,7,FALSE)="Onshore",$F$4,$F$5)),"N/A")</f>
        <v>N/A</v>
      </c>
      <c r="K31" s="88">
        <f t="shared" si="7"/>
        <v>0</v>
      </c>
      <c r="L31" s="88" t="str">
        <f>IFERROR(Resource_Rates_Table56[[#This Row],[Year 4 Hours]]/((IF(AND($D$4&gt;36,$D$4&lt;49),$D$4-36,IF($D$4&gt;48,12,"N/A")))*IF(VLOOKUP(Resource_Rates_Table56[[#This Row],[Resource Title]],'Resource Descriptions'!$D$6:$J$112,7,FALSE)="Onshore",$F$4,$F$5)),"N/A")</f>
        <v>N/A</v>
      </c>
      <c r="M31" s="88">
        <f t="shared" si="8"/>
        <v>0</v>
      </c>
      <c r="N31" s="88" t="str">
        <f>IFERROR(Resource_Rates_Table56[[#This Row],[Year 5 Hours]]/((IF(AND($D$4&gt;48,$D$4&lt;61),$D$4-48,IF($D$4&gt;60,12,"N/A")))*IF(VLOOKUP(Resource_Rates_Table56[[#This Row],[Resource Title]],'Resource Descriptions'!$D$6:$J$112,7,FALSE)="Onshore",$F$4,$F$5)),"N/A")</f>
        <v>N/A</v>
      </c>
      <c r="O31" s="89">
        <v>0</v>
      </c>
      <c r="P31" s="89">
        <v>0</v>
      </c>
      <c r="Q31" s="89">
        <v>0</v>
      </c>
      <c r="R31" s="89">
        <v>0</v>
      </c>
      <c r="S31" s="89">
        <v>0</v>
      </c>
      <c r="T31" s="89">
        <v>0</v>
      </c>
      <c r="U31" s="89">
        <v>0</v>
      </c>
      <c r="V31" s="89">
        <v>0</v>
      </c>
      <c r="W31" s="89">
        <v>0</v>
      </c>
      <c r="X31" s="89">
        <v>0</v>
      </c>
      <c r="Y31" s="89">
        <v>0</v>
      </c>
      <c r="Z31" s="89">
        <v>0</v>
      </c>
      <c r="AA31" s="89">
        <v>0</v>
      </c>
      <c r="AB31" s="89">
        <v>0</v>
      </c>
      <c r="AC31" s="89">
        <v>0</v>
      </c>
      <c r="AD31" s="89">
        <v>0</v>
      </c>
      <c r="AE31" s="89">
        <v>0</v>
      </c>
      <c r="AF31" s="89">
        <v>0</v>
      </c>
      <c r="AG31" s="89">
        <v>0</v>
      </c>
      <c r="AH31" s="89">
        <v>0</v>
      </c>
      <c r="AI31" s="89">
        <v>0</v>
      </c>
      <c r="AJ31" s="89">
        <v>0</v>
      </c>
      <c r="AK31" s="89">
        <v>0</v>
      </c>
      <c r="AL31" s="89">
        <v>0</v>
      </c>
      <c r="AM31" s="89">
        <v>0</v>
      </c>
      <c r="AN31" s="89">
        <v>0</v>
      </c>
      <c r="AO31" s="89">
        <v>0</v>
      </c>
      <c r="AP31" s="89">
        <v>0</v>
      </c>
      <c r="AQ31" s="89">
        <v>0</v>
      </c>
      <c r="AR31" s="89">
        <v>0</v>
      </c>
      <c r="AS31" s="89">
        <v>0</v>
      </c>
      <c r="AT31" s="89">
        <v>0</v>
      </c>
      <c r="AU31" s="89">
        <v>0</v>
      </c>
      <c r="AV31" s="89">
        <v>0</v>
      </c>
      <c r="AW31" s="89">
        <v>0</v>
      </c>
      <c r="AX31" s="89">
        <v>0</v>
      </c>
      <c r="AY31" s="89">
        <v>0</v>
      </c>
      <c r="AZ31" s="89">
        <v>0</v>
      </c>
      <c r="BA31" s="89">
        <v>0</v>
      </c>
      <c r="BB31" s="89">
        <v>0</v>
      </c>
      <c r="BC31" s="89">
        <v>0</v>
      </c>
      <c r="BD31" s="89">
        <v>0</v>
      </c>
      <c r="BE31" s="89">
        <v>0</v>
      </c>
      <c r="BF31" s="89">
        <v>0</v>
      </c>
      <c r="BG31" s="89">
        <v>0</v>
      </c>
      <c r="BH31" s="89">
        <v>0</v>
      </c>
      <c r="BI31" s="89">
        <v>0</v>
      </c>
      <c r="BJ31" s="89">
        <v>0</v>
      </c>
      <c r="BK31" s="89">
        <v>0</v>
      </c>
      <c r="BL31" s="89">
        <v>0</v>
      </c>
      <c r="BM31" s="89">
        <v>0</v>
      </c>
      <c r="BN31" s="89">
        <v>0</v>
      </c>
      <c r="BO31" s="89">
        <v>0</v>
      </c>
      <c r="BP31" s="89">
        <v>0</v>
      </c>
      <c r="BQ31" s="89">
        <v>0</v>
      </c>
      <c r="BR31" s="89">
        <v>0</v>
      </c>
      <c r="BS31" s="89">
        <v>0</v>
      </c>
      <c r="BT31" s="89">
        <v>0</v>
      </c>
      <c r="BU31" s="89">
        <v>0</v>
      </c>
      <c r="BV31" s="89">
        <v>0</v>
      </c>
    </row>
    <row r="32" spans="2:74" ht="15" customHeight="1">
      <c r="B32" s="86" t="s">
        <v>127</v>
      </c>
      <c r="C32" s="23" t="s">
        <v>130</v>
      </c>
      <c r="D32" s="87">
        <f>SUM(Resource_Rates_Table56[[#This Row],[Year 1 Hours]],Resource_Rates_Table56[[#This Row],[Year 2 Hours]],Resource_Rates_Table56[[#This Row],[Year 3 Hours]],Resource_Rates_Table56[[#This Row],[Year 4 Hours]],Resource_Rates_Table56[[#This Row],[Year 5 Hours]])</f>
        <v>0</v>
      </c>
      <c r="E32" s="88">
        <f t="shared" si="5"/>
        <v>0</v>
      </c>
      <c r="F3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2" s="88">
        <f t="shared" si="9"/>
        <v>0</v>
      </c>
      <c r="H32" s="88" t="str">
        <f>IFERROR(Resource_Rates_Table56[[#This Row],[Year 2 Hours]]/((IF(AND($D$4&gt;12,$D$4&lt;25),$D$4-12,IF($D$4&gt;24,12,"N/A")))*IF(VLOOKUP(Resource_Rates_Table56[[#This Row],[Resource Title]],'Resource Descriptions'!$D$6:$J$112,7,FALSE)="Onshore",$F$4,$F$5)),"N/A")</f>
        <v>N/A</v>
      </c>
      <c r="I32" s="88">
        <f t="shared" si="6"/>
        <v>0</v>
      </c>
      <c r="J32" s="88" t="str">
        <f>IFERROR(Resource_Rates_Table56[[#This Row],[Year 3 Hours]]/((IF(AND($D$4&gt;24,$D$4&lt;37),$D$4-24,IF($D$4&gt;36,12,"N/A")))*IF(VLOOKUP(Resource_Rates_Table56[[#This Row],[Resource Title]],'Resource Descriptions'!$D$6:$J$112,7,FALSE)="Onshore",$F$4,$F$5)),"N/A")</f>
        <v>N/A</v>
      </c>
      <c r="K32" s="88">
        <f t="shared" si="7"/>
        <v>0</v>
      </c>
      <c r="L32" s="88" t="str">
        <f>IFERROR(Resource_Rates_Table56[[#This Row],[Year 4 Hours]]/((IF(AND($D$4&gt;36,$D$4&lt;49),$D$4-36,IF($D$4&gt;48,12,"N/A")))*IF(VLOOKUP(Resource_Rates_Table56[[#This Row],[Resource Title]],'Resource Descriptions'!$D$6:$J$112,7,FALSE)="Onshore",$F$4,$F$5)),"N/A")</f>
        <v>N/A</v>
      </c>
      <c r="M32" s="88">
        <f t="shared" si="8"/>
        <v>0</v>
      </c>
      <c r="N32" s="88" t="str">
        <f>IFERROR(Resource_Rates_Table56[[#This Row],[Year 5 Hours]]/((IF(AND($D$4&gt;48,$D$4&lt;61),$D$4-48,IF($D$4&gt;60,12,"N/A")))*IF(VLOOKUP(Resource_Rates_Table56[[#This Row],[Resource Title]],'Resource Descriptions'!$D$6:$J$112,7,FALSE)="Onshore",$F$4,$F$5)),"N/A")</f>
        <v>N/A</v>
      </c>
      <c r="O32" s="89">
        <v>0</v>
      </c>
      <c r="P32" s="89">
        <v>0</v>
      </c>
      <c r="Q32" s="89">
        <v>0</v>
      </c>
      <c r="R32" s="89">
        <v>0</v>
      </c>
      <c r="S32" s="89">
        <v>0</v>
      </c>
      <c r="T32" s="89">
        <v>0</v>
      </c>
      <c r="U32" s="89">
        <v>0</v>
      </c>
      <c r="V32" s="89">
        <v>0</v>
      </c>
      <c r="W32" s="89">
        <v>0</v>
      </c>
      <c r="X32" s="89">
        <v>0</v>
      </c>
      <c r="Y32" s="89">
        <v>0</v>
      </c>
      <c r="Z32" s="89">
        <v>0</v>
      </c>
      <c r="AA32" s="89">
        <v>0</v>
      </c>
      <c r="AB32" s="89">
        <v>0</v>
      </c>
      <c r="AC32" s="89">
        <v>0</v>
      </c>
      <c r="AD32" s="89">
        <v>0</v>
      </c>
      <c r="AE32" s="89">
        <v>0</v>
      </c>
      <c r="AF32" s="89">
        <v>0</v>
      </c>
      <c r="AG32" s="89">
        <v>0</v>
      </c>
      <c r="AH32" s="89">
        <v>0</v>
      </c>
      <c r="AI32" s="89">
        <v>0</v>
      </c>
      <c r="AJ32" s="89">
        <v>0</v>
      </c>
      <c r="AK32" s="89">
        <v>0</v>
      </c>
      <c r="AL32" s="89">
        <v>0</v>
      </c>
      <c r="AM32" s="89">
        <v>0</v>
      </c>
      <c r="AN32" s="89">
        <v>0</v>
      </c>
      <c r="AO32" s="89">
        <v>0</v>
      </c>
      <c r="AP32" s="89">
        <v>0</v>
      </c>
      <c r="AQ32" s="89">
        <v>0</v>
      </c>
      <c r="AR32" s="89">
        <v>0</v>
      </c>
      <c r="AS32" s="89">
        <v>0</v>
      </c>
      <c r="AT32" s="89">
        <v>0</v>
      </c>
      <c r="AU32" s="89">
        <v>0</v>
      </c>
      <c r="AV32" s="89">
        <v>0</v>
      </c>
      <c r="AW32" s="89">
        <v>0</v>
      </c>
      <c r="AX32" s="89">
        <v>0</v>
      </c>
      <c r="AY32" s="89">
        <v>0</v>
      </c>
      <c r="AZ32" s="89">
        <v>0</v>
      </c>
      <c r="BA32" s="89">
        <v>0</v>
      </c>
      <c r="BB32" s="89">
        <v>0</v>
      </c>
      <c r="BC32" s="89">
        <v>0</v>
      </c>
      <c r="BD32" s="89">
        <v>0</v>
      </c>
      <c r="BE32" s="89">
        <v>0</v>
      </c>
      <c r="BF32" s="89">
        <v>0</v>
      </c>
      <c r="BG32" s="89">
        <v>0</v>
      </c>
      <c r="BH32" s="89">
        <v>0</v>
      </c>
      <c r="BI32" s="89">
        <v>0</v>
      </c>
      <c r="BJ32" s="89">
        <v>0</v>
      </c>
      <c r="BK32" s="89">
        <v>0</v>
      </c>
      <c r="BL32" s="89">
        <v>0</v>
      </c>
      <c r="BM32" s="89">
        <v>0</v>
      </c>
      <c r="BN32" s="89">
        <v>0</v>
      </c>
      <c r="BO32" s="89">
        <v>0</v>
      </c>
      <c r="BP32" s="89">
        <v>0</v>
      </c>
      <c r="BQ32" s="89">
        <v>0</v>
      </c>
      <c r="BR32" s="89">
        <v>0</v>
      </c>
      <c r="BS32" s="89">
        <v>0</v>
      </c>
      <c r="BT32" s="89">
        <v>0</v>
      </c>
      <c r="BU32" s="89">
        <v>0</v>
      </c>
      <c r="BV32" s="89">
        <v>0</v>
      </c>
    </row>
    <row r="33" spans="2:74" ht="15" customHeight="1">
      <c r="B33" s="86" t="s">
        <v>127</v>
      </c>
      <c r="C33" s="23" t="s">
        <v>131</v>
      </c>
      <c r="D33" s="87">
        <f>SUM(Resource_Rates_Table56[[#This Row],[Year 1 Hours]],Resource_Rates_Table56[[#This Row],[Year 2 Hours]],Resource_Rates_Table56[[#This Row],[Year 3 Hours]],Resource_Rates_Table56[[#This Row],[Year 4 Hours]],Resource_Rates_Table56[[#This Row],[Year 5 Hours]])</f>
        <v>0</v>
      </c>
      <c r="E33" s="88">
        <f t="shared" si="5"/>
        <v>0</v>
      </c>
      <c r="F3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3" s="88">
        <f t="shared" si="9"/>
        <v>0</v>
      </c>
      <c r="H33" s="88" t="str">
        <f>IFERROR(Resource_Rates_Table56[[#This Row],[Year 2 Hours]]/((IF(AND($D$4&gt;12,$D$4&lt;25),$D$4-12,IF($D$4&gt;24,12,"N/A")))*IF(VLOOKUP(Resource_Rates_Table56[[#This Row],[Resource Title]],'Resource Descriptions'!$D$6:$J$112,7,FALSE)="Onshore",$F$4,$F$5)),"N/A")</f>
        <v>N/A</v>
      </c>
      <c r="I33" s="88">
        <f t="shared" si="6"/>
        <v>0</v>
      </c>
      <c r="J33" s="88" t="str">
        <f>IFERROR(Resource_Rates_Table56[[#This Row],[Year 3 Hours]]/((IF(AND($D$4&gt;24,$D$4&lt;37),$D$4-24,IF($D$4&gt;36,12,"N/A")))*IF(VLOOKUP(Resource_Rates_Table56[[#This Row],[Resource Title]],'Resource Descriptions'!$D$6:$J$112,7,FALSE)="Onshore",$F$4,$F$5)),"N/A")</f>
        <v>N/A</v>
      </c>
      <c r="K33" s="88">
        <f t="shared" si="7"/>
        <v>0</v>
      </c>
      <c r="L33" s="88" t="str">
        <f>IFERROR(Resource_Rates_Table56[[#This Row],[Year 4 Hours]]/((IF(AND($D$4&gt;36,$D$4&lt;49),$D$4-36,IF($D$4&gt;48,12,"N/A")))*IF(VLOOKUP(Resource_Rates_Table56[[#This Row],[Resource Title]],'Resource Descriptions'!$D$6:$J$112,7,FALSE)="Onshore",$F$4,$F$5)),"N/A")</f>
        <v>N/A</v>
      </c>
      <c r="M33" s="88">
        <f t="shared" si="8"/>
        <v>0</v>
      </c>
      <c r="N33" s="88" t="str">
        <f>IFERROR(Resource_Rates_Table56[[#This Row],[Year 5 Hours]]/((IF(AND($D$4&gt;48,$D$4&lt;61),$D$4-48,IF($D$4&gt;60,12,"N/A")))*IF(VLOOKUP(Resource_Rates_Table56[[#This Row],[Resource Title]],'Resource Descriptions'!$D$6:$J$112,7,FALSE)="Onshore",$F$4,$F$5)),"N/A")</f>
        <v>N/A</v>
      </c>
      <c r="O33" s="89">
        <v>0</v>
      </c>
      <c r="P33" s="89">
        <v>0</v>
      </c>
      <c r="Q33" s="89">
        <v>0</v>
      </c>
      <c r="R33" s="89">
        <v>0</v>
      </c>
      <c r="S33" s="89">
        <v>0</v>
      </c>
      <c r="T33" s="89">
        <v>0</v>
      </c>
      <c r="U33" s="89">
        <v>0</v>
      </c>
      <c r="V33" s="89">
        <v>0</v>
      </c>
      <c r="W33" s="89">
        <v>0</v>
      </c>
      <c r="X33" s="89">
        <v>0</v>
      </c>
      <c r="Y33" s="89">
        <v>0</v>
      </c>
      <c r="Z33" s="89">
        <v>0</v>
      </c>
      <c r="AA33" s="89">
        <v>0</v>
      </c>
      <c r="AB33" s="89">
        <v>0</v>
      </c>
      <c r="AC33" s="89">
        <v>0</v>
      </c>
      <c r="AD33" s="89">
        <v>0</v>
      </c>
      <c r="AE33" s="89">
        <v>0</v>
      </c>
      <c r="AF33" s="89">
        <v>0</v>
      </c>
      <c r="AG33" s="89">
        <v>0</v>
      </c>
      <c r="AH33" s="89">
        <v>0</v>
      </c>
      <c r="AI33" s="89">
        <v>0</v>
      </c>
      <c r="AJ33" s="89">
        <v>0</v>
      </c>
      <c r="AK33" s="89">
        <v>0</v>
      </c>
      <c r="AL33" s="89">
        <v>0</v>
      </c>
      <c r="AM33" s="89">
        <v>0</v>
      </c>
      <c r="AN33" s="89">
        <v>0</v>
      </c>
      <c r="AO33" s="89">
        <v>0</v>
      </c>
      <c r="AP33" s="89">
        <v>0</v>
      </c>
      <c r="AQ33" s="89">
        <v>0</v>
      </c>
      <c r="AR33" s="89">
        <v>0</v>
      </c>
      <c r="AS33" s="89">
        <v>0</v>
      </c>
      <c r="AT33" s="89">
        <v>0</v>
      </c>
      <c r="AU33" s="89">
        <v>0</v>
      </c>
      <c r="AV33" s="89">
        <v>0</v>
      </c>
      <c r="AW33" s="89">
        <v>0</v>
      </c>
      <c r="AX33" s="89">
        <v>0</v>
      </c>
      <c r="AY33" s="89">
        <v>0</v>
      </c>
      <c r="AZ33" s="89">
        <v>0</v>
      </c>
      <c r="BA33" s="89">
        <v>0</v>
      </c>
      <c r="BB33" s="89">
        <v>0</v>
      </c>
      <c r="BC33" s="89">
        <v>0</v>
      </c>
      <c r="BD33" s="89">
        <v>0</v>
      </c>
      <c r="BE33" s="89">
        <v>0</v>
      </c>
      <c r="BF33" s="89">
        <v>0</v>
      </c>
      <c r="BG33" s="89">
        <v>0</v>
      </c>
      <c r="BH33" s="89">
        <v>0</v>
      </c>
      <c r="BI33" s="89">
        <v>0</v>
      </c>
      <c r="BJ33" s="89">
        <v>0</v>
      </c>
      <c r="BK33" s="89">
        <v>0</v>
      </c>
      <c r="BL33" s="89">
        <v>0</v>
      </c>
      <c r="BM33" s="89">
        <v>0</v>
      </c>
      <c r="BN33" s="89">
        <v>0</v>
      </c>
      <c r="BO33" s="89">
        <v>0</v>
      </c>
      <c r="BP33" s="89">
        <v>0</v>
      </c>
      <c r="BQ33" s="89">
        <v>0</v>
      </c>
      <c r="BR33" s="89">
        <v>0</v>
      </c>
      <c r="BS33" s="89">
        <v>0</v>
      </c>
      <c r="BT33" s="89">
        <v>0</v>
      </c>
      <c r="BU33" s="89">
        <v>0</v>
      </c>
      <c r="BV33" s="89">
        <v>0</v>
      </c>
    </row>
    <row r="34" spans="2:74" ht="15" customHeight="1">
      <c r="B34" s="86" t="s">
        <v>127</v>
      </c>
      <c r="C34" s="23" t="s">
        <v>132</v>
      </c>
      <c r="D34" s="87">
        <f>SUM(Resource_Rates_Table56[[#This Row],[Year 1 Hours]],Resource_Rates_Table56[[#This Row],[Year 2 Hours]],Resource_Rates_Table56[[#This Row],[Year 3 Hours]],Resource_Rates_Table56[[#This Row],[Year 4 Hours]],Resource_Rates_Table56[[#This Row],[Year 5 Hours]])</f>
        <v>0</v>
      </c>
      <c r="E34" s="88">
        <f t="shared" si="5"/>
        <v>0</v>
      </c>
      <c r="F3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4" s="88">
        <f t="shared" si="9"/>
        <v>0</v>
      </c>
      <c r="H34" s="88" t="str">
        <f>IFERROR(Resource_Rates_Table56[[#This Row],[Year 2 Hours]]/((IF(AND($D$4&gt;12,$D$4&lt;25),$D$4-12,IF($D$4&gt;24,12,"N/A")))*IF(VLOOKUP(Resource_Rates_Table56[[#This Row],[Resource Title]],'Resource Descriptions'!$D$6:$J$112,7,FALSE)="Onshore",$F$4,$F$5)),"N/A")</f>
        <v>N/A</v>
      </c>
      <c r="I34" s="88">
        <f t="shared" si="6"/>
        <v>0</v>
      </c>
      <c r="J34" s="88" t="str">
        <f>IFERROR(Resource_Rates_Table56[[#This Row],[Year 3 Hours]]/((IF(AND($D$4&gt;24,$D$4&lt;37),$D$4-24,IF($D$4&gt;36,12,"N/A")))*IF(VLOOKUP(Resource_Rates_Table56[[#This Row],[Resource Title]],'Resource Descriptions'!$D$6:$J$112,7,FALSE)="Onshore",$F$4,$F$5)),"N/A")</f>
        <v>N/A</v>
      </c>
      <c r="K34" s="88">
        <f t="shared" si="7"/>
        <v>0</v>
      </c>
      <c r="L34" s="88" t="str">
        <f>IFERROR(Resource_Rates_Table56[[#This Row],[Year 4 Hours]]/((IF(AND($D$4&gt;36,$D$4&lt;49),$D$4-36,IF($D$4&gt;48,12,"N/A")))*IF(VLOOKUP(Resource_Rates_Table56[[#This Row],[Resource Title]],'Resource Descriptions'!$D$6:$J$112,7,FALSE)="Onshore",$F$4,$F$5)),"N/A")</f>
        <v>N/A</v>
      </c>
      <c r="M34" s="88">
        <f t="shared" si="8"/>
        <v>0</v>
      </c>
      <c r="N34" s="88" t="str">
        <f>IFERROR(Resource_Rates_Table56[[#This Row],[Year 5 Hours]]/((IF(AND($D$4&gt;48,$D$4&lt;61),$D$4-48,IF($D$4&gt;60,12,"N/A")))*IF(VLOOKUP(Resource_Rates_Table56[[#This Row],[Resource Title]],'Resource Descriptions'!$D$6:$J$112,7,FALSE)="Onshore",$F$4,$F$5)),"N/A")</f>
        <v>N/A</v>
      </c>
      <c r="O34" s="89">
        <v>0</v>
      </c>
      <c r="P34" s="89">
        <v>0</v>
      </c>
      <c r="Q34" s="89">
        <v>0</v>
      </c>
      <c r="R34" s="89">
        <v>0</v>
      </c>
      <c r="S34" s="89">
        <v>0</v>
      </c>
      <c r="T34" s="89">
        <v>0</v>
      </c>
      <c r="U34" s="89">
        <v>0</v>
      </c>
      <c r="V34" s="89">
        <v>0</v>
      </c>
      <c r="W34" s="89">
        <v>0</v>
      </c>
      <c r="X34" s="89">
        <v>0</v>
      </c>
      <c r="Y34" s="89">
        <v>0</v>
      </c>
      <c r="Z34" s="89">
        <v>0</v>
      </c>
      <c r="AA34" s="89">
        <v>0</v>
      </c>
      <c r="AB34" s="89">
        <v>0</v>
      </c>
      <c r="AC34" s="89">
        <v>0</v>
      </c>
      <c r="AD34" s="89">
        <v>0</v>
      </c>
      <c r="AE34" s="89">
        <v>0</v>
      </c>
      <c r="AF34" s="89">
        <v>0</v>
      </c>
      <c r="AG34" s="89">
        <v>0</v>
      </c>
      <c r="AH34" s="89">
        <v>0</v>
      </c>
      <c r="AI34" s="89">
        <v>0</v>
      </c>
      <c r="AJ34" s="89">
        <v>0</v>
      </c>
      <c r="AK34" s="89">
        <v>0</v>
      </c>
      <c r="AL34" s="89">
        <v>0</v>
      </c>
      <c r="AM34" s="89">
        <v>0</v>
      </c>
      <c r="AN34" s="89">
        <v>0</v>
      </c>
      <c r="AO34" s="89">
        <v>0</v>
      </c>
      <c r="AP34" s="89">
        <v>0</v>
      </c>
      <c r="AQ34" s="89">
        <v>0</v>
      </c>
      <c r="AR34" s="89">
        <v>0</v>
      </c>
      <c r="AS34" s="89">
        <v>0</v>
      </c>
      <c r="AT34" s="89">
        <v>0</v>
      </c>
      <c r="AU34" s="89">
        <v>0</v>
      </c>
      <c r="AV34" s="89">
        <v>0</v>
      </c>
      <c r="AW34" s="89">
        <v>0</v>
      </c>
      <c r="AX34" s="89">
        <v>0</v>
      </c>
      <c r="AY34" s="89">
        <v>0</v>
      </c>
      <c r="AZ34" s="89">
        <v>0</v>
      </c>
      <c r="BA34" s="89">
        <v>0</v>
      </c>
      <c r="BB34" s="89">
        <v>0</v>
      </c>
      <c r="BC34" s="89">
        <v>0</v>
      </c>
      <c r="BD34" s="89">
        <v>0</v>
      </c>
      <c r="BE34" s="89">
        <v>0</v>
      </c>
      <c r="BF34" s="89">
        <v>0</v>
      </c>
      <c r="BG34" s="89">
        <v>0</v>
      </c>
      <c r="BH34" s="89">
        <v>0</v>
      </c>
      <c r="BI34" s="89">
        <v>0</v>
      </c>
      <c r="BJ34" s="89">
        <v>0</v>
      </c>
      <c r="BK34" s="89">
        <v>0</v>
      </c>
      <c r="BL34" s="89">
        <v>0</v>
      </c>
      <c r="BM34" s="89">
        <v>0</v>
      </c>
      <c r="BN34" s="89">
        <v>0</v>
      </c>
      <c r="BO34" s="89">
        <v>0</v>
      </c>
      <c r="BP34" s="89">
        <v>0</v>
      </c>
      <c r="BQ34" s="89">
        <v>0</v>
      </c>
      <c r="BR34" s="89">
        <v>0</v>
      </c>
      <c r="BS34" s="89">
        <v>0</v>
      </c>
      <c r="BT34" s="89">
        <v>0</v>
      </c>
      <c r="BU34" s="89">
        <v>0</v>
      </c>
      <c r="BV34" s="89">
        <v>0</v>
      </c>
    </row>
    <row r="35" spans="2:74" ht="15" customHeight="1">
      <c r="B35" s="86" t="s">
        <v>127</v>
      </c>
      <c r="C35" s="23" t="s">
        <v>133</v>
      </c>
      <c r="D35" s="87">
        <f>SUM(Resource_Rates_Table56[[#This Row],[Year 1 Hours]],Resource_Rates_Table56[[#This Row],[Year 2 Hours]],Resource_Rates_Table56[[#This Row],[Year 3 Hours]],Resource_Rates_Table56[[#This Row],[Year 4 Hours]],Resource_Rates_Table56[[#This Row],[Year 5 Hours]])</f>
        <v>0</v>
      </c>
      <c r="E35" s="88">
        <f t="shared" si="5"/>
        <v>0</v>
      </c>
      <c r="F3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5" s="88">
        <f t="shared" si="9"/>
        <v>0</v>
      </c>
      <c r="H35" s="88" t="str">
        <f>IFERROR(Resource_Rates_Table56[[#This Row],[Year 2 Hours]]/((IF(AND($D$4&gt;12,$D$4&lt;25),$D$4-12,IF($D$4&gt;24,12,"N/A")))*IF(VLOOKUP(Resource_Rates_Table56[[#This Row],[Resource Title]],'Resource Descriptions'!$D$6:$J$112,7,FALSE)="Onshore",$F$4,$F$5)),"N/A")</f>
        <v>N/A</v>
      </c>
      <c r="I35" s="88">
        <f t="shared" si="6"/>
        <v>0</v>
      </c>
      <c r="J35" s="88" t="str">
        <f>IFERROR(Resource_Rates_Table56[[#This Row],[Year 3 Hours]]/((IF(AND($D$4&gt;24,$D$4&lt;37),$D$4-24,IF($D$4&gt;36,12,"N/A")))*IF(VLOOKUP(Resource_Rates_Table56[[#This Row],[Resource Title]],'Resource Descriptions'!$D$6:$J$112,7,FALSE)="Onshore",$F$4,$F$5)),"N/A")</f>
        <v>N/A</v>
      </c>
      <c r="K35" s="88">
        <f t="shared" si="7"/>
        <v>0</v>
      </c>
      <c r="L35" s="88" t="str">
        <f>IFERROR(Resource_Rates_Table56[[#This Row],[Year 4 Hours]]/((IF(AND($D$4&gt;36,$D$4&lt;49),$D$4-36,IF($D$4&gt;48,12,"N/A")))*IF(VLOOKUP(Resource_Rates_Table56[[#This Row],[Resource Title]],'Resource Descriptions'!$D$6:$J$112,7,FALSE)="Onshore",$F$4,$F$5)),"N/A")</f>
        <v>N/A</v>
      </c>
      <c r="M35" s="88">
        <f t="shared" si="8"/>
        <v>0</v>
      </c>
      <c r="N35" s="88" t="str">
        <f>IFERROR(Resource_Rates_Table56[[#This Row],[Year 5 Hours]]/((IF(AND($D$4&gt;48,$D$4&lt;61),$D$4-48,IF($D$4&gt;60,12,"N/A")))*IF(VLOOKUP(Resource_Rates_Table56[[#This Row],[Resource Title]],'Resource Descriptions'!$D$6:$J$112,7,FALSE)="Onshore",$F$4,$F$5)),"N/A")</f>
        <v>N/A</v>
      </c>
      <c r="O35" s="89">
        <v>0</v>
      </c>
      <c r="P35" s="89">
        <v>0</v>
      </c>
      <c r="Q35" s="89">
        <v>0</v>
      </c>
      <c r="R35" s="89">
        <v>0</v>
      </c>
      <c r="S35" s="89">
        <v>0</v>
      </c>
      <c r="T35" s="89">
        <v>0</v>
      </c>
      <c r="U35" s="89">
        <v>0</v>
      </c>
      <c r="V35" s="89">
        <v>0</v>
      </c>
      <c r="W35" s="89">
        <v>0</v>
      </c>
      <c r="X35" s="89">
        <v>0</v>
      </c>
      <c r="Y35" s="89">
        <v>0</v>
      </c>
      <c r="Z35" s="89">
        <v>0</v>
      </c>
      <c r="AA35" s="89">
        <v>0</v>
      </c>
      <c r="AB35" s="89">
        <v>0</v>
      </c>
      <c r="AC35" s="89">
        <v>0</v>
      </c>
      <c r="AD35" s="89">
        <v>0</v>
      </c>
      <c r="AE35" s="89">
        <v>0</v>
      </c>
      <c r="AF35" s="89">
        <v>0</v>
      </c>
      <c r="AG35" s="89">
        <v>0</v>
      </c>
      <c r="AH35" s="89">
        <v>0</v>
      </c>
      <c r="AI35" s="89">
        <v>0</v>
      </c>
      <c r="AJ35" s="89">
        <v>0</v>
      </c>
      <c r="AK35" s="89">
        <v>0</v>
      </c>
      <c r="AL35" s="89">
        <v>0</v>
      </c>
      <c r="AM35" s="89">
        <v>0</v>
      </c>
      <c r="AN35" s="89">
        <v>0</v>
      </c>
      <c r="AO35" s="89">
        <v>0</v>
      </c>
      <c r="AP35" s="89">
        <v>0</v>
      </c>
      <c r="AQ35" s="89">
        <v>0</v>
      </c>
      <c r="AR35" s="89">
        <v>0</v>
      </c>
      <c r="AS35" s="89">
        <v>0</v>
      </c>
      <c r="AT35" s="89">
        <v>0</v>
      </c>
      <c r="AU35" s="89">
        <v>0</v>
      </c>
      <c r="AV35" s="89">
        <v>0</v>
      </c>
      <c r="AW35" s="89">
        <v>0</v>
      </c>
      <c r="AX35" s="89">
        <v>0</v>
      </c>
      <c r="AY35" s="89">
        <v>0</v>
      </c>
      <c r="AZ35" s="89">
        <v>0</v>
      </c>
      <c r="BA35" s="89">
        <v>0</v>
      </c>
      <c r="BB35" s="89">
        <v>0</v>
      </c>
      <c r="BC35" s="89">
        <v>0</v>
      </c>
      <c r="BD35" s="89">
        <v>0</v>
      </c>
      <c r="BE35" s="89">
        <v>0</v>
      </c>
      <c r="BF35" s="89">
        <v>0</v>
      </c>
      <c r="BG35" s="89">
        <v>0</v>
      </c>
      <c r="BH35" s="89">
        <v>0</v>
      </c>
      <c r="BI35" s="89">
        <v>0</v>
      </c>
      <c r="BJ35" s="89">
        <v>0</v>
      </c>
      <c r="BK35" s="89">
        <v>0</v>
      </c>
      <c r="BL35" s="89">
        <v>0</v>
      </c>
      <c r="BM35" s="89">
        <v>0</v>
      </c>
      <c r="BN35" s="89">
        <v>0</v>
      </c>
      <c r="BO35" s="89">
        <v>0</v>
      </c>
      <c r="BP35" s="89">
        <v>0</v>
      </c>
      <c r="BQ35" s="89">
        <v>0</v>
      </c>
      <c r="BR35" s="89">
        <v>0</v>
      </c>
      <c r="BS35" s="89">
        <v>0</v>
      </c>
      <c r="BT35" s="89">
        <v>0</v>
      </c>
      <c r="BU35" s="89">
        <v>0</v>
      </c>
      <c r="BV35" s="89">
        <v>0</v>
      </c>
    </row>
    <row r="36" spans="2:74" ht="15" customHeight="1">
      <c r="B36" s="86" t="s">
        <v>127</v>
      </c>
      <c r="C36" s="99" t="s">
        <v>134</v>
      </c>
      <c r="D36" s="100">
        <f>SUM(Resource_Rates_Table56[[#This Row],[Year 1 Hours]],Resource_Rates_Table56[[#This Row],[Year 2 Hours]],Resource_Rates_Table56[[#This Row],[Year 3 Hours]],Resource_Rates_Table56[[#This Row],[Year 4 Hours]],Resource_Rates_Table56[[#This Row],[Year 5 Hours]])</f>
        <v>0</v>
      </c>
      <c r="E36" s="101">
        <f t="shared" ref="E36:E74" si="10">SUM(O36:Z36)</f>
        <v>0</v>
      </c>
      <c r="F36"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6" s="101">
        <f t="shared" ref="G36:G74" si="11">SUM(AA36:AL36)</f>
        <v>0</v>
      </c>
      <c r="H36" s="101" t="str">
        <f>IFERROR(Resource_Rates_Table56[[#This Row],[Year 2 Hours]]/((IF(AND($D$4&gt;12,$D$4&lt;25),$D$4-12,IF($D$4&gt;24,12,"N/A")))*IF(VLOOKUP(Resource_Rates_Table56[[#This Row],[Resource Title]],'Resource Descriptions'!$D$6:$J$112,7,FALSE)="Onshore",$F$4,$F$5)),"N/A")</f>
        <v>N/A</v>
      </c>
      <c r="I36" s="101">
        <f t="shared" ref="I36:I74" si="12">SUM(AM36:AX36)</f>
        <v>0</v>
      </c>
      <c r="J36" s="101" t="str">
        <f>IFERROR(Resource_Rates_Table56[[#This Row],[Year 3 Hours]]/((IF(AND($D$4&gt;24,$D$4&lt;37),$D$4-24,IF($D$4&gt;36,12,"N/A")))*IF(VLOOKUP(Resource_Rates_Table56[[#This Row],[Resource Title]],'Resource Descriptions'!$D$6:$J$112,7,FALSE)="Onshore",$F$4,$F$5)),"N/A")</f>
        <v>N/A</v>
      </c>
      <c r="K36" s="101">
        <f t="shared" ref="K36:K74" si="13">SUM(AY36:BJ36)</f>
        <v>0</v>
      </c>
      <c r="L36" s="101" t="str">
        <f>IFERROR(Resource_Rates_Table56[[#This Row],[Year 4 Hours]]/((IF(AND($D$4&gt;36,$D$4&lt;49),$D$4-36,IF($D$4&gt;48,12,"N/A")))*IF(VLOOKUP(Resource_Rates_Table56[[#This Row],[Resource Title]],'Resource Descriptions'!$D$6:$J$112,7,FALSE)="Onshore",$F$4,$F$5)),"N/A")</f>
        <v>N/A</v>
      </c>
      <c r="M36" s="101">
        <f t="shared" ref="M36:M74" si="14">SUM(BK36:BV36)</f>
        <v>0</v>
      </c>
      <c r="N36" s="101" t="str">
        <f>IFERROR(Resource_Rates_Table56[[#This Row],[Year 5 Hours]]/((IF(AND($D$4&gt;48,$D$4&lt;61),$D$4-48,IF($D$4&gt;60,12,"N/A")))*IF(VLOOKUP(Resource_Rates_Table56[[#This Row],[Resource Title]],'Resource Descriptions'!$D$6:$J$112,7,FALSE)="Onshore",$F$4,$F$5)),"N/A")</f>
        <v>N/A</v>
      </c>
      <c r="O36" s="89">
        <v>0</v>
      </c>
      <c r="P36" s="89">
        <v>0</v>
      </c>
      <c r="Q36" s="89">
        <v>0</v>
      </c>
      <c r="R36" s="89">
        <v>0</v>
      </c>
      <c r="S36" s="89">
        <v>0</v>
      </c>
      <c r="T36" s="89">
        <v>0</v>
      </c>
      <c r="U36" s="89">
        <v>0</v>
      </c>
      <c r="V36" s="89">
        <v>0</v>
      </c>
      <c r="W36" s="89">
        <v>0</v>
      </c>
      <c r="X36" s="89">
        <v>0</v>
      </c>
      <c r="Y36" s="89">
        <v>0</v>
      </c>
      <c r="Z36" s="89">
        <v>0</v>
      </c>
      <c r="AA36" s="89">
        <v>0</v>
      </c>
      <c r="AB36" s="89">
        <v>0</v>
      </c>
      <c r="AC36" s="89">
        <v>0</v>
      </c>
      <c r="AD36" s="89">
        <v>0</v>
      </c>
      <c r="AE36" s="89">
        <v>0</v>
      </c>
      <c r="AF36" s="89">
        <v>0</v>
      </c>
      <c r="AG36" s="89">
        <v>0</v>
      </c>
      <c r="AH36" s="89">
        <v>0</v>
      </c>
      <c r="AI36" s="89">
        <v>0</v>
      </c>
      <c r="AJ36" s="89">
        <v>0</v>
      </c>
      <c r="AK36" s="89">
        <v>0</v>
      </c>
      <c r="AL36" s="89">
        <v>0</v>
      </c>
      <c r="AM36" s="89">
        <v>0</v>
      </c>
      <c r="AN36" s="89">
        <v>0</v>
      </c>
      <c r="AO36" s="89">
        <v>0</v>
      </c>
      <c r="AP36" s="89">
        <v>0</v>
      </c>
      <c r="AQ36" s="89">
        <v>0</v>
      </c>
      <c r="AR36" s="89">
        <v>0</v>
      </c>
      <c r="AS36" s="89">
        <v>0</v>
      </c>
      <c r="AT36" s="89">
        <v>0</v>
      </c>
      <c r="AU36" s="89">
        <v>0</v>
      </c>
      <c r="AV36" s="89">
        <v>0</v>
      </c>
      <c r="AW36" s="89">
        <v>0</v>
      </c>
      <c r="AX36" s="89">
        <v>0</v>
      </c>
      <c r="AY36" s="89">
        <v>0</v>
      </c>
      <c r="AZ36" s="89">
        <v>0</v>
      </c>
      <c r="BA36" s="89">
        <v>0</v>
      </c>
      <c r="BB36" s="89">
        <v>0</v>
      </c>
      <c r="BC36" s="89">
        <v>0</v>
      </c>
      <c r="BD36" s="89">
        <v>0</v>
      </c>
      <c r="BE36" s="89">
        <v>0</v>
      </c>
      <c r="BF36" s="89">
        <v>0</v>
      </c>
      <c r="BG36" s="89">
        <v>0</v>
      </c>
      <c r="BH36" s="89">
        <v>0</v>
      </c>
      <c r="BI36" s="89">
        <v>0</v>
      </c>
      <c r="BJ36" s="89">
        <v>0</v>
      </c>
      <c r="BK36" s="89">
        <v>0</v>
      </c>
      <c r="BL36" s="89">
        <v>0</v>
      </c>
      <c r="BM36" s="89">
        <v>0</v>
      </c>
      <c r="BN36" s="89">
        <v>0</v>
      </c>
      <c r="BO36" s="89">
        <v>0</v>
      </c>
      <c r="BP36" s="89">
        <v>0</v>
      </c>
      <c r="BQ36" s="89">
        <v>0</v>
      </c>
      <c r="BR36" s="89">
        <v>0</v>
      </c>
      <c r="BS36" s="89">
        <v>0</v>
      </c>
      <c r="BT36" s="89">
        <v>0</v>
      </c>
      <c r="BU36" s="89">
        <v>0</v>
      </c>
      <c r="BV36" s="89">
        <v>0</v>
      </c>
    </row>
    <row r="37" spans="2:74" ht="15" customHeight="1">
      <c r="B37" s="86" t="s">
        <v>135</v>
      </c>
      <c r="C37" s="99" t="s">
        <v>136</v>
      </c>
      <c r="D37" s="100">
        <f>SUM(Resource_Rates_Table56[[#This Row],[Year 1 Hours]],Resource_Rates_Table56[[#This Row],[Year 2 Hours]],Resource_Rates_Table56[[#This Row],[Year 3 Hours]],Resource_Rates_Table56[[#This Row],[Year 4 Hours]],Resource_Rates_Table56[[#This Row],[Year 5 Hours]])</f>
        <v>0</v>
      </c>
      <c r="E37" s="101">
        <f t="shared" si="10"/>
        <v>0</v>
      </c>
      <c r="F37"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7" s="101">
        <f t="shared" si="11"/>
        <v>0</v>
      </c>
      <c r="H37" s="101" t="str">
        <f>IFERROR(Resource_Rates_Table56[[#This Row],[Year 2 Hours]]/((IF(AND($D$4&gt;12,$D$4&lt;25),$D$4-12,IF($D$4&gt;24,12,"N/A")))*IF(VLOOKUP(Resource_Rates_Table56[[#This Row],[Resource Title]],'Resource Descriptions'!$D$6:$J$112,7,FALSE)="Onshore",$F$4,$F$5)),"N/A")</f>
        <v>N/A</v>
      </c>
      <c r="I37" s="101">
        <f t="shared" si="12"/>
        <v>0</v>
      </c>
      <c r="J37" s="101" t="str">
        <f>IFERROR(Resource_Rates_Table56[[#This Row],[Year 3 Hours]]/((IF(AND($D$4&gt;24,$D$4&lt;37),$D$4-24,IF($D$4&gt;36,12,"N/A")))*IF(VLOOKUP(Resource_Rates_Table56[[#This Row],[Resource Title]],'Resource Descriptions'!$D$6:$J$112,7,FALSE)="Onshore",$F$4,$F$5)),"N/A")</f>
        <v>N/A</v>
      </c>
      <c r="K37" s="101">
        <f t="shared" si="13"/>
        <v>0</v>
      </c>
      <c r="L37" s="101" t="str">
        <f>IFERROR(Resource_Rates_Table56[[#This Row],[Year 4 Hours]]/((IF(AND($D$4&gt;36,$D$4&lt;49),$D$4-36,IF($D$4&gt;48,12,"N/A")))*IF(VLOOKUP(Resource_Rates_Table56[[#This Row],[Resource Title]],'Resource Descriptions'!$D$6:$J$112,7,FALSE)="Onshore",$F$4,$F$5)),"N/A")</f>
        <v>N/A</v>
      </c>
      <c r="M37" s="101">
        <f t="shared" si="14"/>
        <v>0</v>
      </c>
      <c r="N37" s="101" t="str">
        <f>IFERROR(Resource_Rates_Table56[[#This Row],[Year 5 Hours]]/((IF(AND($D$4&gt;48,$D$4&lt;61),$D$4-48,IF($D$4&gt;60,12,"N/A")))*IF(VLOOKUP(Resource_Rates_Table56[[#This Row],[Resource Title]],'Resource Descriptions'!$D$6:$J$112,7,FALSE)="Onshore",$F$4,$F$5)),"N/A")</f>
        <v>N/A</v>
      </c>
      <c r="O37" s="89">
        <v>0</v>
      </c>
      <c r="P37" s="89">
        <v>0</v>
      </c>
      <c r="Q37" s="89">
        <v>0</v>
      </c>
      <c r="R37" s="89">
        <v>0</v>
      </c>
      <c r="S37" s="89">
        <v>0</v>
      </c>
      <c r="T37" s="89">
        <v>0</v>
      </c>
      <c r="U37" s="89">
        <v>0</v>
      </c>
      <c r="V37" s="89">
        <v>0</v>
      </c>
      <c r="W37" s="89">
        <v>0</v>
      </c>
      <c r="X37" s="89">
        <v>0</v>
      </c>
      <c r="Y37" s="89">
        <v>0</v>
      </c>
      <c r="Z37" s="89">
        <v>0</v>
      </c>
      <c r="AA37" s="89">
        <v>0</v>
      </c>
      <c r="AB37" s="89">
        <v>0</v>
      </c>
      <c r="AC37" s="89">
        <v>0</v>
      </c>
      <c r="AD37" s="89">
        <v>0</v>
      </c>
      <c r="AE37" s="89">
        <v>0</v>
      </c>
      <c r="AF37" s="89">
        <v>0</v>
      </c>
      <c r="AG37" s="89">
        <v>0</v>
      </c>
      <c r="AH37" s="89">
        <v>0</v>
      </c>
      <c r="AI37" s="89">
        <v>0</v>
      </c>
      <c r="AJ37" s="89">
        <v>0</v>
      </c>
      <c r="AK37" s="89">
        <v>0</v>
      </c>
      <c r="AL37" s="89">
        <v>0</v>
      </c>
      <c r="AM37" s="89">
        <v>0</v>
      </c>
      <c r="AN37" s="89">
        <v>0</v>
      </c>
      <c r="AO37" s="89">
        <v>0</v>
      </c>
      <c r="AP37" s="89">
        <v>0</v>
      </c>
      <c r="AQ37" s="89">
        <v>0</v>
      </c>
      <c r="AR37" s="89">
        <v>0</v>
      </c>
      <c r="AS37" s="89">
        <v>0</v>
      </c>
      <c r="AT37" s="89">
        <v>0</v>
      </c>
      <c r="AU37" s="89">
        <v>0</v>
      </c>
      <c r="AV37" s="89">
        <v>0</v>
      </c>
      <c r="AW37" s="89">
        <v>0</v>
      </c>
      <c r="AX37" s="89">
        <v>0</v>
      </c>
      <c r="AY37" s="89">
        <v>0</v>
      </c>
      <c r="AZ37" s="89">
        <v>0</v>
      </c>
      <c r="BA37" s="89">
        <v>0</v>
      </c>
      <c r="BB37" s="89">
        <v>0</v>
      </c>
      <c r="BC37" s="89">
        <v>0</v>
      </c>
      <c r="BD37" s="89">
        <v>0</v>
      </c>
      <c r="BE37" s="89">
        <v>0</v>
      </c>
      <c r="BF37" s="89">
        <v>0</v>
      </c>
      <c r="BG37" s="89">
        <v>0</v>
      </c>
      <c r="BH37" s="89">
        <v>0</v>
      </c>
      <c r="BI37" s="89">
        <v>0</v>
      </c>
      <c r="BJ37" s="89">
        <v>0</v>
      </c>
      <c r="BK37" s="89">
        <v>0</v>
      </c>
      <c r="BL37" s="89">
        <v>0</v>
      </c>
      <c r="BM37" s="89">
        <v>0</v>
      </c>
      <c r="BN37" s="89">
        <v>0</v>
      </c>
      <c r="BO37" s="89">
        <v>0</v>
      </c>
      <c r="BP37" s="89">
        <v>0</v>
      </c>
      <c r="BQ37" s="89">
        <v>0</v>
      </c>
      <c r="BR37" s="89">
        <v>0</v>
      </c>
      <c r="BS37" s="89">
        <v>0</v>
      </c>
      <c r="BT37" s="89">
        <v>0</v>
      </c>
      <c r="BU37" s="89">
        <v>0</v>
      </c>
      <c r="BV37" s="89">
        <v>0</v>
      </c>
    </row>
    <row r="38" spans="2:74" ht="15" customHeight="1">
      <c r="B38" s="86" t="s">
        <v>135</v>
      </c>
      <c r="C38" s="99" t="s">
        <v>137</v>
      </c>
      <c r="D38" s="100">
        <f>SUM(Resource_Rates_Table56[[#This Row],[Year 1 Hours]],Resource_Rates_Table56[[#This Row],[Year 2 Hours]],Resource_Rates_Table56[[#This Row],[Year 3 Hours]],Resource_Rates_Table56[[#This Row],[Year 4 Hours]],Resource_Rates_Table56[[#This Row],[Year 5 Hours]])</f>
        <v>0</v>
      </c>
      <c r="E38" s="101">
        <f t="shared" si="10"/>
        <v>0</v>
      </c>
      <c r="F38"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8" s="101">
        <f t="shared" si="11"/>
        <v>0</v>
      </c>
      <c r="H38" s="101" t="str">
        <f>IFERROR(Resource_Rates_Table56[[#This Row],[Year 2 Hours]]/((IF(AND($D$4&gt;12,$D$4&lt;25),$D$4-12,IF($D$4&gt;24,12,"N/A")))*IF(VLOOKUP(Resource_Rates_Table56[[#This Row],[Resource Title]],'Resource Descriptions'!$D$6:$J$112,7,FALSE)="Onshore",$F$4,$F$5)),"N/A")</f>
        <v>N/A</v>
      </c>
      <c r="I38" s="101">
        <f t="shared" si="12"/>
        <v>0</v>
      </c>
      <c r="J38" s="101" t="str">
        <f>IFERROR(Resource_Rates_Table56[[#This Row],[Year 3 Hours]]/((IF(AND($D$4&gt;24,$D$4&lt;37),$D$4-24,IF($D$4&gt;36,12,"N/A")))*IF(VLOOKUP(Resource_Rates_Table56[[#This Row],[Resource Title]],'Resource Descriptions'!$D$6:$J$112,7,FALSE)="Onshore",$F$4,$F$5)),"N/A")</f>
        <v>N/A</v>
      </c>
      <c r="K38" s="101">
        <f t="shared" si="13"/>
        <v>0</v>
      </c>
      <c r="L38" s="101" t="str">
        <f>IFERROR(Resource_Rates_Table56[[#This Row],[Year 4 Hours]]/((IF(AND($D$4&gt;36,$D$4&lt;49),$D$4-36,IF($D$4&gt;48,12,"N/A")))*IF(VLOOKUP(Resource_Rates_Table56[[#This Row],[Resource Title]],'Resource Descriptions'!$D$6:$J$112,7,FALSE)="Onshore",$F$4,$F$5)),"N/A")</f>
        <v>N/A</v>
      </c>
      <c r="M38" s="101">
        <f t="shared" si="14"/>
        <v>0</v>
      </c>
      <c r="N38" s="101" t="str">
        <f>IFERROR(Resource_Rates_Table56[[#This Row],[Year 5 Hours]]/((IF(AND($D$4&gt;48,$D$4&lt;61),$D$4-48,IF($D$4&gt;60,12,"N/A")))*IF(VLOOKUP(Resource_Rates_Table56[[#This Row],[Resource Title]],'Resource Descriptions'!$D$6:$J$112,7,FALSE)="Onshore",$F$4,$F$5)),"N/A")</f>
        <v>N/A</v>
      </c>
      <c r="O38" s="89">
        <v>0</v>
      </c>
      <c r="P38" s="89">
        <v>0</v>
      </c>
      <c r="Q38" s="89">
        <v>0</v>
      </c>
      <c r="R38" s="89">
        <v>0</v>
      </c>
      <c r="S38" s="89">
        <v>0</v>
      </c>
      <c r="T38" s="89">
        <v>0</v>
      </c>
      <c r="U38" s="89">
        <v>0</v>
      </c>
      <c r="V38" s="89">
        <v>0</v>
      </c>
      <c r="W38" s="89">
        <v>0</v>
      </c>
      <c r="X38" s="89">
        <v>0</v>
      </c>
      <c r="Y38" s="89">
        <v>0</v>
      </c>
      <c r="Z38" s="89">
        <v>0</v>
      </c>
      <c r="AA38" s="89">
        <v>0</v>
      </c>
      <c r="AB38" s="89">
        <v>0</v>
      </c>
      <c r="AC38" s="89">
        <v>0</v>
      </c>
      <c r="AD38" s="89">
        <v>0</v>
      </c>
      <c r="AE38" s="89">
        <v>0</v>
      </c>
      <c r="AF38" s="89">
        <v>0</v>
      </c>
      <c r="AG38" s="89">
        <v>0</v>
      </c>
      <c r="AH38" s="89">
        <v>0</v>
      </c>
      <c r="AI38" s="89">
        <v>0</v>
      </c>
      <c r="AJ38" s="89">
        <v>0</v>
      </c>
      <c r="AK38" s="89">
        <v>0</v>
      </c>
      <c r="AL38" s="89">
        <v>0</v>
      </c>
      <c r="AM38" s="89">
        <v>0</v>
      </c>
      <c r="AN38" s="89">
        <v>0</v>
      </c>
      <c r="AO38" s="89">
        <v>0</v>
      </c>
      <c r="AP38" s="89">
        <v>0</v>
      </c>
      <c r="AQ38" s="89">
        <v>0</v>
      </c>
      <c r="AR38" s="89">
        <v>0</v>
      </c>
      <c r="AS38" s="89">
        <v>0</v>
      </c>
      <c r="AT38" s="89">
        <v>0</v>
      </c>
      <c r="AU38" s="89">
        <v>0</v>
      </c>
      <c r="AV38" s="89">
        <v>0</v>
      </c>
      <c r="AW38" s="89">
        <v>0</v>
      </c>
      <c r="AX38" s="89">
        <v>0</v>
      </c>
      <c r="AY38" s="89">
        <v>0</v>
      </c>
      <c r="AZ38" s="89">
        <v>0</v>
      </c>
      <c r="BA38" s="89">
        <v>0</v>
      </c>
      <c r="BB38" s="89">
        <v>0</v>
      </c>
      <c r="BC38" s="89">
        <v>0</v>
      </c>
      <c r="BD38" s="89">
        <v>0</v>
      </c>
      <c r="BE38" s="89">
        <v>0</v>
      </c>
      <c r="BF38" s="89">
        <v>0</v>
      </c>
      <c r="BG38" s="89">
        <v>0</v>
      </c>
      <c r="BH38" s="89">
        <v>0</v>
      </c>
      <c r="BI38" s="89">
        <v>0</v>
      </c>
      <c r="BJ38" s="89">
        <v>0</v>
      </c>
      <c r="BK38" s="89">
        <v>0</v>
      </c>
      <c r="BL38" s="89">
        <v>0</v>
      </c>
      <c r="BM38" s="89">
        <v>0</v>
      </c>
      <c r="BN38" s="89">
        <v>0</v>
      </c>
      <c r="BO38" s="89">
        <v>0</v>
      </c>
      <c r="BP38" s="89">
        <v>0</v>
      </c>
      <c r="BQ38" s="89">
        <v>0</v>
      </c>
      <c r="BR38" s="89">
        <v>0</v>
      </c>
      <c r="BS38" s="89">
        <v>0</v>
      </c>
      <c r="BT38" s="89">
        <v>0</v>
      </c>
      <c r="BU38" s="89">
        <v>0</v>
      </c>
      <c r="BV38" s="89">
        <v>0</v>
      </c>
    </row>
    <row r="39" spans="2:74" ht="15" customHeight="1">
      <c r="B39" s="86" t="s">
        <v>135</v>
      </c>
      <c r="C39" s="99" t="s">
        <v>138</v>
      </c>
      <c r="D39" s="100">
        <f>SUM(Resource_Rates_Table56[[#This Row],[Year 1 Hours]],Resource_Rates_Table56[[#This Row],[Year 2 Hours]],Resource_Rates_Table56[[#This Row],[Year 3 Hours]],Resource_Rates_Table56[[#This Row],[Year 4 Hours]],Resource_Rates_Table56[[#This Row],[Year 5 Hours]])</f>
        <v>0</v>
      </c>
      <c r="E39" s="101">
        <f t="shared" si="10"/>
        <v>0</v>
      </c>
      <c r="F39"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9" s="101">
        <f t="shared" si="11"/>
        <v>0</v>
      </c>
      <c r="H39" s="101" t="str">
        <f>IFERROR(Resource_Rates_Table56[[#This Row],[Year 2 Hours]]/((IF(AND($D$4&gt;12,$D$4&lt;25),$D$4-12,IF($D$4&gt;24,12,"N/A")))*IF(VLOOKUP(Resource_Rates_Table56[[#This Row],[Resource Title]],'Resource Descriptions'!$D$6:$J$112,7,FALSE)="Onshore",$F$4,$F$5)),"N/A")</f>
        <v>N/A</v>
      </c>
      <c r="I39" s="101">
        <f t="shared" si="12"/>
        <v>0</v>
      </c>
      <c r="J39" s="101" t="str">
        <f>IFERROR(Resource_Rates_Table56[[#This Row],[Year 3 Hours]]/((IF(AND($D$4&gt;24,$D$4&lt;37),$D$4-24,IF($D$4&gt;36,12,"N/A")))*IF(VLOOKUP(Resource_Rates_Table56[[#This Row],[Resource Title]],'Resource Descriptions'!$D$6:$J$112,7,FALSE)="Onshore",$F$4,$F$5)),"N/A")</f>
        <v>N/A</v>
      </c>
      <c r="K39" s="101">
        <f t="shared" si="13"/>
        <v>0</v>
      </c>
      <c r="L39" s="101" t="str">
        <f>IFERROR(Resource_Rates_Table56[[#This Row],[Year 4 Hours]]/((IF(AND($D$4&gt;36,$D$4&lt;49),$D$4-36,IF($D$4&gt;48,12,"N/A")))*IF(VLOOKUP(Resource_Rates_Table56[[#This Row],[Resource Title]],'Resource Descriptions'!$D$6:$J$112,7,FALSE)="Onshore",$F$4,$F$5)),"N/A")</f>
        <v>N/A</v>
      </c>
      <c r="M39" s="101">
        <f t="shared" si="14"/>
        <v>0</v>
      </c>
      <c r="N39" s="101" t="str">
        <f>IFERROR(Resource_Rates_Table56[[#This Row],[Year 5 Hours]]/((IF(AND($D$4&gt;48,$D$4&lt;61),$D$4-48,IF($D$4&gt;60,12,"N/A")))*IF(VLOOKUP(Resource_Rates_Table56[[#This Row],[Resource Title]],'Resource Descriptions'!$D$6:$J$112,7,FALSE)="Onshore",$F$4,$F$5)),"N/A")</f>
        <v>N/A</v>
      </c>
      <c r="O39" s="89">
        <v>0</v>
      </c>
      <c r="P39" s="89">
        <v>0</v>
      </c>
      <c r="Q39" s="89">
        <v>0</v>
      </c>
      <c r="R39" s="89">
        <v>0</v>
      </c>
      <c r="S39" s="89">
        <v>0</v>
      </c>
      <c r="T39" s="89">
        <v>0</v>
      </c>
      <c r="U39" s="89">
        <v>0</v>
      </c>
      <c r="V39" s="89">
        <v>0</v>
      </c>
      <c r="W39" s="89">
        <v>0</v>
      </c>
      <c r="X39" s="89">
        <v>0</v>
      </c>
      <c r="Y39" s="89">
        <v>0</v>
      </c>
      <c r="Z39" s="89">
        <v>0</v>
      </c>
      <c r="AA39" s="89">
        <v>0</v>
      </c>
      <c r="AB39" s="89">
        <v>0</v>
      </c>
      <c r="AC39" s="89">
        <v>0</v>
      </c>
      <c r="AD39" s="89">
        <v>0</v>
      </c>
      <c r="AE39" s="89">
        <v>0</v>
      </c>
      <c r="AF39" s="89">
        <v>0</v>
      </c>
      <c r="AG39" s="89">
        <v>0</v>
      </c>
      <c r="AH39" s="89">
        <v>0</v>
      </c>
      <c r="AI39" s="89">
        <v>0</v>
      </c>
      <c r="AJ39" s="89">
        <v>0</v>
      </c>
      <c r="AK39" s="89">
        <v>0</v>
      </c>
      <c r="AL39" s="89">
        <v>0</v>
      </c>
      <c r="AM39" s="89">
        <v>0</v>
      </c>
      <c r="AN39" s="89">
        <v>0</v>
      </c>
      <c r="AO39" s="89">
        <v>0</v>
      </c>
      <c r="AP39" s="89">
        <v>0</v>
      </c>
      <c r="AQ39" s="89">
        <v>0</v>
      </c>
      <c r="AR39" s="89">
        <v>0</v>
      </c>
      <c r="AS39" s="89">
        <v>0</v>
      </c>
      <c r="AT39" s="89">
        <v>0</v>
      </c>
      <c r="AU39" s="89">
        <v>0</v>
      </c>
      <c r="AV39" s="89">
        <v>0</v>
      </c>
      <c r="AW39" s="89">
        <v>0</v>
      </c>
      <c r="AX39" s="89">
        <v>0</v>
      </c>
      <c r="AY39" s="89">
        <v>0</v>
      </c>
      <c r="AZ39" s="89">
        <v>0</v>
      </c>
      <c r="BA39" s="89">
        <v>0</v>
      </c>
      <c r="BB39" s="89">
        <v>0</v>
      </c>
      <c r="BC39" s="89">
        <v>0</v>
      </c>
      <c r="BD39" s="89">
        <v>0</v>
      </c>
      <c r="BE39" s="89">
        <v>0</v>
      </c>
      <c r="BF39" s="89">
        <v>0</v>
      </c>
      <c r="BG39" s="89">
        <v>0</v>
      </c>
      <c r="BH39" s="89">
        <v>0</v>
      </c>
      <c r="BI39" s="89">
        <v>0</v>
      </c>
      <c r="BJ39" s="89">
        <v>0</v>
      </c>
      <c r="BK39" s="89">
        <v>0</v>
      </c>
      <c r="BL39" s="89">
        <v>0</v>
      </c>
      <c r="BM39" s="89">
        <v>0</v>
      </c>
      <c r="BN39" s="89">
        <v>0</v>
      </c>
      <c r="BO39" s="89">
        <v>0</v>
      </c>
      <c r="BP39" s="89">
        <v>0</v>
      </c>
      <c r="BQ39" s="89">
        <v>0</v>
      </c>
      <c r="BR39" s="89">
        <v>0</v>
      </c>
      <c r="BS39" s="89">
        <v>0</v>
      </c>
      <c r="BT39" s="89">
        <v>0</v>
      </c>
      <c r="BU39" s="89">
        <v>0</v>
      </c>
      <c r="BV39" s="89">
        <v>0</v>
      </c>
    </row>
    <row r="40" spans="2:74" ht="15" customHeight="1">
      <c r="B40" s="86" t="s">
        <v>135</v>
      </c>
      <c r="C40" s="99" t="s">
        <v>139</v>
      </c>
      <c r="D40" s="100">
        <f>SUM(Resource_Rates_Table56[[#This Row],[Year 1 Hours]],Resource_Rates_Table56[[#This Row],[Year 2 Hours]],Resource_Rates_Table56[[#This Row],[Year 3 Hours]],Resource_Rates_Table56[[#This Row],[Year 4 Hours]],Resource_Rates_Table56[[#This Row],[Year 5 Hours]])</f>
        <v>0</v>
      </c>
      <c r="E40" s="101">
        <f t="shared" si="10"/>
        <v>0</v>
      </c>
      <c r="F40"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0" s="101">
        <f t="shared" si="11"/>
        <v>0</v>
      </c>
      <c r="H40" s="101" t="str">
        <f>IFERROR(Resource_Rates_Table56[[#This Row],[Year 2 Hours]]/((IF(AND($D$4&gt;12,$D$4&lt;25),$D$4-12,IF($D$4&gt;24,12,"N/A")))*IF(VLOOKUP(Resource_Rates_Table56[[#This Row],[Resource Title]],'Resource Descriptions'!$D$6:$J$112,7,FALSE)="Onshore",$F$4,$F$5)),"N/A")</f>
        <v>N/A</v>
      </c>
      <c r="I40" s="101">
        <f t="shared" si="12"/>
        <v>0</v>
      </c>
      <c r="J40" s="101" t="str">
        <f>IFERROR(Resource_Rates_Table56[[#This Row],[Year 3 Hours]]/((IF(AND($D$4&gt;24,$D$4&lt;37),$D$4-24,IF($D$4&gt;36,12,"N/A")))*IF(VLOOKUP(Resource_Rates_Table56[[#This Row],[Resource Title]],'Resource Descriptions'!$D$6:$J$112,7,FALSE)="Onshore",$F$4,$F$5)),"N/A")</f>
        <v>N/A</v>
      </c>
      <c r="K40" s="101">
        <f t="shared" si="13"/>
        <v>0</v>
      </c>
      <c r="L40" s="101" t="str">
        <f>IFERROR(Resource_Rates_Table56[[#This Row],[Year 4 Hours]]/((IF(AND($D$4&gt;36,$D$4&lt;49),$D$4-36,IF($D$4&gt;48,12,"N/A")))*IF(VLOOKUP(Resource_Rates_Table56[[#This Row],[Resource Title]],'Resource Descriptions'!$D$6:$J$112,7,FALSE)="Onshore",$F$4,$F$5)),"N/A")</f>
        <v>N/A</v>
      </c>
      <c r="M40" s="101">
        <f t="shared" si="14"/>
        <v>0</v>
      </c>
      <c r="N40" s="101" t="str">
        <f>IFERROR(Resource_Rates_Table56[[#This Row],[Year 5 Hours]]/((IF(AND($D$4&gt;48,$D$4&lt;61),$D$4-48,IF($D$4&gt;60,12,"N/A")))*IF(VLOOKUP(Resource_Rates_Table56[[#This Row],[Resource Title]],'Resource Descriptions'!$D$6:$J$112,7,FALSE)="Onshore",$F$4,$F$5)),"N/A")</f>
        <v>N/A</v>
      </c>
      <c r="O40" s="89">
        <v>0</v>
      </c>
      <c r="P40" s="89">
        <v>0</v>
      </c>
      <c r="Q40" s="89">
        <v>0</v>
      </c>
      <c r="R40" s="89">
        <v>0</v>
      </c>
      <c r="S40" s="89">
        <v>0</v>
      </c>
      <c r="T40" s="89">
        <v>0</v>
      </c>
      <c r="U40" s="89">
        <v>0</v>
      </c>
      <c r="V40" s="89">
        <v>0</v>
      </c>
      <c r="W40" s="89">
        <v>0</v>
      </c>
      <c r="X40" s="89">
        <v>0</v>
      </c>
      <c r="Y40" s="89">
        <v>0</v>
      </c>
      <c r="Z40" s="89">
        <v>0</v>
      </c>
      <c r="AA40" s="89">
        <v>0</v>
      </c>
      <c r="AB40" s="89">
        <v>0</v>
      </c>
      <c r="AC40" s="89">
        <v>0</v>
      </c>
      <c r="AD40" s="89">
        <v>0</v>
      </c>
      <c r="AE40" s="89">
        <v>0</v>
      </c>
      <c r="AF40" s="89">
        <v>0</v>
      </c>
      <c r="AG40" s="89">
        <v>0</v>
      </c>
      <c r="AH40" s="89">
        <v>0</v>
      </c>
      <c r="AI40" s="89">
        <v>0</v>
      </c>
      <c r="AJ40" s="89">
        <v>0</v>
      </c>
      <c r="AK40" s="89">
        <v>0</v>
      </c>
      <c r="AL40" s="89">
        <v>0</v>
      </c>
      <c r="AM40" s="89">
        <v>0</v>
      </c>
      <c r="AN40" s="89">
        <v>0</v>
      </c>
      <c r="AO40" s="89">
        <v>0</v>
      </c>
      <c r="AP40" s="89">
        <v>0</v>
      </c>
      <c r="AQ40" s="89">
        <v>0</v>
      </c>
      <c r="AR40" s="89">
        <v>0</v>
      </c>
      <c r="AS40" s="89">
        <v>0</v>
      </c>
      <c r="AT40" s="89">
        <v>0</v>
      </c>
      <c r="AU40" s="89">
        <v>0</v>
      </c>
      <c r="AV40" s="89">
        <v>0</v>
      </c>
      <c r="AW40" s="89">
        <v>0</v>
      </c>
      <c r="AX40" s="89">
        <v>0</v>
      </c>
      <c r="AY40" s="89">
        <v>0</v>
      </c>
      <c r="AZ40" s="89">
        <v>0</v>
      </c>
      <c r="BA40" s="89">
        <v>0</v>
      </c>
      <c r="BB40" s="89">
        <v>0</v>
      </c>
      <c r="BC40" s="89">
        <v>0</v>
      </c>
      <c r="BD40" s="89">
        <v>0</v>
      </c>
      <c r="BE40" s="89">
        <v>0</v>
      </c>
      <c r="BF40" s="89">
        <v>0</v>
      </c>
      <c r="BG40" s="89">
        <v>0</v>
      </c>
      <c r="BH40" s="89">
        <v>0</v>
      </c>
      <c r="BI40" s="89">
        <v>0</v>
      </c>
      <c r="BJ40" s="89">
        <v>0</v>
      </c>
      <c r="BK40" s="89">
        <v>0</v>
      </c>
      <c r="BL40" s="89">
        <v>0</v>
      </c>
      <c r="BM40" s="89">
        <v>0</v>
      </c>
      <c r="BN40" s="89">
        <v>0</v>
      </c>
      <c r="BO40" s="89">
        <v>0</v>
      </c>
      <c r="BP40" s="89">
        <v>0</v>
      </c>
      <c r="BQ40" s="89">
        <v>0</v>
      </c>
      <c r="BR40" s="89">
        <v>0</v>
      </c>
      <c r="BS40" s="89">
        <v>0</v>
      </c>
      <c r="BT40" s="89">
        <v>0</v>
      </c>
      <c r="BU40" s="89">
        <v>0</v>
      </c>
      <c r="BV40" s="89">
        <v>0</v>
      </c>
    </row>
    <row r="41" spans="2:74" ht="15" customHeight="1">
      <c r="B41" s="86" t="s">
        <v>135</v>
      </c>
      <c r="C41" s="99" t="s">
        <v>140</v>
      </c>
      <c r="D41" s="100">
        <f>SUM(Resource_Rates_Table56[[#This Row],[Year 1 Hours]],Resource_Rates_Table56[[#This Row],[Year 2 Hours]],Resource_Rates_Table56[[#This Row],[Year 3 Hours]],Resource_Rates_Table56[[#This Row],[Year 4 Hours]],Resource_Rates_Table56[[#This Row],[Year 5 Hours]])</f>
        <v>0</v>
      </c>
      <c r="E41" s="101">
        <f t="shared" si="10"/>
        <v>0</v>
      </c>
      <c r="F41"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1" s="101">
        <f t="shared" si="11"/>
        <v>0</v>
      </c>
      <c r="H41" s="101" t="str">
        <f>IFERROR(Resource_Rates_Table56[[#This Row],[Year 2 Hours]]/((IF(AND($D$4&gt;12,$D$4&lt;25),$D$4-12,IF($D$4&gt;24,12,"N/A")))*IF(VLOOKUP(Resource_Rates_Table56[[#This Row],[Resource Title]],'Resource Descriptions'!$D$6:$J$112,7,FALSE)="Onshore",$F$4,$F$5)),"N/A")</f>
        <v>N/A</v>
      </c>
      <c r="I41" s="101">
        <f t="shared" si="12"/>
        <v>0</v>
      </c>
      <c r="J41" s="101" t="str">
        <f>IFERROR(Resource_Rates_Table56[[#This Row],[Year 3 Hours]]/((IF(AND($D$4&gt;24,$D$4&lt;37),$D$4-24,IF($D$4&gt;36,12,"N/A")))*IF(VLOOKUP(Resource_Rates_Table56[[#This Row],[Resource Title]],'Resource Descriptions'!$D$6:$J$112,7,FALSE)="Onshore",$F$4,$F$5)),"N/A")</f>
        <v>N/A</v>
      </c>
      <c r="K41" s="101">
        <f t="shared" si="13"/>
        <v>0</v>
      </c>
      <c r="L41" s="101" t="str">
        <f>IFERROR(Resource_Rates_Table56[[#This Row],[Year 4 Hours]]/((IF(AND($D$4&gt;36,$D$4&lt;49),$D$4-36,IF($D$4&gt;48,12,"N/A")))*IF(VLOOKUP(Resource_Rates_Table56[[#This Row],[Resource Title]],'Resource Descriptions'!$D$6:$J$112,7,FALSE)="Onshore",$F$4,$F$5)),"N/A")</f>
        <v>N/A</v>
      </c>
      <c r="M41" s="101">
        <f t="shared" si="14"/>
        <v>0</v>
      </c>
      <c r="N41" s="101" t="str">
        <f>IFERROR(Resource_Rates_Table56[[#This Row],[Year 5 Hours]]/((IF(AND($D$4&gt;48,$D$4&lt;61),$D$4-48,IF($D$4&gt;60,12,"N/A")))*IF(VLOOKUP(Resource_Rates_Table56[[#This Row],[Resource Title]],'Resource Descriptions'!$D$6:$J$112,7,FALSE)="Onshore",$F$4,$F$5)),"N/A")</f>
        <v>N/A</v>
      </c>
      <c r="O41" s="89">
        <v>0</v>
      </c>
      <c r="P41" s="89">
        <v>0</v>
      </c>
      <c r="Q41" s="89">
        <v>0</v>
      </c>
      <c r="R41" s="89">
        <v>0</v>
      </c>
      <c r="S41" s="89">
        <v>0</v>
      </c>
      <c r="T41" s="89">
        <v>0</v>
      </c>
      <c r="U41" s="89">
        <v>0</v>
      </c>
      <c r="V41" s="89">
        <v>0</v>
      </c>
      <c r="W41" s="89">
        <v>0</v>
      </c>
      <c r="X41" s="89">
        <v>0</v>
      </c>
      <c r="Y41" s="89">
        <v>0</v>
      </c>
      <c r="Z41" s="89">
        <v>0</v>
      </c>
      <c r="AA41" s="89">
        <v>0</v>
      </c>
      <c r="AB41" s="89">
        <v>0</v>
      </c>
      <c r="AC41" s="89">
        <v>0</v>
      </c>
      <c r="AD41" s="89">
        <v>0</v>
      </c>
      <c r="AE41" s="89">
        <v>0</v>
      </c>
      <c r="AF41" s="89">
        <v>0</v>
      </c>
      <c r="AG41" s="89">
        <v>0</v>
      </c>
      <c r="AH41" s="89">
        <v>0</v>
      </c>
      <c r="AI41" s="89">
        <v>0</v>
      </c>
      <c r="AJ41" s="89">
        <v>0</v>
      </c>
      <c r="AK41" s="89">
        <v>0</v>
      </c>
      <c r="AL41" s="89">
        <v>0</v>
      </c>
      <c r="AM41" s="89">
        <v>0</v>
      </c>
      <c r="AN41" s="89">
        <v>0</v>
      </c>
      <c r="AO41" s="89">
        <v>0</v>
      </c>
      <c r="AP41" s="89">
        <v>0</v>
      </c>
      <c r="AQ41" s="89">
        <v>0</v>
      </c>
      <c r="AR41" s="89">
        <v>0</v>
      </c>
      <c r="AS41" s="89">
        <v>0</v>
      </c>
      <c r="AT41" s="89">
        <v>0</v>
      </c>
      <c r="AU41" s="89">
        <v>0</v>
      </c>
      <c r="AV41" s="89">
        <v>0</v>
      </c>
      <c r="AW41" s="89">
        <v>0</v>
      </c>
      <c r="AX41" s="89">
        <v>0</v>
      </c>
      <c r="AY41" s="89">
        <v>0</v>
      </c>
      <c r="AZ41" s="89">
        <v>0</v>
      </c>
      <c r="BA41" s="89">
        <v>0</v>
      </c>
      <c r="BB41" s="89">
        <v>0</v>
      </c>
      <c r="BC41" s="89">
        <v>0</v>
      </c>
      <c r="BD41" s="89">
        <v>0</v>
      </c>
      <c r="BE41" s="89">
        <v>0</v>
      </c>
      <c r="BF41" s="89">
        <v>0</v>
      </c>
      <c r="BG41" s="89">
        <v>0</v>
      </c>
      <c r="BH41" s="89">
        <v>0</v>
      </c>
      <c r="BI41" s="89">
        <v>0</v>
      </c>
      <c r="BJ41" s="89">
        <v>0</v>
      </c>
      <c r="BK41" s="89">
        <v>0</v>
      </c>
      <c r="BL41" s="89">
        <v>0</v>
      </c>
      <c r="BM41" s="89">
        <v>0</v>
      </c>
      <c r="BN41" s="89">
        <v>0</v>
      </c>
      <c r="BO41" s="89">
        <v>0</v>
      </c>
      <c r="BP41" s="89">
        <v>0</v>
      </c>
      <c r="BQ41" s="89">
        <v>0</v>
      </c>
      <c r="BR41" s="89">
        <v>0</v>
      </c>
      <c r="BS41" s="89">
        <v>0</v>
      </c>
      <c r="BT41" s="89">
        <v>0</v>
      </c>
      <c r="BU41" s="89">
        <v>0</v>
      </c>
      <c r="BV41" s="89">
        <v>0</v>
      </c>
    </row>
    <row r="42" spans="2:74" ht="15" customHeight="1">
      <c r="B42" s="86" t="s">
        <v>135</v>
      </c>
      <c r="C42" s="99" t="s">
        <v>141</v>
      </c>
      <c r="D42" s="100">
        <f>SUM(Resource_Rates_Table56[[#This Row],[Year 1 Hours]],Resource_Rates_Table56[[#This Row],[Year 2 Hours]],Resource_Rates_Table56[[#This Row],[Year 3 Hours]],Resource_Rates_Table56[[#This Row],[Year 4 Hours]],Resource_Rates_Table56[[#This Row],[Year 5 Hours]])</f>
        <v>0</v>
      </c>
      <c r="E42" s="101">
        <f t="shared" si="10"/>
        <v>0</v>
      </c>
      <c r="F42"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2" s="101">
        <f t="shared" si="11"/>
        <v>0</v>
      </c>
      <c r="H42" s="101" t="str">
        <f>IFERROR(Resource_Rates_Table56[[#This Row],[Year 2 Hours]]/((IF(AND($D$4&gt;12,$D$4&lt;25),$D$4-12,IF($D$4&gt;24,12,"N/A")))*IF(VLOOKUP(Resource_Rates_Table56[[#This Row],[Resource Title]],'Resource Descriptions'!$D$6:$J$112,7,FALSE)="Onshore",$F$4,$F$5)),"N/A")</f>
        <v>N/A</v>
      </c>
      <c r="I42" s="101">
        <f t="shared" si="12"/>
        <v>0</v>
      </c>
      <c r="J42" s="101" t="str">
        <f>IFERROR(Resource_Rates_Table56[[#This Row],[Year 3 Hours]]/((IF(AND($D$4&gt;24,$D$4&lt;37),$D$4-24,IF($D$4&gt;36,12,"N/A")))*IF(VLOOKUP(Resource_Rates_Table56[[#This Row],[Resource Title]],'Resource Descriptions'!$D$6:$J$112,7,FALSE)="Onshore",$F$4,$F$5)),"N/A")</f>
        <v>N/A</v>
      </c>
      <c r="K42" s="101">
        <f t="shared" si="13"/>
        <v>0</v>
      </c>
      <c r="L42" s="101" t="str">
        <f>IFERROR(Resource_Rates_Table56[[#This Row],[Year 4 Hours]]/((IF(AND($D$4&gt;36,$D$4&lt;49),$D$4-36,IF($D$4&gt;48,12,"N/A")))*IF(VLOOKUP(Resource_Rates_Table56[[#This Row],[Resource Title]],'Resource Descriptions'!$D$6:$J$112,7,FALSE)="Onshore",$F$4,$F$5)),"N/A")</f>
        <v>N/A</v>
      </c>
      <c r="M42" s="101">
        <f t="shared" si="14"/>
        <v>0</v>
      </c>
      <c r="N42" s="101" t="str">
        <f>IFERROR(Resource_Rates_Table56[[#This Row],[Year 5 Hours]]/((IF(AND($D$4&gt;48,$D$4&lt;61),$D$4-48,IF($D$4&gt;60,12,"N/A")))*IF(VLOOKUP(Resource_Rates_Table56[[#This Row],[Resource Title]],'Resource Descriptions'!$D$6:$J$112,7,FALSE)="Onshore",$F$4,$F$5)),"N/A")</f>
        <v>N/A</v>
      </c>
      <c r="O42" s="89">
        <v>0</v>
      </c>
      <c r="P42" s="89">
        <v>0</v>
      </c>
      <c r="Q42" s="89">
        <v>0</v>
      </c>
      <c r="R42" s="89">
        <v>0</v>
      </c>
      <c r="S42" s="89">
        <v>0</v>
      </c>
      <c r="T42" s="89">
        <v>0</v>
      </c>
      <c r="U42" s="89">
        <v>0</v>
      </c>
      <c r="V42" s="89">
        <v>0</v>
      </c>
      <c r="W42" s="89">
        <v>0</v>
      </c>
      <c r="X42" s="89">
        <v>0</v>
      </c>
      <c r="Y42" s="89">
        <v>0</v>
      </c>
      <c r="Z42" s="89">
        <v>0</v>
      </c>
      <c r="AA42" s="89">
        <v>0</v>
      </c>
      <c r="AB42" s="89">
        <v>0</v>
      </c>
      <c r="AC42" s="89">
        <v>0</v>
      </c>
      <c r="AD42" s="89">
        <v>0</v>
      </c>
      <c r="AE42" s="89">
        <v>0</v>
      </c>
      <c r="AF42" s="89">
        <v>0</v>
      </c>
      <c r="AG42" s="89">
        <v>0</v>
      </c>
      <c r="AH42" s="89">
        <v>0</v>
      </c>
      <c r="AI42" s="89">
        <v>0</v>
      </c>
      <c r="AJ42" s="89">
        <v>0</v>
      </c>
      <c r="AK42" s="89">
        <v>0</v>
      </c>
      <c r="AL42" s="89">
        <v>0</v>
      </c>
      <c r="AM42" s="89">
        <v>0</v>
      </c>
      <c r="AN42" s="89">
        <v>0</v>
      </c>
      <c r="AO42" s="89">
        <v>0</v>
      </c>
      <c r="AP42" s="89">
        <v>0</v>
      </c>
      <c r="AQ42" s="89">
        <v>0</v>
      </c>
      <c r="AR42" s="89">
        <v>0</v>
      </c>
      <c r="AS42" s="89">
        <v>0</v>
      </c>
      <c r="AT42" s="89">
        <v>0</v>
      </c>
      <c r="AU42" s="89">
        <v>0</v>
      </c>
      <c r="AV42" s="89">
        <v>0</v>
      </c>
      <c r="AW42" s="89">
        <v>0</v>
      </c>
      <c r="AX42" s="89">
        <v>0</v>
      </c>
      <c r="AY42" s="89">
        <v>0</v>
      </c>
      <c r="AZ42" s="89">
        <v>0</v>
      </c>
      <c r="BA42" s="89">
        <v>0</v>
      </c>
      <c r="BB42" s="89">
        <v>0</v>
      </c>
      <c r="BC42" s="89">
        <v>0</v>
      </c>
      <c r="BD42" s="89">
        <v>0</v>
      </c>
      <c r="BE42" s="89">
        <v>0</v>
      </c>
      <c r="BF42" s="89">
        <v>0</v>
      </c>
      <c r="BG42" s="89">
        <v>0</v>
      </c>
      <c r="BH42" s="89">
        <v>0</v>
      </c>
      <c r="BI42" s="89">
        <v>0</v>
      </c>
      <c r="BJ42" s="89">
        <v>0</v>
      </c>
      <c r="BK42" s="89">
        <v>0</v>
      </c>
      <c r="BL42" s="89">
        <v>0</v>
      </c>
      <c r="BM42" s="89">
        <v>0</v>
      </c>
      <c r="BN42" s="89">
        <v>0</v>
      </c>
      <c r="BO42" s="89">
        <v>0</v>
      </c>
      <c r="BP42" s="89">
        <v>0</v>
      </c>
      <c r="BQ42" s="89">
        <v>0</v>
      </c>
      <c r="BR42" s="89">
        <v>0</v>
      </c>
      <c r="BS42" s="89">
        <v>0</v>
      </c>
      <c r="BT42" s="89">
        <v>0</v>
      </c>
      <c r="BU42" s="89">
        <v>0</v>
      </c>
      <c r="BV42" s="89">
        <v>0</v>
      </c>
    </row>
    <row r="43" spans="2:74" ht="15" customHeight="1">
      <c r="B43" s="86" t="s">
        <v>142</v>
      </c>
      <c r="C43" s="99" t="s">
        <v>143</v>
      </c>
      <c r="D43" s="100">
        <f>SUM(Resource_Rates_Table56[[#This Row],[Year 1 Hours]],Resource_Rates_Table56[[#This Row],[Year 2 Hours]],Resource_Rates_Table56[[#This Row],[Year 3 Hours]],Resource_Rates_Table56[[#This Row],[Year 4 Hours]],Resource_Rates_Table56[[#This Row],[Year 5 Hours]])</f>
        <v>0</v>
      </c>
      <c r="E43" s="101">
        <f t="shared" si="10"/>
        <v>0</v>
      </c>
      <c r="F43"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3" s="101">
        <f t="shared" si="11"/>
        <v>0</v>
      </c>
      <c r="H43" s="101" t="str">
        <f>IFERROR(Resource_Rates_Table56[[#This Row],[Year 2 Hours]]/((IF(AND($D$4&gt;12,$D$4&lt;25),$D$4-12,IF($D$4&gt;24,12,"N/A")))*IF(VLOOKUP(Resource_Rates_Table56[[#This Row],[Resource Title]],'Resource Descriptions'!$D$6:$J$112,7,FALSE)="Onshore",$F$4,$F$5)),"N/A")</f>
        <v>N/A</v>
      </c>
      <c r="I43" s="101">
        <f t="shared" si="12"/>
        <v>0</v>
      </c>
      <c r="J43" s="101" t="str">
        <f>IFERROR(Resource_Rates_Table56[[#This Row],[Year 3 Hours]]/((IF(AND($D$4&gt;24,$D$4&lt;37),$D$4-24,IF($D$4&gt;36,12,"N/A")))*IF(VLOOKUP(Resource_Rates_Table56[[#This Row],[Resource Title]],'Resource Descriptions'!$D$6:$J$112,7,FALSE)="Onshore",$F$4,$F$5)),"N/A")</f>
        <v>N/A</v>
      </c>
      <c r="K43" s="101">
        <f t="shared" si="13"/>
        <v>0</v>
      </c>
      <c r="L43" s="101" t="str">
        <f>IFERROR(Resource_Rates_Table56[[#This Row],[Year 4 Hours]]/((IF(AND($D$4&gt;36,$D$4&lt;49),$D$4-36,IF($D$4&gt;48,12,"N/A")))*IF(VLOOKUP(Resource_Rates_Table56[[#This Row],[Resource Title]],'Resource Descriptions'!$D$6:$J$112,7,FALSE)="Onshore",$F$4,$F$5)),"N/A")</f>
        <v>N/A</v>
      </c>
      <c r="M43" s="101">
        <f t="shared" si="14"/>
        <v>0</v>
      </c>
      <c r="N43" s="101" t="str">
        <f>IFERROR(Resource_Rates_Table56[[#This Row],[Year 5 Hours]]/((IF(AND($D$4&gt;48,$D$4&lt;61),$D$4-48,IF($D$4&gt;60,12,"N/A")))*IF(VLOOKUP(Resource_Rates_Table56[[#This Row],[Resource Title]],'Resource Descriptions'!$D$6:$J$112,7,FALSE)="Onshore",$F$4,$F$5)),"N/A")</f>
        <v>N/A</v>
      </c>
      <c r="O43" s="89">
        <v>0</v>
      </c>
      <c r="P43" s="89">
        <v>0</v>
      </c>
      <c r="Q43" s="89">
        <v>0</v>
      </c>
      <c r="R43" s="89">
        <v>0</v>
      </c>
      <c r="S43" s="89">
        <v>0</v>
      </c>
      <c r="T43" s="89">
        <v>0</v>
      </c>
      <c r="U43" s="89">
        <v>0</v>
      </c>
      <c r="V43" s="89">
        <v>0</v>
      </c>
      <c r="W43" s="89">
        <v>0</v>
      </c>
      <c r="X43" s="89">
        <v>0</v>
      </c>
      <c r="Y43" s="89">
        <v>0</v>
      </c>
      <c r="Z43" s="89">
        <v>0</v>
      </c>
      <c r="AA43" s="89">
        <v>0</v>
      </c>
      <c r="AB43" s="89">
        <v>0</v>
      </c>
      <c r="AC43" s="89">
        <v>0</v>
      </c>
      <c r="AD43" s="89">
        <v>0</v>
      </c>
      <c r="AE43" s="89">
        <v>0</v>
      </c>
      <c r="AF43" s="89">
        <v>0</v>
      </c>
      <c r="AG43" s="89">
        <v>0</v>
      </c>
      <c r="AH43" s="89">
        <v>0</v>
      </c>
      <c r="AI43" s="89">
        <v>0</v>
      </c>
      <c r="AJ43" s="89">
        <v>0</v>
      </c>
      <c r="AK43" s="89">
        <v>0</v>
      </c>
      <c r="AL43" s="89">
        <v>0</v>
      </c>
      <c r="AM43" s="89">
        <v>0</v>
      </c>
      <c r="AN43" s="89">
        <v>0</v>
      </c>
      <c r="AO43" s="89">
        <v>0</v>
      </c>
      <c r="AP43" s="89">
        <v>0</v>
      </c>
      <c r="AQ43" s="89">
        <v>0</v>
      </c>
      <c r="AR43" s="89">
        <v>0</v>
      </c>
      <c r="AS43" s="89">
        <v>0</v>
      </c>
      <c r="AT43" s="89">
        <v>0</v>
      </c>
      <c r="AU43" s="89">
        <v>0</v>
      </c>
      <c r="AV43" s="89">
        <v>0</v>
      </c>
      <c r="AW43" s="89">
        <v>0</v>
      </c>
      <c r="AX43" s="89">
        <v>0</v>
      </c>
      <c r="AY43" s="89">
        <v>0</v>
      </c>
      <c r="AZ43" s="89">
        <v>0</v>
      </c>
      <c r="BA43" s="89">
        <v>0</v>
      </c>
      <c r="BB43" s="89">
        <v>0</v>
      </c>
      <c r="BC43" s="89">
        <v>0</v>
      </c>
      <c r="BD43" s="89">
        <v>0</v>
      </c>
      <c r="BE43" s="89">
        <v>0</v>
      </c>
      <c r="BF43" s="89">
        <v>0</v>
      </c>
      <c r="BG43" s="89">
        <v>0</v>
      </c>
      <c r="BH43" s="89">
        <v>0</v>
      </c>
      <c r="BI43" s="89">
        <v>0</v>
      </c>
      <c r="BJ43" s="89">
        <v>0</v>
      </c>
      <c r="BK43" s="89">
        <v>0</v>
      </c>
      <c r="BL43" s="89">
        <v>0</v>
      </c>
      <c r="BM43" s="89">
        <v>0</v>
      </c>
      <c r="BN43" s="89">
        <v>0</v>
      </c>
      <c r="BO43" s="89">
        <v>0</v>
      </c>
      <c r="BP43" s="89">
        <v>0</v>
      </c>
      <c r="BQ43" s="89">
        <v>0</v>
      </c>
      <c r="BR43" s="89">
        <v>0</v>
      </c>
      <c r="BS43" s="89">
        <v>0</v>
      </c>
      <c r="BT43" s="89">
        <v>0</v>
      </c>
      <c r="BU43" s="89">
        <v>0</v>
      </c>
      <c r="BV43" s="89">
        <v>0</v>
      </c>
    </row>
    <row r="44" spans="2:74" ht="15" customHeight="1">
      <c r="B44" s="86" t="s">
        <v>142</v>
      </c>
      <c r="C44" s="99" t="s">
        <v>144</v>
      </c>
      <c r="D44" s="100">
        <f>SUM(Resource_Rates_Table56[[#This Row],[Year 1 Hours]],Resource_Rates_Table56[[#This Row],[Year 2 Hours]],Resource_Rates_Table56[[#This Row],[Year 3 Hours]],Resource_Rates_Table56[[#This Row],[Year 4 Hours]],Resource_Rates_Table56[[#This Row],[Year 5 Hours]])</f>
        <v>0</v>
      </c>
      <c r="E44" s="101">
        <f t="shared" si="10"/>
        <v>0</v>
      </c>
      <c r="F44"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4" s="101">
        <f t="shared" si="11"/>
        <v>0</v>
      </c>
      <c r="H44" s="101" t="str">
        <f>IFERROR(Resource_Rates_Table56[[#This Row],[Year 2 Hours]]/((IF(AND($D$4&gt;12,$D$4&lt;25),$D$4-12,IF($D$4&gt;24,12,"N/A")))*IF(VLOOKUP(Resource_Rates_Table56[[#This Row],[Resource Title]],'Resource Descriptions'!$D$6:$J$112,7,FALSE)="Onshore",$F$4,$F$5)),"N/A")</f>
        <v>N/A</v>
      </c>
      <c r="I44" s="101">
        <f t="shared" si="12"/>
        <v>0</v>
      </c>
      <c r="J44" s="101" t="str">
        <f>IFERROR(Resource_Rates_Table56[[#This Row],[Year 3 Hours]]/((IF(AND($D$4&gt;24,$D$4&lt;37),$D$4-24,IF($D$4&gt;36,12,"N/A")))*IF(VLOOKUP(Resource_Rates_Table56[[#This Row],[Resource Title]],'Resource Descriptions'!$D$6:$J$112,7,FALSE)="Onshore",$F$4,$F$5)),"N/A")</f>
        <v>N/A</v>
      </c>
      <c r="K44" s="101">
        <f t="shared" si="13"/>
        <v>0</v>
      </c>
      <c r="L44" s="101" t="str">
        <f>IFERROR(Resource_Rates_Table56[[#This Row],[Year 4 Hours]]/((IF(AND($D$4&gt;36,$D$4&lt;49),$D$4-36,IF($D$4&gt;48,12,"N/A")))*IF(VLOOKUP(Resource_Rates_Table56[[#This Row],[Resource Title]],'Resource Descriptions'!$D$6:$J$112,7,FALSE)="Onshore",$F$4,$F$5)),"N/A")</f>
        <v>N/A</v>
      </c>
      <c r="M44" s="101">
        <f t="shared" si="14"/>
        <v>0</v>
      </c>
      <c r="N44" s="101" t="str">
        <f>IFERROR(Resource_Rates_Table56[[#This Row],[Year 5 Hours]]/((IF(AND($D$4&gt;48,$D$4&lt;61),$D$4-48,IF($D$4&gt;60,12,"N/A")))*IF(VLOOKUP(Resource_Rates_Table56[[#This Row],[Resource Title]],'Resource Descriptions'!$D$6:$J$112,7,FALSE)="Onshore",$F$4,$F$5)),"N/A")</f>
        <v>N/A</v>
      </c>
      <c r="O44" s="89">
        <v>0</v>
      </c>
      <c r="P44" s="89">
        <v>0</v>
      </c>
      <c r="Q44" s="89">
        <v>0</v>
      </c>
      <c r="R44" s="89">
        <v>0</v>
      </c>
      <c r="S44" s="89">
        <v>0</v>
      </c>
      <c r="T44" s="89">
        <v>0</v>
      </c>
      <c r="U44" s="89">
        <v>0</v>
      </c>
      <c r="V44" s="89">
        <v>0</v>
      </c>
      <c r="W44" s="89">
        <v>0</v>
      </c>
      <c r="X44" s="89">
        <v>0</v>
      </c>
      <c r="Y44" s="89">
        <v>0</v>
      </c>
      <c r="Z44" s="89">
        <v>0</v>
      </c>
      <c r="AA44" s="89">
        <v>0</v>
      </c>
      <c r="AB44" s="89">
        <v>0</v>
      </c>
      <c r="AC44" s="89">
        <v>0</v>
      </c>
      <c r="AD44" s="89">
        <v>0</v>
      </c>
      <c r="AE44" s="89">
        <v>0</v>
      </c>
      <c r="AF44" s="89">
        <v>0</v>
      </c>
      <c r="AG44" s="89">
        <v>0</v>
      </c>
      <c r="AH44" s="89">
        <v>0</v>
      </c>
      <c r="AI44" s="89">
        <v>0</v>
      </c>
      <c r="AJ44" s="89">
        <v>0</v>
      </c>
      <c r="AK44" s="89">
        <v>0</v>
      </c>
      <c r="AL44" s="89">
        <v>0</v>
      </c>
      <c r="AM44" s="89">
        <v>0</v>
      </c>
      <c r="AN44" s="89">
        <v>0</v>
      </c>
      <c r="AO44" s="89">
        <v>0</v>
      </c>
      <c r="AP44" s="89">
        <v>0</v>
      </c>
      <c r="AQ44" s="89">
        <v>0</v>
      </c>
      <c r="AR44" s="89">
        <v>0</v>
      </c>
      <c r="AS44" s="89">
        <v>0</v>
      </c>
      <c r="AT44" s="89">
        <v>0</v>
      </c>
      <c r="AU44" s="89">
        <v>0</v>
      </c>
      <c r="AV44" s="89">
        <v>0</v>
      </c>
      <c r="AW44" s="89">
        <v>0</v>
      </c>
      <c r="AX44" s="89">
        <v>0</v>
      </c>
      <c r="AY44" s="89">
        <v>0</v>
      </c>
      <c r="AZ44" s="89">
        <v>0</v>
      </c>
      <c r="BA44" s="89">
        <v>0</v>
      </c>
      <c r="BB44" s="89">
        <v>0</v>
      </c>
      <c r="BC44" s="89">
        <v>0</v>
      </c>
      <c r="BD44" s="89">
        <v>0</v>
      </c>
      <c r="BE44" s="89">
        <v>0</v>
      </c>
      <c r="BF44" s="89">
        <v>0</v>
      </c>
      <c r="BG44" s="89">
        <v>0</v>
      </c>
      <c r="BH44" s="89">
        <v>0</v>
      </c>
      <c r="BI44" s="89">
        <v>0</v>
      </c>
      <c r="BJ44" s="89">
        <v>0</v>
      </c>
      <c r="BK44" s="89">
        <v>0</v>
      </c>
      <c r="BL44" s="89">
        <v>0</v>
      </c>
      <c r="BM44" s="89">
        <v>0</v>
      </c>
      <c r="BN44" s="89">
        <v>0</v>
      </c>
      <c r="BO44" s="89">
        <v>0</v>
      </c>
      <c r="BP44" s="89">
        <v>0</v>
      </c>
      <c r="BQ44" s="89">
        <v>0</v>
      </c>
      <c r="BR44" s="89">
        <v>0</v>
      </c>
      <c r="BS44" s="89">
        <v>0</v>
      </c>
      <c r="BT44" s="89">
        <v>0</v>
      </c>
      <c r="BU44" s="89">
        <v>0</v>
      </c>
      <c r="BV44" s="89">
        <v>0</v>
      </c>
    </row>
    <row r="45" spans="2:74" ht="15" customHeight="1">
      <c r="B45" s="86" t="s">
        <v>142</v>
      </c>
      <c r="C45" s="99" t="s">
        <v>145</v>
      </c>
      <c r="D45" s="100">
        <f>SUM(Resource_Rates_Table56[[#This Row],[Year 1 Hours]],Resource_Rates_Table56[[#This Row],[Year 2 Hours]],Resource_Rates_Table56[[#This Row],[Year 3 Hours]],Resource_Rates_Table56[[#This Row],[Year 4 Hours]],Resource_Rates_Table56[[#This Row],[Year 5 Hours]])</f>
        <v>0</v>
      </c>
      <c r="E45" s="101">
        <f t="shared" si="10"/>
        <v>0</v>
      </c>
      <c r="F45"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5" s="101">
        <f t="shared" si="11"/>
        <v>0</v>
      </c>
      <c r="H45" s="101" t="str">
        <f>IFERROR(Resource_Rates_Table56[[#This Row],[Year 2 Hours]]/((IF(AND($D$4&gt;12,$D$4&lt;25),$D$4-12,IF($D$4&gt;24,12,"N/A")))*IF(VLOOKUP(Resource_Rates_Table56[[#This Row],[Resource Title]],'Resource Descriptions'!$D$6:$J$112,7,FALSE)="Onshore",$F$4,$F$5)),"N/A")</f>
        <v>N/A</v>
      </c>
      <c r="I45" s="101">
        <f t="shared" si="12"/>
        <v>0</v>
      </c>
      <c r="J45" s="101" t="str">
        <f>IFERROR(Resource_Rates_Table56[[#This Row],[Year 3 Hours]]/((IF(AND($D$4&gt;24,$D$4&lt;37),$D$4-24,IF($D$4&gt;36,12,"N/A")))*IF(VLOOKUP(Resource_Rates_Table56[[#This Row],[Resource Title]],'Resource Descriptions'!$D$6:$J$112,7,FALSE)="Onshore",$F$4,$F$5)),"N/A")</f>
        <v>N/A</v>
      </c>
      <c r="K45" s="101">
        <f t="shared" si="13"/>
        <v>0</v>
      </c>
      <c r="L45" s="101" t="str">
        <f>IFERROR(Resource_Rates_Table56[[#This Row],[Year 4 Hours]]/((IF(AND($D$4&gt;36,$D$4&lt;49),$D$4-36,IF($D$4&gt;48,12,"N/A")))*IF(VLOOKUP(Resource_Rates_Table56[[#This Row],[Resource Title]],'Resource Descriptions'!$D$6:$J$112,7,FALSE)="Onshore",$F$4,$F$5)),"N/A")</f>
        <v>N/A</v>
      </c>
      <c r="M45" s="101">
        <f t="shared" si="14"/>
        <v>0</v>
      </c>
      <c r="N45" s="101" t="str">
        <f>IFERROR(Resource_Rates_Table56[[#This Row],[Year 5 Hours]]/((IF(AND($D$4&gt;48,$D$4&lt;61),$D$4-48,IF($D$4&gt;60,12,"N/A")))*IF(VLOOKUP(Resource_Rates_Table56[[#This Row],[Resource Title]],'Resource Descriptions'!$D$6:$J$112,7,FALSE)="Onshore",$F$4,$F$5)),"N/A")</f>
        <v>N/A</v>
      </c>
      <c r="O45" s="89">
        <v>0</v>
      </c>
      <c r="P45" s="89">
        <v>0</v>
      </c>
      <c r="Q45" s="89">
        <v>0</v>
      </c>
      <c r="R45" s="89">
        <v>0</v>
      </c>
      <c r="S45" s="89">
        <v>0</v>
      </c>
      <c r="T45" s="89">
        <v>0</v>
      </c>
      <c r="U45" s="89">
        <v>0</v>
      </c>
      <c r="V45" s="89">
        <v>0</v>
      </c>
      <c r="W45" s="89">
        <v>0</v>
      </c>
      <c r="X45" s="89">
        <v>0</v>
      </c>
      <c r="Y45" s="89">
        <v>0</v>
      </c>
      <c r="Z45" s="89">
        <v>0</v>
      </c>
      <c r="AA45" s="89">
        <v>0</v>
      </c>
      <c r="AB45" s="89">
        <v>0</v>
      </c>
      <c r="AC45" s="89">
        <v>0</v>
      </c>
      <c r="AD45" s="89">
        <v>0</v>
      </c>
      <c r="AE45" s="89">
        <v>0</v>
      </c>
      <c r="AF45" s="89">
        <v>0</v>
      </c>
      <c r="AG45" s="89">
        <v>0</v>
      </c>
      <c r="AH45" s="89">
        <v>0</v>
      </c>
      <c r="AI45" s="89">
        <v>0</v>
      </c>
      <c r="AJ45" s="89">
        <v>0</v>
      </c>
      <c r="AK45" s="89">
        <v>0</v>
      </c>
      <c r="AL45" s="89">
        <v>0</v>
      </c>
      <c r="AM45" s="89">
        <v>0</v>
      </c>
      <c r="AN45" s="89">
        <v>0</v>
      </c>
      <c r="AO45" s="89">
        <v>0</v>
      </c>
      <c r="AP45" s="89">
        <v>0</v>
      </c>
      <c r="AQ45" s="89">
        <v>0</v>
      </c>
      <c r="AR45" s="89">
        <v>0</v>
      </c>
      <c r="AS45" s="89">
        <v>0</v>
      </c>
      <c r="AT45" s="89">
        <v>0</v>
      </c>
      <c r="AU45" s="89">
        <v>0</v>
      </c>
      <c r="AV45" s="89">
        <v>0</v>
      </c>
      <c r="AW45" s="89">
        <v>0</v>
      </c>
      <c r="AX45" s="89">
        <v>0</v>
      </c>
      <c r="AY45" s="89">
        <v>0</v>
      </c>
      <c r="AZ45" s="89">
        <v>0</v>
      </c>
      <c r="BA45" s="89">
        <v>0</v>
      </c>
      <c r="BB45" s="89">
        <v>0</v>
      </c>
      <c r="BC45" s="89">
        <v>0</v>
      </c>
      <c r="BD45" s="89">
        <v>0</v>
      </c>
      <c r="BE45" s="89">
        <v>0</v>
      </c>
      <c r="BF45" s="89">
        <v>0</v>
      </c>
      <c r="BG45" s="89">
        <v>0</v>
      </c>
      <c r="BH45" s="89">
        <v>0</v>
      </c>
      <c r="BI45" s="89">
        <v>0</v>
      </c>
      <c r="BJ45" s="89">
        <v>0</v>
      </c>
      <c r="BK45" s="89">
        <v>0</v>
      </c>
      <c r="BL45" s="89">
        <v>0</v>
      </c>
      <c r="BM45" s="89">
        <v>0</v>
      </c>
      <c r="BN45" s="89">
        <v>0</v>
      </c>
      <c r="BO45" s="89">
        <v>0</v>
      </c>
      <c r="BP45" s="89">
        <v>0</v>
      </c>
      <c r="BQ45" s="89">
        <v>0</v>
      </c>
      <c r="BR45" s="89">
        <v>0</v>
      </c>
      <c r="BS45" s="89">
        <v>0</v>
      </c>
      <c r="BT45" s="89">
        <v>0</v>
      </c>
      <c r="BU45" s="89">
        <v>0</v>
      </c>
      <c r="BV45" s="89">
        <v>0</v>
      </c>
    </row>
    <row r="46" spans="2:74" ht="15" customHeight="1">
      <c r="B46" s="86" t="s">
        <v>142</v>
      </c>
      <c r="C46" s="99" t="s">
        <v>146</v>
      </c>
      <c r="D46" s="100">
        <f>SUM(Resource_Rates_Table56[[#This Row],[Year 1 Hours]],Resource_Rates_Table56[[#This Row],[Year 2 Hours]],Resource_Rates_Table56[[#This Row],[Year 3 Hours]],Resource_Rates_Table56[[#This Row],[Year 4 Hours]],Resource_Rates_Table56[[#This Row],[Year 5 Hours]])</f>
        <v>0</v>
      </c>
      <c r="E46" s="101">
        <f t="shared" si="10"/>
        <v>0</v>
      </c>
      <c r="F46"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6" s="101">
        <f t="shared" si="11"/>
        <v>0</v>
      </c>
      <c r="H46" s="101" t="str">
        <f>IFERROR(Resource_Rates_Table56[[#This Row],[Year 2 Hours]]/((IF(AND($D$4&gt;12,$D$4&lt;25),$D$4-12,IF($D$4&gt;24,12,"N/A")))*IF(VLOOKUP(Resource_Rates_Table56[[#This Row],[Resource Title]],'Resource Descriptions'!$D$6:$J$112,7,FALSE)="Onshore",$F$4,$F$5)),"N/A")</f>
        <v>N/A</v>
      </c>
      <c r="I46" s="101">
        <f t="shared" si="12"/>
        <v>0</v>
      </c>
      <c r="J46" s="101" t="str">
        <f>IFERROR(Resource_Rates_Table56[[#This Row],[Year 3 Hours]]/((IF(AND($D$4&gt;24,$D$4&lt;37),$D$4-24,IF($D$4&gt;36,12,"N/A")))*IF(VLOOKUP(Resource_Rates_Table56[[#This Row],[Resource Title]],'Resource Descriptions'!$D$6:$J$112,7,FALSE)="Onshore",$F$4,$F$5)),"N/A")</f>
        <v>N/A</v>
      </c>
      <c r="K46" s="101">
        <f t="shared" si="13"/>
        <v>0</v>
      </c>
      <c r="L46" s="101" t="str">
        <f>IFERROR(Resource_Rates_Table56[[#This Row],[Year 4 Hours]]/((IF(AND($D$4&gt;36,$D$4&lt;49),$D$4-36,IF($D$4&gt;48,12,"N/A")))*IF(VLOOKUP(Resource_Rates_Table56[[#This Row],[Resource Title]],'Resource Descriptions'!$D$6:$J$112,7,FALSE)="Onshore",$F$4,$F$5)),"N/A")</f>
        <v>N/A</v>
      </c>
      <c r="M46" s="101">
        <f t="shared" si="14"/>
        <v>0</v>
      </c>
      <c r="N46" s="101" t="str">
        <f>IFERROR(Resource_Rates_Table56[[#This Row],[Year 5 Hours]]/((IF(AND($D$4&gt;48,$D$4&lt;61),$D$4-48,IF($D$4&gt;60,12,"N/A")))*IF(VLOOKUP(Resource_Rates_Table56[[#This Row],[Resource Title]],'Resource Descriptions'!$D$6:$J$112,7,FALSE)="Onshore",$F$4,$F$5)),"N/A")</f>
        <v>N/A</v>
      </c>
      <c r="O46" s="89">
        <v>0</v>
      </c>
      <c r="P46" s="89">
        <v>0</v>
      </c>
      <c r="Q46" s="89">
        <v>0</v>
      </c>
      <c r="R46" s="89">
        <v>0</v>
      </c>
      <c r="S46" s="89">
        <v>0</v>
      </c>
      <c r="T46" s="89">
        <v>0</v>
      </c>
      <c r="U46" s="89">
        <v>0</v>
      </c>
      <c r="V46" s="89">
        <v>0</v>
      </c>
      <c r="W46" s="89">
        <v>0</v>
      </c>
      <c r="X46" s="89">
        <v>0</v>
      </c>
      <c r="Y46" s="89">
        <v>0</v>
      </c>
      <c r="Z46" s="89">
        <v>0</v>
      </c>
      <c r="AA46" s="89">
        <v>0</v>
      </c>
      <c r="AB46" s="89">
        <v>0</v>
      </c>
      <c r="AC46" s="89">
        <v>0</v>
      </c>
      <c r="AD46" s="89">
        <v>0</v>
      </c>
      <c r="AE46" s="89">
        <v>0</v>
      </c>
      <c r="AF46" s="89">
        <v>0</v>
      </c>
      <c r="AG46" s="89">
        <v>0</v>
      </c>
      <c r="AH46" s="89">
        <v>0</v>
      </c>
      <c r="AI46" s="89">
        <v>0</v>
      </c>
      <c r="AJ46" s="89">
        <v>0</v>
      </c>
      <c r="AK46" s="89">
        <v>0</v>
      </c>
      <c r="AL46" s="89">
        <v>0</v>
      </c>
      <c r="AM46" s="89">
        <v>0</v>
      </c>
      <c r="AN46" s="89">
        <v>0</v>
      </c>
      <c r="AO46" s="89">
        <v>0</v>
      </c>
      <c r="AP46" s="89">
        <v>0</v>
      </c>
      <c r="AQ46" s="89">
        <v>0</v>
      </c>
      <c r="AR46" s="89">
        <v>0</v>
      </c>
      <c r="AS46" s="89">
        <v>0</v>
      </c>
      <c r="AT46" s="89">
        <v>0</v>
      </c>
      <c r="AU46" s="89">
        <v>0</v>
      </c>
      <c r="AV46" s="89">
        <v>0</v>
      </c>
      <c r="AW46" s="89">
        <v>0</v>
      </c>
      <c r="AX46" s="89">
        <v>0</v>
      </c>
      <c r="AY46" s="89">
        <v>0</v>
      </c>
      <c r="AZ46" s="89">
        <v>0</v>
      </c>
      <c r="BA46" s="89">
        <v>0</v>
      </c>
      <c r="BB46" s="89">
        <v>0</v>
      </c>
      <c r="BC46" s="89">
        <v>0</v>
      </c>
      <c r="BD46" s="89">
        <v>0</v>
      </c>
      <c r="BE46" s="89">
        <v>0</v>
      </c>
      <c r="BF46" s="89">
        <v>0</v>
      </c>
      <c r="BG46" s="89">
        <v>0</v>
      </c>
      <c r="BH46" s="89">
        <v>0</v>
      </c>
      <c r="BI46" s="89">
        <v>0</v>
      </c>
      <c r="BJ46" s="89">
        <v>0</v>
      </c>
      <c r="BK46" s="89">
        <v>0</v>
      </c>
      <c r="BL46" s="89">
        <v>0</v>
      </c>
      <c r="BM46" s="89">
        <v>0</v>
      </c>
      <c r="BN46" s="89">
        <v>0</v>
      </c>
      <c r="BO46" s="89">
        <v>0</v>
      </c>
      <c r="BP46" s="89">
        <v>0</v>
      </c>
      <c r="BQ46" s="89">
        <v>0</v>
      </c>
      <c r="BR46" s="89">
        <v>0</v>
      </c>
      <c r="BS46" s="89">
        <v>0</v>
      </c>
      <c r="BT46" s="89">
        <v>0</v>
      </c>
      <c r="BU46" s="89">
        <v>0</v>
      </c>
      <c r="BV46" s="89">
        <v>0</v>
      </c>
    </row>
    <row r="47" spans="2:74" ht="15" customHeight="1">
      <c r="B47" s="86" t="s">
        <v>142</v>
      </c>
      <c r="C47" s="99" t="s">
        <v>147</v>
      </c>
      <c r="D47" s="100">
        <f>SUM(Resource_Rates_Table56[[#This Row],[Year 1 Hours]],Resource_Rates_Table56[[#This Row],[Year 2 Hours]],Resource_Rates_Table56[[#This Row],[Year 3 Hours]],Resource_Rates_Table56[[#This Row],[Year 4 Hours]],Resource_Rates_Table56[[#This Row],[Year 5 Hours]])</f>
        <v>0</v>
      </c>
      <c r="E47" s="101">
        <f t="shared" si="10"/>
        <v>0</v>
      </c>
      <c r="F47"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7" s="101">
        <f t="shared" si="11"/>
        <v>0</v>
      </c>
      <c r="H47" s="101" t="str">
        <f>IFERROR(Resource_Rates_Table56[[#This Row],[Year 2 Hours]]/((IF(AND($D$4&gt;12,$D$4&lt;25),$D$4-12,IF($D$4&gt;24,12,"N/A")))*IF(VLOOKUP(Resource_Rates_Table56[[#This Row],[Resource Title]],'Resource Descriptions'!$D$6:$J$112,7,FALSE)="Onshore",$F$4,$F$5)),"N/A")</f>
        <v>N/A</v>
      </c>
      <c r="I47" s="101">
        <f t="shared" si="12"/>
        <v>0</v>
      </c>
      <c r="J47" s="101" t="str">
        <f>IFERROR(Resource_Rates_Table56[[#This Row],[Year 3 Hours]]/((IF(AND($D$4&gt;24,$D$4&lt;37),$D$4-24,IF($D$4&gt;36,12,"N/A")))*IF(VLOOKUP(Resource_Rates_Table56[[#This Row],[Resource Title]],'Resource Descriptions'!$D$6:$J$112,7,FALSE)="Onshore",$F$4,$F$5)),"N/A")</f>
        <v>N/A</v>
      </c>
      <c r="K47" s="101">
        <f t="shared" si="13"/>
        <v>0</v>
      </c>
      <c r="L47" s="101" t="str">
        <f>IFERROR(Resource_Rates_Table56[[#This Row],[Year 4 Hours]]/((IF(AND($D$4&gt;36,$D$4&lt;49),$D$4-36,IF($D$4&gt;48,12,"N/A")))*IF(VLOOKUP(Resource_Rates_Table56[[#This Row],[Resource Title]],'Resource Descriptions'!$D$6:$J$112,7,FALSE)="Onshore",$F$4,$F$5)),"N/A")</f>
        <v>N/A</v>
      </c>
      <c r="M47" s="101">
        <f t="shared" si="14"/>
        <v>0</v>
      </c>
      <c r="N47" s="101" t="str">
        <f>IFERROR(Resource_Rates_Table56[[#This Row],[Year 5 Hours]]/((IF(AND($D$4&gt;48,$D$4&lt;61),$D$4-48,IF($D$4&gt;60,12,"N/A")))*IF(VLOOKUP(Resource_Rates_Table56[[#This Row],[Resource Title]],'Resource Descriptions'!$D$6:$J$112,7,FALSE)="Onshore",$F$4,$F$5)),"N/A")</f>
        <v>N/A</v>
      </c>
      <c r="O47" s="89">
        <v>0</v>
      </c>
      <c r="P47" s="89">
        <v>0</v>
      </c>
      <c r="Q47" s="89">
        <v>0</v>
      </c>
      <c r="R47" s="89">
        <v>0</v>
      </c>
      <c r="S47" s="89">
        <v>0</v>
      </c>
      <c r="T47" s="89">
        <v>0</v>
      </c>
      <c r="U47" s="89">
        <v>0</v>
      </c>
      <c r="V47" s="89">
        <v>0</v>
      </c>
      <c r="W47" s="89">
        <v>0</v>
      </c>
      <c r="X47" s="89">
        <v>0</v>
      </c>
      <c r="Y47" s="89">
        <v>0</v>
      </c>
      <c r="Z47" s="89">
        <v>0</v>
      </c>
      <c r="AA47" s="89">
        <v>0</v>
      </c>
      <c r="AB47" s="89">
        <v>0</v>
      </c>
      <c r="AC47" s="89">
        <v>0</v>
      </c>
      <c r="AD47" s="89">
        <v>0</v>
      </c>
      <c r="AE47" s="89">
        <v>0</v>
      </c>
      <c r="AF47" s="89">
        <v>0</v>
      </c>
      <c r="AG47" s="89">
        <v>0</v>
      </c>
      <c r="AH47" s="89">
        <v>0</v>
      </c>
      <c r="AI47" s="89">
        <v>0</v>
      </c>
      <c r="AJ47" s="89">
        <v>0</v>
      </c>
      <c r="AK47" s="89">
        <v>0</v>
      </c>
      <c r="AL47" s="89">
        <v>0</v>
      </c>
      <c r="AM47" s="89">
        <v>0</v>
      </c>
      <c r="AN47" s="89">
        <v>0</v>
      </c>
      <c r="AO47" s="89">
        <v>0</v>
      </c>
      <c r="AP47" s="89">
        <v>0</v>
      </c>
      <c r="AQ47" s="89">
        <v>0</v>
      </c>
      <c r="AR47" s="89">
        <v>0</v>
      </c>
      <c r="AS47" s="89">
        <v>0</v>
      </c>
      <c r="AT47" s="89">
        <v>0</v>
      </c>
      <c r="AU47" s="89">
        <v>0</v>
      </c>
      <c r="AV47" s="89">
        <v>0</v>
      </c>
      <c r="AW47" s="89">
        <v>0</v>
      </c>
      <c r="AX47" s="89">
        <v>0</v>
      </c>
      <c r="AY47" s="89">
        <v>0</v>
      </c>
      <c r="AZ47" s="89">
        <v>0</v>
      </c>
      <c r="BA47" s="89">
        <v>0</v>
      </c>
      <c r="BB47" s="89">
        <v>0</v>
      </c>
      <c r="BC47" s="89">
        <v>0</v>
      </c>
      <c r="BD47" s="89">
        <v>0</v>
      </c>
      <c r="BE47" s="89">
        <v>0</v>
      </c>
      <c r="BF47" s="89">
        <v>0</v>
      </c>
      <c r="BG47" s="89">
        <v>0</v>
      </c>
      <c r="BH47" s="89">
        <v>0</v>
      </c>
      <c r="BI47" s="89">
        <v>0</v>
      </c>
      <c r="BJ47" s="89">
        <v>0</v>
      </c>
      <c r="BK47" s="89">
        <v>0</v>
      </c>
      <c r="BL47" s="89">
        <v>0</v>
      </c>
      <c r="BM47" s="89">
        <v>0</v>
      </c>
      <c r="BN47" s="89">
        <v>0</v>
      </c>
      <c r="BO47" s="89">
        <v>0</v>
      </c>
      <c r="BP47" s="89">
        <v>0</v>
      </c>
      <c r="BQ47" s="89">
        <v>0</v>
      </c>
      <c r="BR47" s="89">
        <v>0</v>
      </c>
      <c r="BS47" s="89">
        <v>0</v>
      </c>
      <c r="BT47" s="89">
        <v>0</v>
      </c>
      <c r="BU47" s="89">
        <v>0</v>
      </c>
      <c r="BV47" s="89">
        <v>0</v>
      </c>
    </row>
    <row r="48" spans="2:74" ht="15" customHeight="1">
      <c r="B48" s="86" t="s">
        <v>142</v>
      </c>
      <c r="C48" s="99" t="s">
        <v>148</v>
      </c>
      <c r="D48" s="100">
        <f>SUM(Resource_Rates_Table56[[#This Row],[Year 1 Hours]],Resource_Rates_Table56[[#This Row],[Year 2 Hours]],Resource_Rates_Table56[[#This Row],[Year 3 Hours]],Resource_Rates_Table56[[#This Row],[Year 4 Hours]],Resource_Rates_Table56[[#This Row],[Year 5 Hours]])</f>
        <v>0</v>
      </c>
      <c r="E48" s="101">
        <f t="shared" si="10"/>
        <v>0</v>
      </c>
      <c r="F48"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8" s="101">
        <f t="shared" si="11"/>
        <v>0</v>
      </c>
      <c r="H48" s="101" t="str">
        <f>IFERROR(Resource_Rates_Table56[[#This Row],[Year 2 Hours]]/((IF(AND($D$4&gt;12,$D$4&lt;25),$D$4-12,IF($D$4&gt;24,12,"N/A")))*IF(VLOOKUP(Resource_Rates_Table56[[#This Row],[Resource Title]],'Resource Descriptions'!$D$6:$J$112,7,FALSE)="Onshore",$F$4,$F$5)),"N/A")</f>
        <v>N/A</v>
      </c>
      <c r="I48" s="101">
        <f t="shared" si="12"/>
        <v>0</v>
      </c>
      <c r="J48" s="101" t="str">
        <f>IFERROR(Resource_Rates_Table56[[#This Row],[Year 3 Hours]]/((IF(AND($D$4&gt;24,$D$4&lt;37),$D$4-24,IF($D$4&gt;36,12,"N/A")))*IF(VLOOKUP(Resource_Rates_Table56[[#This Row],[Resource Title]],'Resource Descriptions'!$D$6:$J$112,7,FALSE)="Onshore",$F$4,$F$5)),"N/A")</f>
        <v>N/A</v>
      </c>
      <c r="K48" s="101">
        <f t="shared" si="13"/>
        <v>0</v>
      </c>
      <c r="L48" s="101" t="str">
        <f>IFERROR(Resource_Rates_Table56[[#This Row],[Year 4 Hours]]/((IF(AND($D$4&gt;36,$D$4&lt;49),$D$4-36,IF($D$4&gt;48,12,"N/A")))*IF(VLOOKUP(Resource_Rates_Table56[[#This Row],[Resource Title]],'Resource Descriptions'!$D$6:$J$112,7,FALSE)="Onshore",$F$4,$F$5)),"N/A")</f>
        <v>N/A</v>
      </c>
      <c r="M48" s="101">
        <f t="shared" si="14"/>
        <v>0</v>
      </c>
      <c r="N48" s="101" t="str">
        <f>IFERROR(Resource_Rates_Table56[[#This Row],[Year 5 Hours]]/((IF(AND($D$4&gt;48,$D$4&lt;61),$D$4-48,IF($D$4&gt;60,12,"N/A")))*IF(VLOOKUP(Resource_Rates_Table56[[#This Row],[Resource Title]],'Resource Descriptions'!$D$6:$J$112,7,FALSE)="Onshore",$F$4,$F$5)),"N/A")</f>
        <v>N/A</v>
      </c>
      <c r="O48" s="89">
        <v>0</v>
      </c>
      <c r="P48" s="89">
        <v>0</v>
      </c>
      <c r="Q48" s="89">
        <v>0</v>
      </c>
      <c r="R48" s="89">
        <v>0</v>
      </c>
      <c r="S48" s="89">
        <v>0</v>
      </c>
      <c r="T48" s="89">
        <v>0</v>
      </c>
      <c r="U48" s="89">
        <v>0</v>
      </c>
      <c r="V48" s="89">
        <v>0</v>
      </c>
      <c r="W48" s="89">
        <v>0</v>
      </c>
      <c r="X48" s="89">
        <v>0</v>
      </c>
      <c r="Y48" s="89">
        <v>0</v>
      </c>
      <c r="Z48" s="89">
        <v>0</v>
      </c>
      <c r="AA48" s="89">
        <v>0</v>
      </c>
      <c r="AB48" s="89">
        <v>0</v>
      </c>
      <c r="AC48" s="89">
        <v>0</v>
      </c>
      <c r="AD48" s="89">
        <v>0</v>
      </c>
      <c r="AE48" s="89">
        <v>0</v>
      </c>
      <c r="AF48" s="89">
        <v>0</v>
      </c>
      <c r="AG48" s="89">
        <v>0</v>
      </c>
      <c r="AH48" s="89">
        <v>0</v>
      </c>
      <c r="AI48" s="89">
        <v>0</v>
      </c>
      <c r="AJ48" s="89">
        <v>0</v>
      </c>
      <c r="AK48" s="89">
        <v>0</v>
      </c>
      <c r="AL48" s="89">
        <v>0</v>
      </c>
      <c r="AM48" s="89">
        <v>0</v>
      </c>
      <c r="AN48" s="89">
        <v>0</v>
      </c>
      <c r="AO48" s="89">
        <v>0</v>
      </c>
      <c r="AP48" s="89">
        <v>0</v>
      </c>
      <c r="AQ48" s="89">
        <v>0</v>
      </c>
      <c r="AR48" s="89">
        <v>0</v>
      </c>
      <c r="AS48" s="89">
        <v>0</v>
      </c>
      <c r="AT48" s="89">
        <v>0</v>
      </c>
      <c r="AU48" s="89">
        <v>0</v>
      </c>
      <c r="AV48" s="89">
        <v>0</v>
      </c>
      <c r="AW48" s="89">
        <v>0</v>
      </c>
      <c r="AX48" s="89">
        <v>0</v>
      </c>
      <c r="AY48" s="89">
        <v>0</v>
      </c>
      <c r="AZ48" s="89">
        <v>0</v>
      </c>
      <c r="BA48" s="89">
        <v>0</v>
      </c>
      <c r="BB48" s="89">
        <v>0</v>
      </c>
      <c r="BC48" s="89">
        <v>0</v>
      </c>
      <c r="BD48" s="89">
        <v>0</v>
      </c>
      <c r="BE48" s="89">
        <v>0</v>
      </c>
      <c r="BF48" s="89">
        <v>0</v>
      </c>
      <c r="BG48" s="89">
        <v>0</v>
      </c>
      <c r="BH48" s="89">
        <v>0</v>
      </c>
      <c r="BI48" s="89">
        <v>0</v>
      </c>
      <c r="BJ48" s="89">
        <v>0</v>
      </c>
      <c r="BK48" s="89">
        <v>0</v>
      </c>
      <c r="BL48" s="89">
        <v>0</v>
      </c>
      <c r="BM48" s="89">
        <v>0</v>
      </c>
      <c r="BN48" s="89">
        <v>0</v>
      </c>
      <c r="BO48" s="89">
        <v>0</v>
      </c>
      <c r="BP48" s="89">
        <v>0</v>
      </c>
      <c r="BQ48" s="89">
        <v>0</v>
      </c>
      <c r="BR48" s="89">
        <v>0</v>
      </c>
      <c r="BS48" s="89">
        <v>0</v>
      </c>
      <c r="BT48" s="89">
        <v>0</v>
      </c>
      <c r="BU48" s="89">
        <v>0</v>
      </c>
      <c r="BV48" s="89">
        <v>0</v>
      </c>
    </row>
    <row r="49" spans="2:74" ht="15" customHeight="1">
      <c r="B49" s="86" t="s">
        <v>142</v>
      </c>
      <c r="C49" s="99" t="s">
        <v>149</v>
      </c>
      <c r="D49" s="100">
        <f>SUM(Resource_Rates_Table56[[#This Row],[Year 1 Hours]],Resource_Rates_Table56[[#This Row],[Year 2 Hours]],Resource_Rates_Table56[[#This Row],[Year 3 Hours]],Resource_Rates_Table56[[#This Row],[Year 4 Hours]],Resource_Rates_Table56[[#This Row],[Year 5 Hours]])</f>
        <v>0</v>
      </c>
      <c r="E49" s="101">
        <f t="shared" si="10"/>
        <v>0</v>
      </c>
      <c r="F49"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9" s="101">
        <f t="shared" si="11"/>
        <v>0</v>
      </c>
      <c r="H49" s="101" t="str">
        <f>IFERROR(Resource_Rates_Table56[[#This Row],[Year 2 Hours]]/((IF(AND($D$4&gt;12,$D$4&lt;25),$D$4-12,IF($D$4&gt;24,12,"N/A")))*IF(VLOOKUP(Resource_Rates_Table56[[#This Row],[Resource Title]],'Resource Descriptions'!$D$6:$J$112,7,FALSE)="Onshore",$F$4,$F$5)),"N/A")</f>
        <v>N/A</v>
      </c>
      <c r="I49" s="101">
        <f t="shared" si="12"/>
        <v>0</v>
      </c>
      <c r="J49" s="101" t="str">
        <f>IFERROR(Resource_Rates_Table56[[#This Row],[Year 3 Hours]]/((IF(AND($D$4&gt;24,$D$4&lt;37),$D$4-24,IF($D$4&gt;36,12,"N/A")))*IF(VLOOKUP(Resource_Rates_Table56[[#This Row],[Resource Title]],'Resource Descriptions'!$D$6:$J$112,7,FALSE)="Onshore",$F$4,$F$5)),"N/A")</f>
        <v>N/A</v>
      </c>
      <c r="K49" s="101">
        <f t="shared" si="13"/>
        <v>0</v>
      </c>
      <c r="L49" s="101" t="str">
        <f>IFERROR(Resource_Rates_Table56[[#This Row],[Year 4 Hours]]/((IF(AND($D$4&gt;36,$D$4&lt;49),$D$4-36,IF($D$4&gt;48,12,"N/A")))*IF(VLOOKUP(Resource_Rates_Table56[[#This Row],[Resource Title]],'Resource Descriptions'!$D$6:$J$112,7,FALSE)="Onshore",$F$4,$F$5)),"N/A")</f>
        <v>N/A</v>
      </c>
      <c r="M49" s="101">
        <f t="shared" si="14"/>
        <v>0</v>
      </c>
      <c r="N49" s="101" t="str">
        <f>IFERROR(Resource_Rates_Table56[[#This Row],[Year 5 Hours]]/((IF(AND($D$4&gt;48,$D$4&lt;61),$D$4-48,IF($D$4&gt;60,12,"N/A")))*IF(VLOOKUP(Resource_Rates_Table56[[#This Row],[Resource Title]],'Resource Descriptions'!$D$6:$J$112,7,FALSE)="Onshore",$F$4,$F$5)),"N/A")</f>
        <v>N/A</v>
      </c>
      <c r="O49" s="89">
        <v>0</v>
      </c>
      <c r="P49" s="89">
        <v>0</v>
      </c>
      <c r="Q49" s="89">
        <v>0</v>
      </c>
      <c r="R49" s="89">
        <v>0</v>
      </c>
      <c r="S49" s="89">
        <v>0</v>
      </c>
      <c r="T49" s="89">
        <v>0</v>
      </c>
      <c r="U49" s="89">
        <v>0</v>
      </c>
      <c r="V49" s="89">
        <v>0</v>
      </c>
      <c r="W49" s="89">
        <v>0</v>
      </c>
      <c r="X49" s="89">
        <v>0</v>
      </c>
      <c r="Y49" s="89">
        <v>0</v>
      </c>
      <c r="Z49" s="89">
        <v>0</v>
      </c>
      <c r="AA49" s="89">
        <v>0</v>
      </c>
      <c r="AB49" s="89">
        <v>0</v>
      </c>
      <c r="AC49" s="89">
        <v>0</v>
      </c>
      <c r="AD49" s="89">
        <v>0</v>
      </c>
      <c r="AE49" s="89">
        <v>0</v>
      </c>
      <c r="AF49" s="89">
        <v>0</v>
      </c>
      <c r="AG49" s="89">
        <v>0</v>
      </c>
      <c r="AH49" s="89">
        <v>0</v>
      </c>
      <c r="AI49" s="89">
        <v>0</v>
      </c>
      <c r="AJ49" s="89">
        <v>0</v>
      </c>
      <c r="AK49" s="89">
        <v>0</v>
      </c>
      <c r="AL49" s="89">
        <v>0</v>
      </c>
      <c r="AM49" s="89">
        <v>0</v>
      </c>
      <c r="AN49" s="89">
        <v>0</v>
      </c>
      <c r="AO49" s="89">
        <v>0</v>
      </c>
      <c r="AP49" s="89">
        <v>0</v>
      </c>
      <c r="AQ49" s="89">
        <v>0</v>
      </c>
      <c r="AR49" s="89">
        <v>0</v>
      </c>
      <c r="AS49" s="89">
        <v>0</v>
      </c>
      <c r="AT49" s="89">
        <v>0</v>
      </c>
      <c r="AU49" s="89">
        <v>0</v>
      </c>
      <c r="AV49" s="89">
        <v>0</v>
      </c>
      <c r="AW49" s="89">
        <v>0</v>
      </c>
      <c r="AX49" s="89">
        <v>0</v>
      </c>
      <c r="AY49" s="89">
        <v>0</v>
      </c>
      <c r="AZ49" s="89">
        <v>0</v>
      </c>
      <c r="BA49" s="89">
        <v>0</v>
      </c>
      <c r="BB49" s="89">
        <v>0</v>
      </c>
      <c r="BC49" s="89">
        <v>0</v>
      </c>
      <c r="BD49" s="89">
        <v>0</v>
      </c>
      <c r="BE49" s="89">
        <v>0</v>
      </c>
      <c r="BF49" s="89">
        <v>0</v>
      </c>
      <c r="BG49" s="89">
        <v>0</v>
      </c>
      <c r="BH49" s="89">
        <v>0</v>
      </c>
      <c r="BI49" s="89">
        <v>0</v>
      </c>
      <c r="BJ49" s="89">
        <v>0</v>
      </c>
      <c r="BK49" s="89">
        <v>0</v>
      </c>
      <c r="BL49" s="89">
        <v>0</v>
      </c>
      <c r="BM49" s="89">
        <v>0</v>
      </c>
      <c r="BN49" s="89">
        <v>0</v>
      </c>
      <c r="BO49" s="89">
        <v>0</v>
      </c>
      <c r="BP49" s="89">
        <v>0</v>
      </c>
      <c r="BQ49" s="89">
        <v>0</v>
      </c>
      <c r="BR49" s="89">
        <v>0</v>
      </c>
      <c r="BS49" s="89">
        <v>0</v>
      </c>
      <c r="BT49" s="89">
        <v>0</v>
      </c>
      <c r="BU49" s="89">
        <v>0</v>
      </c>
      <c r="BV49" s="89">
        <v>0</v>
      </c>
    </row>
    <row r="50" spans="2:74" ht="15" customHeight="1">
      <c r="B50" s="86" t="s">
        <v>142</v>
      </c>
      <c r="C50" s="99" t="s">
        <v>150</v>
      </c>
      <c r="D50" s="100">
        <f>SUM(Resource_Rates_Table56[[#This Row],[Year 1 Hours]],Resource_Rates_Table56[[#This Row],[Year 2 Hours]],Resource_Rates_Table56[[#This Row],[Year 3 Hours]],Resource_Rates_Table56[[#This Row],[Year 4 Hours]],Resource_Rates_Table56[[#This Row],[Year 5 Hours]])</f>
        <v>0</v>
      </c>
      <c r="E50" s="101">
        <f t="shared" si="10"/>
        <v>0</v>
      </c>
      <c r="F50"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0" s="101">
        <f t="shared" si="11"/>
        <v>0</v>
      </c>
      <c r="H50" s="101" t="str">
        <f>IFERROR(Resource_Rates_Table56[[#This Row],[Year 2 Hours]]/((IF(AND($D$4&gt;12,$D$4&lt;25),$D$4-12,IF($D$4&gt;24,12,"N/A")))*IF(VLOOKUP(Resource_Rates_Table56[[#This Row],[Resource Title]],'Resource Descriptions'!$D$6:$J$112,7,FALSE)="Onshore",$F$4,$F$5)),"N/A")</f>
        <v>N/A</v>
      </c>
      <c r="I50" s="101">
        <f t="shared" si="12"/>
        <v>0</v>
      </c>
      <c r="J50" s="101" t="str">
        <f>IFERROR(Resource_Rates_Table56[[#This Row],[Year 3 Hours]]/((IF(AND($D$4&gt;24,$D$4&lt;37),$D$4-24,IF($D$4&gt;36,12,"N/A")))*IF(VLOOKUP(Resource_Rates_Table56[[#This Row],[Resource Title]],'Resource Descriptions'!$D$6:$J$112,7,FALSE)="Onshore",$F$4,$F$5)),"N/A")</f>
        <v>N/A</v>
      </c>
      <c r="K50" s="101">
        <f t="shared" si="13"/>
        <v>0</v>
      </c>
      <c r="L50" s="101" t="str">
        <f>IFERROR(Resource_Rates_Table56[[#This Row],[Year 4 Hours]]/((IF(AND($D$4&gt;36,$D$4&lt;49),$D$4-36,IF($D$4&gt;48,12,"N/A")))*IF(VLOOKUP(Resource_Rates_Table56[[#This Row],[Resource Title]],'Resource Descriptions'!$D$6:$J$112,7,FALSE)="Onshore",$F$4,$F$5)),"N/A")</f>
        <v>N/A</v>
      </c>
      <c r="M50" s="101">
        <f t="shared" si="14"/>
        <v>0</v>
      </c>
      <c r="N50" s="101" t="str">
        <f>IFERROR(Resource_Rates_Table56[[#This Row],[Year 5 Hours]]/((IF(AND($D$4&gt;48,$D$4&lt;61),$D$4-48,IF($D$4&gt;60,12,"N/A")))*IF(VLOOKUP(Resource_Rates_Table56[[#This Row],[Resource Title]],'Resource Descriptions'!$D$6:$J$112,7,FALSE)="Onshore",$F$4,$F$5)),"N/A")</f>
        <v>N/A</v>
      </c>
      <c r="O50" s="89">
        <v>0</v>
      </c>
      <c r="P50" s="89">
        <v>0</v>
      </c>
      <c r="Q50" s="89">
        <v>0</v>
      </c>
      <c r="R50" s="89">
        <v>0</v>
      </c>
      <c r="S50" s="89">
        <v>0</v>
      </c>
      <c r="T50" s="89">
        <v>0</v>
      </c>
      <c r="U50" s="89">
        <v>0</v>
      </c>
      <c r="V50" s="89">
        <v>0</v>
      </c>
      <c r="W50" s="89">
        <v>0</v>
      </c>
      <c r="X50" s="89">
        <v>0</v>
      </c>
      <c r="Y50" s="89">
        <v>0</v>
      </c>
      <c r="Z50" s="89">
        <v>0</v>
      </c>
      <c r="AA50" s="89">
        <v>0</v>
      </c>
      <c r="AB50" s="89">
        <v>0</v>
      </c>
      <c r="AC50" s="89">
        <v>0</v>
      </c>
      <c r="AD50" s="89">
        <v>0</v>
      </c>
      <c r="AE50" s="89">
        <v>0</v>
      </c>
      <c r="AF50" s="89">
        <v>0</v>
      </c>
      <c r="AG50" s="89">
        <v>0</v>
      </c>
      <c r="AH50" s="89">
        <v>0</v>
      </c>
      <c r="AI50" s="89">
        <v>0</v>
      </c>
      <c r="AJ50" s="89">
        <v>0</v>
      </c>
      <c r="AK50" s="89">
        <v>0</v>
      </c>
      <c r="AL50" s="89">
        <v>0</v>
      </c>
      <c r="AM50" s="89">
        <v>0</v>
      </c>
      <c r="AN50" s="89">
        <v>0</v>
      </c>
      <c r="AO50" s="89">
        <v>0</v>
      </c>
      <c r="AP50" s="89">
        <v>0</v>
      </c>
      <c r="AQ50" s="89">
        <v>0</v>
      </c>
      <c r="AR50" s="89">
        <v>0</v>
      </c>
      <c r="AS50" s="89">
        <v>0</v>
      </c>
      <c r="AT50" s="89">
        <v>0</v>
      </c>
      <c r="AU50" s="89">
        <v>0</v>
      </c>
      <c r="AV50" s="89">
        <v>0</v>
      </c>
      <c r="AW50" s="89">
        <v>0</v>
      </c>
      <c r="AX50" s="89">
        <v>0</v>
      </c>
      <c r="AY50" s="89">
        <v>0</v>
      </c>
      <c r="AZ50" s="89">
        <v>0</v>
      </c>
      <c r="BA50" s="89">
        <v>0</v>
      </c>
      <c r="BB50" s="89">
        <v>0</v>
      </c>
      <c r="BC50" s="89">
        <v>0</v>
      </c>
      <c r="BD50" s="89">
        <v>0</v>
      </c>
      <c r="BE50" s="89">
        <v>0</v>
      </c>
      <c r="BF50" s="89">
        <v>0</v>
      </c>
      <c r="BG50" s="89">
        <v>0</v>
      </c>
      <c r="BH50" s="89">
        <v>0</v>
      </c>
      <c r="BI50" s="89">
        <v>0</v>
      </c>
      <c r="BJ50" s="89">
        <v>0</v>
      </c>
      <c r="BK50" s="89">
        <v>0</v>
      </c>
      <c r="BL50" s="89">
        <v>0</v>
      </c>
      <c r="BM50" s="89">
        <v>0</v>
      </c>
      <c r="BN50" s="89">
        <v>0</v>
      </c>
      <c r="BO50" s="89">
        <v>0</v>
      </c>
      <c r="BP50" s="89">
        <v>0</v>
      </c>
      <c r="BQ50" s="89">
        <v>0</v>
      </c>
      <c r="BR50" s="89">
        <v>0</v>
      </c>
      <c r="BS50" s="89">
        <v>0</v>
      </c>
      <c r="BT50" s="89">
        <v>0</v>
      </c>
      <c r="BU50" s="89">
        <v>0</v>
      </c>
      <c r="BV50" s="89">
        <v>0</v>
      </c>
    </row>
    <row r="51" spans="2:74" ht="15" customHeight="1">
      <c r="B51" s="86" t="s">
        <v>151</v>
      </c>
      <c r="C51" s="99" t="s">
        <v>152</v>
      </c>
      <c r="D51" s="100">
        <f>SUM(Resource_Rates_Table56[[#This Row],[Year 1 Hours]],Resource_Rates_Table56[[#This Row],[Year 2 Hours]],Resource_Rates_Table56[[#This Row],[Year 3 Hours]],Resource_Rates_Table56[[#This Row],[Year 4 Hours]],Resource_Rates_Table56[[#This Row],[Year 5 Hours]])</f>
        <v>0</v>
      </c>
      <c r="E51" s="101">
        <f t="shared" si="10"/>
        <v>0</v>
      </c>
      <c r="F51"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1" s="101">
        <f t="shared" si="11"/>
        <v>0</v>
      </c>
      <c r="H51" s="101" t="str">
        <f>IFERROR(Resource_Rates_Table56[[#This Row],[Year 2 Hours]]/((IF(AND($D$4&gt;12,$D$4&lt;25),$D$4-12,IF($D$4&gt;24,12,"N/A")))*IF(VLOOKUP(Resource_Rates_Table56[[#This Row],[Resource Title]],'Resource Descriptions'!$D$6:$J$112,7,FALSE)="Onshore",$F$4,$F$5)),"N/A")</f>
        <v>N/A</v>
      </c>
      <c r="I51" s="101">
        <f t="shared" si="12"/>
        <v>0</v>
      </c>
      <c r="J51" s="101" t="str">
        <f>IFERROR(Resource_Rates_Table56[[#This Row],[Year 3 Hours]]/((IF(AND($D$4&gt;24,$D$4&lt;37),$D$4-24,IF($D$4&gt;36,12,"N/A")))*IF(VLOOKUP(Resource_Rates_Table56[[#This Row],[Resource Title]],'Resource Descriptions'!$D$6:$J$112,7,FALSE)="Onshore",$F$4,$F$5)),"N/A")</f>
        <v>N/A</v>
      </c>
      <c r="K51" s="101">
        <f t="shared" si="13"/>
        <v>0</v>
      </c>
      <c r="L51" s="101" t="str">
        <f>IFERROR(Resource_Rates_Table56[[#This Row],[Year 4 Hours]]/((IF(AND($D$4&gt;36,$D$4&lt;49),$D$4-36,IF($D$4&gt;48,12,"N/A")))*IF(VLOOKUP(Resource_Rates_Table56[[#This Row],[Resource Title]],'Resource Descriptions'!$D$6:$J$112,7,FALSE)="Onshore",$F$4,$F$5)),"N/A")</f>
        <v>N/A</v>
      </c>
      <c r="M51" s="101">
        <f t="shared" si="14"/>
        <v>0</v>
      </c>
      <c r="N51" s="101" t="str">
        <f>IFERROR(Resource_Rates_Table56[[#This Row],[Year 5 Hours]]/((IF(AND($D$4&gt;48,$D$4&lt;61),$D$4-48,IF($D$4&gt;60,12,"N/A")))*IF(VLOOKUP(Resource_Rates_Table56[[#This Row],[Resource Title]],'Resource Descriptions'!$D$6:$J$112,7,FALSE)="Onshore",$F$4,$F$5)),"N/A")</f>
        <v>N/A</v>
      </c>
      <c r="O51" s="89">
        <v>0</v>
      </c>
      <c r="P51" s="89">
        <v>0</v>
      </c>
      <c r="Q51" s="89">
        <v>0</v>
      </c>
      <c r="R51" s="89">
        <v>0</v>
      </c>
      <c r="S51" s="89">
        <v>0</v>
      </c>
      <c r="T51" s="89">
        <v>0</v>
      </c>
      <c r="U51" s="89">
        <v>0</v>
      </c>
      <c r="V51" s="89">
        <v>0</v>
      </c>
      <c r="W51" s="89">
        <v>0</v>
      </c>
      <c r="X51" s="89">
        <v>0</v>
      </c>
      <c r="Y51" s="89">
        <v>0</v>
      </c>
      <c r="Z51" s="89">
        <v>0</v>
      </c>
      <c r="AA51" s="89">
        <v>0</v>
      </c>
      <c r="AB51" s="89">
        <v>0</v>
      </c>
      <c r="AC51" s="89">
        <v>0</v>
      </c>
      <c r="AD51" s="89">
        <v>0</v>
      </c>
      <c r="AE51" s="89">
        <v>0</v>
      </c>
      <c r="AF51" s="89">
        <v>0</v>
      </c>
      <c r="AG51" s="89">
        <v>0</v>
      </c>
      <c r="AH51" s="89">
        <v>0</v>
      </c>
      <c r="AI51" s="89">
        <v>0</v>
      </c>
      <c r="AJ51" s="89">
        <v>0</v>
      </c>
      <c r="AK51" s="89">
        <v>0</v>
      </c>
      <c r="AL51" s="89">
        <v>0</v>
      </c>
      <c r="AM51" s="89">
        <v>0</v>
      </c>
      <c r="AN51" s="89">
        <v>0</v>
      </c>
      <c r="AO51" s="89">
        <v>0</v>
      </c>
      <c r="AP51" s="89">
        <v>0</v>
      </c>
      <c r="AQ51" s="89">
        <v>0</v>
      </c>
      <c r="AR51" s="89">
        <v>0</v>
      </c>
      <c r="AS51" s="89">
        <v>0</v>
      </c>
      <c r="AT51" s="89">
        <v>0</v>
      </c>
      <c r="AU51" s="89">
        <v>0</v>
      </c>
      <c r="AV51" s="89">
        <v>0</v>
      </c>
      <c r="AW51" s="89">
        <v>0</v>
      </c>
      <c r="AX51" s="89">
        <v>0</v>
      </c>
      <c r="AY51" s="89">
        <v>0</v>
      </c>
      <c r="AZ51" s="89">
        <v>0</v>
      </c>
      <c r="BA51" s="89">
        <v>0</v>
      </c>
      <c r="BB51" s="89">
        <v>0</v>
      </c>
      <c r="BC51" s="89">
        <v>0</v>
      </c>
      <c r="BD51" s="89">
        <v>0</v>
      </c>
      <c r="BE51" s="89">
        <v>0</v>
      </c>
      <c r="BF51" s="89">
        <v>0</v>
      </c>
      <c r="BG51" s="89">
        <v>0</v>
      </c>
      <c r="BH51" s="89">
        <v>0</v>
      </c>
      <c r="BI51" s="89">
        <v>0</v>
      </c>
      <c r="BJ51" s="89">
        <v>0</v>
      </c>
      <c r="BK51" s="89">
        <v>0</v>
      </c>
      <c r="BL51" s="89">
        <v>0</v>
      </c>
      <c r="BM51" s="89">
        <v>0</v>
      </c>
      <c r="BN51" s="89">
        <v>0</v>
      </c>
      <c r="BO51" s="89">
        <v>0</v>
      </c>
      <c r="BP51" s="89">
        <v>0</v>
      </c>
      <c r="BQ51" s="89">
        <v>0</v>
      </c>
      <c r="BR51" s="89">
        <v>0</v>
      </c>
      <c r="BS51" s="89">
        <v>0</v>
      </c>
      <c r="BT51" s="89">
        <v>0</v>
      </c>
      <c r="BU51" s="89">
        <v>0</v>
      </c>
      <c r="BV51" s="89">
        <v>0</v>
      </c>
    </row>
    <row r="52" spans="2:74" ht="15" customHeight="1">
      <c r="B52" s="86" t="s">
        <v>151</v>
      </c>
      <c r="C52" s="99" t="s">
        <v>153</v>
      </c>
      <c r="D52" s="100">
        <f>SUM(Resource_Rates_Table56[[#This Row],[Year 1 Hours]],Resource_Rates_Table56[[#This Row],[Year 2 Hours]],Resource_Rates_Table56[[#This Row],[Year 3 Hours]],Resource_Rates_Table56[[#This Row],[Year 4 Hours]],Resource_Rates_Table56[[#This Row],[Year 5 Hours]])</f>
        <v>0</v>
      </c>
      <c r="E52" s="101">
        <f t="shared" si="10"/>
        <v>0</v>
      </c>
      <c r="F52"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2" s="101">
        <f t="shared" si="11"/>
        <v>0</v>
      </c>
      <c r="H52" s="101" t="str">
        <f>IFERROR(Resource_Rates_Table56[[#This Row],[Year 2 Hours]]/((IF(AND($D$4&gt;12,$D$4&lt;25),$D$4-12,IF($D$4&gt;24,12,"N/A")))*IF(VLOOKUP(Resource_Rates_Table56[[#This Row],[Resource Title]],'Resource Descriptions'!$D$6:$J$112,7,FALSE)="Onshore",$F$4,$F$5)),"N/A")</f>
        <v>N/A</v>
      </c>
      <c r="I52" s="101">
        <f t="shared" si="12"/>
        <v>0</v>
      </c>
      <c r="J52" s="101" t="str">
        <f>IFERROR(Resource_Rates_Table56[[#This Row],[Year 3 Hours]]/((IF(AND($D$4&gt;24,$D$4&lt;37),$D$4-24,IF($D$4&gt;36,12,"N/A")))*IF(VLOOKUP(Resource_Rates_Table56[[#This Row],[Resource Title]],'Resource Descriptions'!$D$6:$J$112,7,FALSE)="Onshore",$F$4,$F$5)),"N/A")</f>
        <v>N/A</v>
      </c>
      <c r="K52" s="101">
        <f t="shared" si="13"/>
        <v>0</v>
      </c>
      <c r="L52" s="101" t="str">
        <f>IFERROR(Resource_Rates_Table56[[#This Row],[Year 4 Hours]]/((IF(AND($D$4&gt;36,$D$4&lt;49),$D$4-36,IF($D$4&gt;48,12,"N/A")))*IF(VLOOKUP(Resource_Rates_Table56[[#This Row],[Resource Title]],'Resource Descriptions'!$D$6:$J$112,7,FALSE)="Onshore",$F$4,$F$5)),"N/A")</f>
        <v>N/A</v>
      </c>
      <c r="M52" s="101">
        <f t="shared" si="14"/>
        <v>0</v>
      </c>
      <c r="N52" s="101" t="str">
        <f>IFERROR(Resource_Rates_Table56[[#This Row],[Year 5 Hours]]/((IF(AND($D$4&gt;48,$D$4&lt;61),$D$4-48,IF($D$4&gt;60,12,"N/A")))*IF(VLOOKUP(Resource_Rates_Table56[[#This Row],[Resource Title]],'Resource Descriptions'!$D$6:$J$112,7,FALSE)="Onshore",$F$4,$F$5)),"N/A")</f>
        <v>N/A</v>
      </c>
      <c r="O52" s="89">
        <v>0</v>
      </c>
      <c r="P52" s="89">
        <v>0</v>
      </c>
      <c r="Q52" s="89">
        <v>0</v>
      </c>
      <c r="R52" s="89">
        <v>0</v>
      </c>
      <c r="S52" s="89">
        <v>0</v>
      </c>
      <c r="T52" s="89">
        <v>0</v>
      </c>
      <c r="U52" s="89">
        <v>0</v>
      </c>
      <c r="V52" s="89">
        <v>0</v>
      </c>
      <c r="W52" s="89">
        <v>0</v>
      </c>
      <c r="X52" s="89">
        <v>0</v>
      </c>
      <c r="Y52" s="89">
        <v>0</v>
      </c>
      <c r="Z52" s="89">
        <v>0</v>
      </c>
      <c r="AA52" s="89">
        <v>0</v>
      </c>
      <c r="AB52" s="89">
        <v>0</v>
      </c>
      <c r="AC52" s="89">
        <v>0</v>
      </c>
      <c r="AD52" s="89">
        <v>0</v>
      </c>
      <c r="AE52" s="89">
        <v>0</v>
      </c>
      <c r="AF52" s="89">
        <v>0</v>
      </c>
      <c r="AG52" s="89">
        <v>0</v>
      </c>
      <c r="AH52" s="89">
        <v>0</v>
      </c>
      <c r="AI52" s="89">
        <v>0</v>
      </c>
      <c r="AJ52" s="89">
        <v>0</v>
      </c>
      <c r="AK52" s="89">
        <v>0</v>
      </c>
      <c r="AL52" s="89">
        <v>0</v>
      </c>
      <c r="AM52" s="89">
        <v>0</v>
      </c>
      <c r="AN52" s="89">
        <v>0</v>
      </c>
      <c r="AO52" s="89">
        <v>0</v>
      </c>
      <c r="AP52" s="89">
        <v>0</v>
      </c>
      <c r="AQ52" s="89">
        <v>0</v>
      </c>
      <c r="AR52" s="89">
        <v>0</v>
      </c>
      <c r="AS52" s="89">
        <v>0</v>
      </c>
      <c r="AT52" s="89">
        <v>0</v>
      </c>
      <c r="AU52" s="89">
        <v>0</v>
      </c>
      <c r="AV52" s="89">
        <v>0</v>
      </c>
      <c r="AW52" s="89">
        <v>0</v>
      </c>
      <c r="AX52" s="89">
        <v>0</v>
      </c>
      <c r="AY52" s="89">
        <v>0</v>
      </c>
      <c r="AZ52" s="89">
        <v>0</v>
      </c>
      <c r="BA52" s="89">
        <v>0</v>
      </c>
      <c r="BB52" s="89">
        <v>0</v>
      </c>
      <c r="BC52" s="89">
        <v>0</v>
      </c>
      <c r="BD52" s="89">
        <v>0</v>
      </c>
      <c r="BE52" s="89">
        <v>0</v>
      </c>
      <c r="BF52" s="89">
        <v>0</v>
      </c>
      <c r="BG52" s="89">
        <v>0</v>
      </c>
      <c r="BH52" s="89">
        <v>0</v>
      </c>
      <c r="BI52" s="89">
        <v>0</v>
      </c>
      <c r="BJ52" s="89">
        <v>0</v>
      </c>
      <c r="BK52" s="89">
        <v>0</v>
      </c>
      <c r="BL52" s="89">
        <v>0</v>
      </c>
      <c r="BM52" s="89">
        <v>0</v>
      </c>
      <c r="BN52" s="89">
        <v>0</v>
      </c>
      <c r="BO52" s="89">
        <v>0</v>
      </c>
      <c r="BP52" s="89">
        <v>0</v>
      </c>
      <c r="BQ52" s="89">
        <v>0</v>
      </c>
      <c r="BR52" s="89">
        <v>0</v>
      </c>
      <c r="BS52" s="89">
        <v>0</v>
      </c>
      <c r="BT52" s="89">
        <v>0</v>
      </c>
      <c r="BU52" s="89">
        <v>0</v>
      </c>
      <c r="BV52" s="89">
        <v>0</v>
      </c>
    </row>
    <row r="53" spans="2:74" ht="15" customHeight="1">
      <c r="B53" s="86" t="s">
        <v>151</v>
      </c>
      <c r="C53" s="99" t="s">
        <v>154</v>
      </c>
      <c r="D53" s="100">
        <f>SUM(Resource_Rates_Table56[[#This Row],[Year 1 Hours]],Resource_Rates_Table56[[#This Row],[Year 2 Hours]],Resource_Rates_Table56[[#This Row],[Year 3 Hours]],Resource_Rates_Table56[[#This Row],[Year 4 Hours]],Resource_Rates_Table56[[#This Row],[Year 5 Hours]])</f>
        <v>0</v>
      </c>
      <c r="E53" s="101">
        <f t="shared" si="10"/>
        <v>0</v>
      </c>
      <c r="F53"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3" s="101">
        <f t="shared" si="11"/>
        <v>0</v>
      </c>
      <c r="H53" s="101" t="str">
        <f>IFERROR(Resource_Rates_Table56[[#This Row],[Year 2 Hours]]/((IF(AND($D$4&gt;12,$D$4&lt;25),$D$4-12,IF($D$4&gt;24,12,"N/A")))*IF(VLOOKUP(Resource_Rates_Table56[[#This Row],[Resource Title]],'Resource Descriptions'!$D$6:$J$112,7,FALSE)="Onshore",$F$4,$F$5)),"N/A")</f>
        <v>N/A</v>
      </c>
      <c r="I53" s="101">
        <f t="shared" si="12"/>
        <v>0</v>
      </c>
      <c r="J53" s="101" t="str">
        <f>IFERROR(Resource_Rates_Table56[[#This Row],[Year 3 Hours]]/((IF(AND($D$4&gt;24,$D$4&lt;37),$D$4-24,IF($D$4&gt;36,12,"N/A")))*IF(VLOOKUP(Resource_Rates_Table56[[#This Row],[Resource Title]],'Resource Descriptions'!$D$6:$J$112,7,FALSE)="Onshore",$F$4,$F$5)),"N/A")</f>
        <v>N/A</v>
      </c>
      <c r="K53" s="101">
        <f t="shared" si="13"/>
        <v>0</v>
      </c>
      <c r="L53" s="101" t="str">
        <f>IFERROR(Resource_Rates_Table56[[#This Row],[Year 4 Hours]]/((IF(AND($D$4&gt;36,$D$4&lt;49),$D$4-36,IF($D$4&gt;48,12,"N/A")))*IF(VLOOKUP(Resource_Rates_Table56[[#This Row],[Resource Title]],'Resource Descriptions'!$D$6:$J$112,7,FALSE)="Onshore",$F$4,$F$5)),"N/A")</f>
        <v>N/A</v>
      </c>
      <c r="M53" s="101">
        <f t="shared" si="14"/>
        <v>0</v>
      </c>
      <c r="N53" s="101" t="str">
        <f>IFERROR(Resource_Rates_Table56[[#This Row],[Year 5 Hours]]/((IF(AND($D$4&gt;48,$D$4&lt;61),$D$4-48,IF($D$4&gt;60,12,"N/A")))*IF(VLOOKUP(Resource_Rates_Table56[[#This Row],[Resource Title]],'Resource Descriptions'!$D$6:$J$112,7,FALSE)="Onshore",$F$4,$F$5)),"N/A")</f>
        <v>N/A</v>
      </c>
      <c r="O53" s="89">
        <v>0</v>
      </c>
      <c r="P53" s="89">
        <v>0</v>
      </c>
      <c r="Q53" s="89">
        <v>0</v>
      </c>
      <c r="R53" s="89">
        <v>0</v>
      </c>
      <c r="S53" s="89">
        <v>0</v>
      </c>
      <c r="T53" s="89">
        <v>0</v>
      </c>
      <c r="U53" s="89">
        <v>0</v>
      </c>
      <c r="V53" s="89">
        <v>0</v>
      </c>
      <c r="W53" s="89">
        <v>0</v>
      </c>
      <c r="X53" s="89">
        <v>0</v>
      </c>
      <c r="Y53" s="89">
        <v>0</v>
      </c>
      <c r="Z53" s="89">
        <v>0</v>
      </c>
      <c r="AA53" s="89">
        <v>0</v>
      </c>
      <c r="AB53" s="89">
        <v>0</v>
      </c>
      <c r="AC53" s="89">
        <v>0</v>
      </c>
      <c r="AD53" s="89">
        <v>0</v>
      </c>
      <c r="AE53" s="89">
        <v>0</v>
      </c>
      <c r="AF53" s="89">
        <v>0</v>
      </c>
      <c r="AG53" s="89">
        <v>0</v>
      </c>
      <c r="AH53" s="89">
        <v>0</v>
      </c>
      <c r="AI53" s="89">
        <v>0</v>
      </c>
      <c r="AJ53" s="89">
        <v>0</v>
      </c>
      <c r="AK53" s="89">
        <v>0</v>
      </c>
      <c r="AL53" s="89">
        <v>0</v>
      </c>
      <c r="AM53" s="89">
        <v>0</v>
      </c>
      <c r="AN53" s="89">
        <v>0</v>
      </c>
      <c r="AO53" s="89">
        <v>0</v>
      </c>
      <c r="AP53" s="89">
        <v>0</v>
      </c>
      <c r="AQ53" s="89">
        <v>0</v>
      </c>
      <c r="AR53" s="89">
        <v>0</v>
      </c>
      <c r="AS53" s="89">
        <v>0</v>
      </c>
      <c r="AT53" s="89">
        <v>0</v>
      </c>
      <c r="AU53" s="89">
        <v>0</v>
      </c>
      <c r="AV53" s="89">
        <v>0</v>
      </c>
      <c r="AW53" s="89">
        <v>0</v>
      </c>
      <c r="AX53" s="89">
        <v>0</v>
      </c>
      <c r="AY53" s="89">
        <v>0</v>
      </c>
      <c r="AZ53" s="89">
        <v>0</v>
      </c>
      <c r="BA53" s="89">
        <v>0</v>
      </c>
      <c r="BB53" s="89">
        <v>0</v>
      </c>
      <c r="BC53" s="89">
        <v>0</v>
      </c>
      <c r="BD53" s="89">
        <v>0</v>
      </c>
      <c r="BE53" s="89">
        <v>0</v>
      </c>
      <c r="BF53" s="89">
        <v>0</v>
      </c>
      <c r="BG53" s="89">
        <v>0</v>
      </c>
      <c r="BH53" s="89">
        <v>0</v>
      </c>
      <c r="BI53" s="89">
        <v>0</v>
      </c>
      <c r="BJ53" s="89">
        <v>0</v>
      </c>
      <c r="BK53" s="89">
        <v>0</v>
      </c>
      <c r="BL53" s="89">
        <v>0</v>
      </c>
      <c r="BM53" s="89">
        <v>0</v>
      </c>
      <c r="BN53" s="89">
        <v>0</v>
      </c>
      <c r="BO53" s="89">
        <v>0</v>
      </c>
      <c r="BP53" s="89">
        <v>0</v>
      </c>
      <c r="BQ53" s="89">
        <v>0</v>
      </c>
      <c r="BR53" s="89">
        <v>0</v>
      </c>
      <c r="BS53" s="89">
        <v>0</v>
      </c>
      <c r="BT53" s="89">
        <v>0</v>
      </c>
      <c r="BU53" s="89">
        <v>0</v>
      </c>
      <c r="BV53" s="89">
        <v>0</v>
      </c>
    </row>
    <row r="54" spans="2:74" ht="15" customHeight="1">
      <c r="B54" s="86" t="s">
        <v>151</v>
      </c>
      <c r="C54" s="99" t="s">
        <v>155</v>
      </c>
      <c r="D54" s="100">
        <f>SUM(Resource_Rates_Table56[[#This Row],[Year 1 Hours]],Resource_Rates_Table56[[#This Row],[Year 2 Hours]],Resource_Rates_Table56[[#This Row],[Year 3 Hours]],Resource_Rates_Table56[[#This Row],[Year 4 Hours]],Resource_Rates_Table56[[#This Row],[Year 5 Hours]])</f>
        <v>0</v>
      </c>
      <c r="E54" s="101">
        <f t="shared" si="10"/>
        <v>0</v>
      </c>
      <c r="F54"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4" s="101">
        <f t="shared" si="11"/>
        <v>0</v>
      </c>
      <c r="H54" s="101" t="str">
        <f>IFERROR(Resource_Rates_Table56[[#This Row],[Year 2 Hours]]/((IF(AND($D$4&gt;12,$D$4&lt;25),$D$4-12,IF($D$4&gt;24,12,"N/A")))*IF(VLOOKUP(Resource_Rates_Table56[[#This Row],[Resource Title]],'Resource Descriptions'!$D$6:$J$112,7,FALSE)="Onshore",$F$4,$F$5)),"N/A")</f>
        <v>N/A</v>
      </c>
      <c r="I54" s="101">
        <f t="shared" si="12"/>
        <v>0</v>
      </c>
      <c r="J54" s="101" t="str">
        <f>IFERROR(Resource_Rates_Table56[[#This Row],[Year 3 Hours]]/((IF(AND($D$4&gt;24,$D$4&lt;37),$D$4-24,IF($D$4&gt;36,12,"N/A")))*IF(VLOOKUP(Resource_Rates_Table56[[#This Row],[Resource Title]],'Resource Descriptions'!$D$6:$J$112,7,FALSE)="Onshore",$F$4,$F$5)),"N/A")</f>
        <v>N/A</v>
      </c>
      <c r="K54" s="101">
        <f t="shared" si="13"/>
        <v>0</v>
      </c>
      <c r="L54" s="101" t="str">
        <f>IFERROR(Resource_Rates_Table56[[#This Row],[Year 4 Hours]]/((IF(AND($D$4&gt;36,$D$4&lt;49),$D$4-36,IF($D$4&gt;48,12,"N/A")))*IF(VLOOKUP(Resource_Rates_Table56[[#This Row],[Resource Title]],'Resource Descriptions'!$D$6:$J$112,7,FALSE)="Onshore",$F$4,$F$5)),"N/A")</f>
        <v>N/A</v>
      </c>
      <c r="M54" s="101">
        <f t="shared" si="14"/>
        <v>0</v>
      </c>
      <c r="N54" s="101" t="str">
        <f>IFERROR(Resource_Rates_Table56[[#This Row],[Year 5 Hours]]/((IF(AND($D$4&gt;48,$D$4&lt;61),$D$4-48,IF($D$4&gt;60,12,"N/A")))*IF(VLOOKUP(Resource_Rates_Table56[[#This Row],[Resource Title]],'Resource Descriptions'!$D$6:$J$112,7,FALSE)="Onshore",$F$4,$F$5)),"N/A")</f>
        <v>N/A</v>
      </c>
      <c r="O54" s="89">
        <v>0</v>
      </c>
      <c r="P54" s="89">
        <v>0</v>
      </c>
      <c r="Q54" s="89">
        <v>0</v>
      </c>
      <c r="R54" s="89">
        <v>0</v>
      </c>
      <c r="S54" s="89">
        <v>0</v>
      </c>
      <c r="T54" s="89">
        <v>0</v>
      </c>
      <c r="U54" s="89">
        <v>0</v>
      </c>
      <c r="V54" s="89">
        <v>0</v>
      </c>
      <c r="W54" s="89">
        <v>0</v>
      </c>
      <c r="X54" s="89">
        <v>0</v>
      </c>
      <c r="Y54" s="89">
        <v>0</v>
      </c>
      <c r="Z54" s="89">
        <v>0</v>
      </c>
      <c r="AA54" s="89">
        <v>0</v>
      </c>
      <c r="AB54" s="89">
        <v>0</v>
      </c>
      <c r="AC54" s="89">
        <v>0</v>
      </c>
      <c r="AD54" s="89">
        <v>0</v>
      </c>
      <c r="AE54" s="89">
        <v>0</v>
      </c>
      <c r="AF54" s="89">
        <v>0</v>
      </c>
      <c r="AG54" s="89">
        <v>0</v>
      </c>
      <c r="AH54" s="89">
        <v>0</v>
      </c>
      <c r="AI54" s="89">
        <v>0</v>
      </c>
      <c r="AJ54" s="89">
        <v>0</v>
      </c>
      <c r="AK54" s="89">
        <v>0</v>
      </c>
      <c r="AL54" s="89">
        <v>0</v>
      </c>
      <c r="AM54" s="89">
        <v>0</v>
      </c>
      <c r="AN54" s="89">
        <v>0</v>
      </c>
      <c r="AO54" s="89">
        <v>0</v>
      </c>
      <c r="AP54" s="89">
        <v>0</v>
      </c>
      <c r="AQ54" s="89">
        <v>0</v>
      </c>
      <c r="AR54" s="89">
        <v>0</v>
      </c>
      <c r="AS54" s="89">
        <v>0</v>
      </c>
      <c r="AT54" s="89">
        <v>0</v>
      </c>
      <c r="AU54" s="89">
        <v>0</v>
      </c>
      <c r="AV54" s="89">
        <v>0</v>
      </c>
      <c r="AW54" s="89">
        <v>0</v>
      </c>
      <c r="AX54" s="89">
        <v>0</v>
      </c>
      <c r="AY54" s="89">
        <v>0</v>
      </c>
      <c r="AZ54" s="89">
        <v>0</v>
      </c>
      <c r="BA54" s="89">
        <v>0</v>
      </c>
      <c r="BB54" s="89">
        <v>0</v>
      </c>
      <c r="BC54" s="89">
        <v>0</v>
      </c>
      <c r="BD54" s="89">
        <v>0</v>
      </c>
      <c r="BE54" s="89">
        <v>0</v>
      </c>
      <c r="BF54" s="89">
        <v>0</v>
      </c>
      <c r="BG54" s="89">
        <v>0</v>
      </c>
      <c r="BH54" s="89">
        <v>0</v>
      </c>
      <c r="BI54" s="89">
        <v>0</v>
      </c>
      <c r="BJ54" s="89">
        <v>0</v>
      </c>
      <c r="BK54" s="89">
        <v>0</v>
      </c>
      <c r="BL54" s="89">
        <v>0</v>
      </c>
      <c r="BM54" s="89">
        <v>0</v>
      </c>
      <c r="BN54" s="89">
        <v>0</v>
      </c>
      <c r="BO54" s="89">
        <v>0</v>
      </c>
      <c r="BP54" s="89">
        <v>0</v>
      </c>
      <c r="BQ54" s="89">
        <v>0</v>
      </c>
      <c r="BR54" s="89">
        <v>0</v>
      </c>
      <c r="BS54" s="89">
        <v>0</v>
      </c>
      <c r="BT54" s="89">
        <v>0</v>
      </c>
      <c r="BU54" s="89">
        <v>0</v>
      </c>
      <c r="BV54" s="89">
        <v>0</v>
      </c>
    </row>
    <row r="55" spans="2:74" ht="15" customHeight="1">
      <c r="B55" s="86" t="s">
        <v>151</v>
      </c>
      <c r="C55" s="99" t="s">
        <v>156</v>
      </c>
      <c r="D55" s="100">
        <f>SUM(Resource_Rates_Table56[[#This Row],[Year 1 Hours]],Resource_Rates_Table56[[#This Row],[Year 2 Hours]],Resource_Rates_Table56[[#This Row],[Year 3 Hours]],Resource_Rates_Table56[[#This Row],[Year 4 Hours]],Resource_Rates_Table56[[#This Row],[Year 5 Hours]])</f>
        <v>0</v>
      </c>
      <c r="E55" s="101">
        <f t="shared" si="10"/>
        <v>0</v>
      </c>
      <c r="F55"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5" s="101">
        <f t="shared" si="11"/>
        <v>0</v>
      </c>
      <c r="H55" s="101" t="str">
        <f>IFERROR(Resource_Rates_Table56[[#This Row],[Year 2 Hours]]/((IF(AND($D$4&gt;12,$D$4&lt;25),$D$4-12,IF($D$4&gt;24,12,"N/A")))*IF(VLOOKUP(Resource_Rates_Table56[[#This Row],[Resource Title]],'Resource Descriptions'!$D$6:$J$112,7,FALSE)="Onshore",$F$4,$F$5)),"N/A")</f>
        <v>N/A</v>
      </c>
      <c r="I55" s="101">
        <f t="shared" si="12"/>
        <v>0</v>
      </c>
      <c r="J55" s="101" t="str">
        <f>IFERROR(Resource_Rates_Table56[[#This Row],[Year 3 Hours]]/((IF(AND($D$4&gt;24,$D$4&lt;37),$D$4-24,IF($D$4&gt;36,12,"N/A")))*IF(VLOOKUP(Resource_Rates_Table56[[#This Row],[Resource Title]],'Resource Descriptions'!$D$6:$J$112,7,FALSE)="Onshore",$F$4,$F$5)),"N/A")</f>
        <v>N/A</v>
      </c>
      <c r="K55" s="101">
        <f t="shared" si="13"/>
        <v>0</v>
      </c>
      <c r="L55" s="101" t="str">
        <f>IFERROR(Resource_Rates_Table56[[#This Row],[Year 4 Hours]]/((IF(AND($D$4&gt;36,$D$4&lt;49),$D$4-36,IF($D$4&gt;48,12,"N/A")))*IF(VLOOKUP(Resource_Rates_Table56[[#This Row],[Resource Title]],'Resource Descriptions'!$D$6:$J$112,7,FALSE)="Onshore",$F$4,$F$5)),"N/A")</f>
        <v>N/A</v>
      </c>
      <c r="M55" s="101">
        <f t="shared" si="14"/>
        <v>0</v>
      </c>
      <c r="N55" s="101" t="str">
        <f>IFERROR(Resource_Rates_Table56[[#This Row],[Year 5 Hours]]/((IF(AND($D$4&gt;48,$D$4&lt;61),$D$4-48,IF($D$4&gt;60,12,"N/A")))*IF(VLOOKUP(Resource_Rates_Table56[[#This Row],[Resource Title]],'Resource Descriptions'!$D$6:$J$112,7,FALSE)="Onshore",$F$4,$F$5)),"N/A")</f>
        <v>N/A</v>
      </c>
      <c r="O55" s="89">
        <v>0</v>
      </c>
      <c r="P55" s="89">
        <v>0</v>
      </c>
      <c r="Q55" s="89">
        <v>0</v>
      </c>
      <c r="R55" s="89">
        <v>0</v>
      </c>
      <c r="S55" s="89">
        <v>0</v>
      </c>
      <c r="T55" s="89">
        <v>0</v>
      </c>
      <c r="U55" s="89">
        <v>0</v>
      </c>
      <c r="V55" s="89">
        <v>0</v>
      </c>
      <c r="W55" s="89">
        <v>0</v>
      </c>
      <c r="X55" s="89">
        <v>0</v>
      </c>
      <c r="Y55" s="89">
        <v>0</v>
      </c>
      <c r="Z55" s="89">
        <v>0</v>
      </c>
      <c r="AA55" s="89">
        <v>0</v>
      </c>
      <c r="AB55" s="89">
        <v>0</v>
      </c>
      <c r="AC55" s="89">
        <v>0</v>
      </c>
      <c r="AD55" s="89">
        <v>0</v>
      </c>
      <c r="AE55" s="89">
        <v>0</v>
      </c>
      <c r="AF55" s="89">
        <v>0</v>
      </c>
      <c r="AG55" s="89">
        <v>0</v>
      </c>
      <c r="AH55" s="89">
        <v>0</v>
      </c>
      <c r="AI55" s="89">
        <v>0</v>
      </c>
      <c r="AJ55" s="89">
        <v>0</v>
      </c>
      <c r="AK55" s="89">
        <v>0</v>
      </c>
      <c r="AL55" s="89">
        <v>0</v>
      </c>
      <c r="AM55" s="89">
        <v>0</v>
      </c>
      <c r="AN55" s="89">
        <v>0</v>
      </c>
      <c r="AO55" s="89">
        <v>0</v>
      </c>
      <c r="AP55" s="89">
        <v>0</v>
      </c>
      <c r="AQ55" s="89">
        <v>0</v>
      </c>
      <c r="AR55" s="89">
        <v>0</v>
      </c>
      <c r="AS55" s="89">
        <v>0</v>
      </c>
      <c r="AT55" s="89">
        <v>0</v>
      </c>
      <c r="AU55" s="89">
        <v>0</v>
      </c>
      <c r="AV55" s="89">
        <v>0</v>
      </c>
      <c r="AW55" s="89">
        <v>0</v>
      </c>
      <c r="AX55" s="89">
        <v>0</v>
      </c>
      <c r="AY55" s="89">
        <v>0</v>
      </c>
      <c r="AZ55" s="89">
        <v>0</v>
      </c>
      <c r="BA55" s="89">
        <v>0</v>
      </c>
      <c r="BB55" s="89">
        <v>0</v>
      </c>
      <c r="BC55" s="89">
        <v>0</v>
      </c>
      <c r="BD55" s="89">
        <v>0</v>
      </c>
      <c r="BE55" s="89">
        <v>0</v>
      </c>
      <c r="BF55" s="89">
        <v>0</v>
      </c>
      <c r="BG55" s="89">
        <v>0</v>
      </c>
      <c r="BH55" s="89">
        <v>0</v>
      </c>
      <c r="BI55" s="89">
        <v>0</v>
      </c>
      <c r="BJ55" s="89">
        <v>0</v>
      </c>
      <c r="BK55" s="89">
        <v>0</v>
      </c>
      <c r="BL55" s="89">
        <v>0</v>
      </c>
      <c r="BM55" s="89">
        <v>0</v>
      </c>
      <c r="BN55" s="89">
        <v>0</v>
      </c>
      <c r="BO55" s="89">
        <v>0</v>
      </c>
      <c r="BP55" s="89">
        <v>0</v>
      </c>
      <c r="BQ55" s="89">
        <v>0</v>
      </c>
      <c r="BR55" s="89">
        <v>0</v>
      </c>
      <c r="BS55" s="89">
        <v>0</v>
      </c>
      <c r="BT55" s="89">
        <v>0</v>
      </c>
      <c r="BU55" s="89">
        <v>0</v>
      </c>
      <c r="BV55" s="89">
        <v>0</v>
      </c>
    </row>
    <row r="56" spans="2:74" ht="15" customHeight="1">
      <c r="B56" s="86" t="s">
        <v>151</v>
      </c>
      <c r="C56" s="99" t="s">
        <v>157</v>
      </c>
      <c r="D56" s="100">
        <f>SUM(Resource_Rates_Table56[[#This Row],[Year 1 Hours]],Resource_Rates_Table56[[#This Row],[Year 2 Hours]],Resource_Rates_Table56[[#This Row],[Year 3 Hours]],Resource_Rates_Table56[[#This Row],[Year 4 Hours]],Resource_Rates_Table56[[#This Row],[Year 5 Hours]])</f>
        <v>0</v>
      </c>
      <c r="E56" s="101">
        <f t="shared" si="10"/>
        <v>0</v>
      </c>
      <c r="F56"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6" s="101">
        <f t="shared" si="11"/>
        <v>0</v>
      </c>
      <c r="H56" s="101" t="str">
        <f>IFERROR(Resource_Rates_Table56[[#This Row],[Year 2 Hours]]/((IF(AND($D$4&gt;12,$D$4&lt;25),$D$4-12,IF($D$4&gt;24,12,"N/A")))*IF(VLOOKUP(Resource_Rates_Table56[[#This Row],[Resource Title]],'Resource Descriptions'!$D$6:$J$112,7,FALSE)="Onshore",$F$4,$F$5)),"N/A")</f>
        <v>N/A</v>
      </c>
      <c r="I56" s="101">
        <f t="shared" si="12"/>
        <v>0</v>
      </c>
      <c r="J56" s="101" t="str">
        <f>IFERROR(Resource_Rates_Table56[[#This Row],[Year 3 Hours]]/((IF(AND($D$4&gt;24,$D$4&lt;37),$D$4-24,IF($D$4&gt;36,12,"N/A")))*IF(VLOOKUP(Resource_Rates_Table56[[#This Row],[Resource Title]],'Resource Descriptions'!$D$6:$J$112,7,FALSE)="Onshore",$F$4,$F$5)),"N/A")</f>
        <v>N/A</v>
      </c>
      <c r="K56" s="101">
        <f t="shared" si="13"/>
        <v>0</v>
      </c>
      <c r="L56" s="101" t="str">
        <f>IFERROR(Resource_Rates_Table56[[#This Row],[Year 4 Hours]]/((IF(AND($D$4&gt;36,$D$4&lt;49),$D$4-36,IF($D$4&gt;48,12,"N/A")))*IF(VLOOKUP(Resource_Rates_Table56[[#This Row],[Resource Title]],'Resource Descriptions'!$D$6:$J$112,7,FALSE)="Onshore",$F$4,$F$5)),"N/A")</f>
        <v>N/A</v>
      </c>
      <c r="M56" s="101">
        <f t="shared" si="14"/>
        <v>0</v>
      </c>
      <c r="N56" s="101" t="str">
        <f>IFERROR(Resource_Rates_Table56[[#This Row],[Year 5 Hours]]/((IF(AND($D$4&gt;48,$D$4&lt;61),$D$4-48,IF($D$4&gt;60,12,"N/A")))*IF(VLOOKUP(Resource_Rates_Table56[[#This Row],[Resource Title]],'Resource Descriptions'!$D$6:$J$112,7,FALSE)="Onshore",$F$4,$F$5)),"N/A")</f>
        <v>N/A</v>
      </c>
      <c r="O56" s="89">
        <v>0</v>
      </c>
      <c r="P56" s="89">
        <v>0</v>
      </c>
      <c r="Q56" s="89">
        <v>0</v>
      </c>
      <c r="R56" s="89">
        <v>0</v>
      </c>
      <c r="S56" s="89">
        <v>0</v>
      </c>
      <c r="T56" s="89">
        <v>0</v>
      </c>
      <c r="U56" s="89">
        <v>0</v>
      </c>
      <c r="V56" s="89">
        <v>0</v>
      </c>
      <c r="W56" s="89">
        <v>0</v>
      </c>
      <c r="X56" s="89">
        <v>0</v>
      </c>
      <c r="Y56" s="89">
        <v>0</v>
      </c>
      <c r="Z56" s="89">
        <v>0</v>
      </c>
      <c r="AA56" s="89">
        <v>0</v>
      </c>
      <c r="AB56" s="89">
        <v>0</v>
      </c>
      <c r="AC56" s="89">
        <v>0</v>
      </c>
      <c r="AD56" s="89">
        <v>0</v>
      </c>
      <c r="AE56" s="89">
        <v>0</v>
      </c>
      <c r="AF56" s="89">
        <v>0</v>
      </c>
      <c r="AG56" s="89">
        <v>0</v>
      </c>
      <c r="AH56" s="89">
        <v>0</v>
      </c>
      <c r="AI56" s="89">
        <v>0</v>
      </c>
      <c r="AJ56" s="89">
        <v>0</v>
      </c>
      <c r="AK56" s="89">
        <v>0</v>
      </c>
      <c r="AL56" s="89">
        <v>0</v>
      </c>
      <c r="AM56" s="89">
        <v>0</v>
      </c>
      <c r="AN56" s="89">
        <v>0</v>
      </c>
      <c r="AO56" s="89">
        <v>0</v>
      </c>
      <c r="AP56" s="89">
        <v>0</v>
      </c>
      <c r="AQ56" s="89">
        <v>0</v>
      </c>
      <c r="AR56" s="89">
        <v>0</v>
      </c>
      <c r="AS56" s="89">
        <v>0</v>
      </c>
      <c r="AT56" s="89">
        <v>0</v>
      </c>
      <c r="AU56" s="89">
        <v>0</v>
      </c>
      <c r="AV56" s="89">
        <v>0</v>
      </c>
      <c r="AW56" s="89">
        <v>0</v>
      </c>
      <c r="AX56" s="89">
        <v>0</v>
      </c>
      <c r="AY56" s="89">
        <v>0</v>
      </c>
      <c r="AZ56" s="89">
        <v>0</v>
      </c>
      <c r="BA56" s="89">
        <v>0</v>
      </c>
      <c r="BB56" s="89">
        <v>0</v>
      </c>
      <c r="BC56" s="89">
        <v>0</v>
      </c>
      <c r="BD56" s="89">
        <v>0</v>
      </c>
      <c r="BE56" s="89">
        <v>0</v>
      </c>
      <c r="BF56" s="89">
        <v>0</v>
      </c>
      <c r="BG56" s="89">
        <v>0</v>
      </c>
      <c r="BH56" s="89">
        <v>0</v>
      </c>
      <c r="BI56" s="89">
        <v>0</v>
      </c>
      <c r="BJ56" s="89">
        <v>0</v>
      </c>
      <c r="BK56" s="89">
        <v>0</v>
      </c>
      <c r="BL56" s="89">
        <v>0</v>
      </c>
      <c r="BM56" s="89">
        <v>0</v>
      </c>
      <c r="BN56" s="89">
        <v>0</v>
      </c>
      <c r="BO56" s="89">
        <v>0</v>
      </c>
      <c r="BP56" s="89">
        <v>0</v>
      </c>
      <c r="BQ56" s="89">
        <v>0</v>
      </c>
      <c r="BR56" s="89">
        <v>0</v>
      </c>
      <c r="BS56" s="89">
        <v>0</v>
      </c>
      <c r="BT56" s="89">
        <v>0</v>
      </c>
      <c r="BU56" s="89">
        <v>0</v>
      </c>
      <c r="BV56" s="89">
        <v>0</v>
      </c>
    </row>
    <row r="57" spans="2:74" ht="15" customHeight="1">
      <c r="B57" s="86" t="s">
        <v>151</v>
      </c>
      <c r="C57" s="99" t="s">
        <v>158</v>
      </c>
      <c r="D57" s="100">
        <f>SUM(Resource_Rates_Table56[[#This Row],[Year 1 Hours]],Resource_Rates_Table56[[#This Row],[Year 2 Hours]],Resource_Rates_Table56[[#This Row],[Year 3 Hours]],Resource_Rates_Table56[[#This Row],[Year 4 Hours]],Resource_Rates_Table56[[#This Row],[Year 5 Hours]])</f>
        <v>0</v>
      </c>
      <c r="E57" s="101">
        <f t="shared" si="10"/>
        <v>0</v>
      </c>
      <c r="F57"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7" s="101">
        <f t="shared" si="11"/>
        <v>0</v>
      </c>
      <c r="H57" s="101" t="str">
        <f>IFERROR(Resource_Rates_Table56[[#This Row],[Year 2 Hours]]/((IF(AND($D$4&gt;12,$D$4&lt;25),$D$4-12,IF($D$4&gt;24,12,"N/A")))*IF(VLOOKUP(Resource_Rates_Table56[[#This Row],[Resource Title]],'Resource Descriptions'!$D$6:$J$112,7,FALSE)="Onshore",$F$4,$F$5)),"N/A")</f>
        <v>N/A</v>
      </c>
      <c r="I57" s="101">
        <f t="shared" si="12"/>
        <v>0</v>
      </c>
      <c r="J57" s="101" t="str">
        <f>IFERROR(Resource_Rates_Table56[[#This Row],[Year 3 Hours]]/((IF(AND($D$4&gt;24,$D$4&lt;37),$D$4-24,IF($D$4&gt;36,12,"N/A")))*IF(VLOOKUP(Resource_Rates_Table56[[#This Row],[Resource Title]],'Resource Descriptions'!$D$6:$J$112,7,FALSE)="Onshore",$F$4,$F$5)),"N/A")</f>
        <v>N/A</v>
      </c>
      <c r="K57" s="101">
        <f t="shared" si="13"/>
        <v>0</v>
      </c>
      <c r="L57" s="101" t="str">
        <f>IFERROR(Resource_Rates_Table56[[#This Row],[Year 4 Hours]]/((IF(AND($D$4&gt;36,$D$4&lt;49),$D$4-36,IF($D$4&gt;48,12,"N/A")))*IF(VLOOKUP(Resource_Rates_Table56[[#This Row],[Resource Title]],'Resource Descriptions'!$D$6:$J$112,7,FALSE)="Onshore",$F$4,$F$5)),"N/A")</f>
        <v>N/A</v>
      </c>
      <c r="M57" s="101">
        <f t="shared" si="14"/>
        <v>0</v>
      </c>
      <c r="N57" s="101" t="str">
        <f>IFERROR(Resource_Rates_Table56[[#This Row],[Year 5 Hours]]/((IF(AND($D$4&gt;48,$D$4&lt;61),$D$4-48,IF($D$4&gt;60,12,"N/A")))*IF(VLOOKUP(Resource_Rates_Table56[[#This Row],[Resource Title]],'Resource Descriptions'!$D$6:$J$112,7,FALSE)="Onshore",$F$4,$F$5)),"N/A")</f>
        <v>N/A</v>
      </c>
      <c r="O57" s="89">
        <v>0</v>
      </c>
      <c r="P57" s="89">
        <v>0</v>
      </c>
      <c r="Q57" s="89">
        <v>0</v>
      </c>
      <c r="R57" s="89">
        <v>0</v>
      </c>
      <c r="S57" s="89">
        <v>0</v>
      </c>
      <c r="T57" s="89">
        <v>0</v>
      </c>
      <c r="U57" s="89">
        <v>0</v>
      </c>
      <c r="V57" s="89">
        <v>0</v>
      </c>
      <c r="W57" s="89">
        <v>0</v>
      </c>
      <c r="X57" s="89">
        <v>0</v>
      </c>
      <c r="Y57" s="89">
        <v>0</v>
      </c>
      <c r="Z57" s="89">
        <v>0</v>
      </c>
      <c r="AA57" s="89">
        <v>0</v>
      </c>
      <c r="AB57" s="89">
        <v>0</v>
      </c>
      <c r="AC57" s="89">
        <v>0</v>
      </c>
      <c r="AD57" s="89">
        <v>0</v>
      </c>
      <c r="AE57" s="89">
        <v>0</v>
      </c>
      <c r="AF57" s="89">
        <v>0</v>
      </c>
      <c r="AG57" s="89">
        <v>0</v>
      </c>
      <c r="AH57" s="89">
        <v>0</v>
      </c>
      <c r="AI57" s="89">
        <v>0</v>
      </c>
      <c r="AJ57" s="89">
        <v>0</v>
      </c>
      <c r="AK57" s="89">
        <v>0</v>
      </c>
      <c r="AL57" s="89">
        <v>0</v>
      </c>
      <c r="AM57" s="89">
        <v>0</v>
      </c>
      <c r="AN57" s="89">
        <v>0</v>
      </c>
      <c r="AO57" s="89">
        <v>0</v>
      </c>
      <c r="AP57" s="89">
        <v>0</v>
      </c>
      <c r="AQ57" s="89">
        <v>0</v>
      </c>
      <c r="AR57" s="89">
        <v>0</v>
      </c>
      <c r="AS57" s="89">
        <v>0</v>
      </c>
      <c r="AT57" s="89">
        <v>0</v>
      </c>
      <c r="AU57" s="89">
        <v>0</v>
      </c>
      <c r="AV57" s="89">
        <v>0</v>
      </c>
      <c r="AW57" s="89">
        <v>0</v>
      </c>
      <c r="AX57" s="89">
        <v>0</v>
      </c>
      <c r="AY57" s="89">
        <v>0</v>
      </c>
      <c r="AZ57" s="89">
        <v>0</v>
      </c>
      <c r="BA57" s="89">
        <v>0</v>
      </c>
      <c r="BB57" s="89">
        <v>0</v>
      </c>
      <c r="BC57" s="89">
        <v>0</v>
      </c>
      <c r="BD57" s="89">
        <v>0</v>
      </c>
      <c r="BE57" s="89">
        <v>0</v>
      </c>
      <c r="BF57" s="89">
        <v>0</v>
      </c>
      <c r="BG57" s="89">
        <v>0</v>
      </c>
      <c r="BH57" s="89">
        <v>0</v>
      </c>
      <c r="BI57" s="89">
        <v>0</v>
      </c>
      <c r="BJ57" s="89">
        <v>0</v>
      </c>
      <c r="BK57" s="89">
        <v>0</v>
      </c>
      <c r="BL57" s="89">
        <v>0</v>
      </c>
      <c r="BM57" s="89">
        <v>0</v>
      </c>
      <c r="BN57" s="89">
        <v>0</v>
      </c>
      <c r="BO57" s="89">
        <v>0</v>
      </c>
      <c r="BP57" s="89">
        <v>0</v>
      </c>
      <c r="BQ57" s="89">
        <v>0</v>
      </c>
      <c r="BR57" s="89">
        <v>0</v>
      </c>
      <c r="BS57" s="89">
        <v>0</v>
      </c>
      <c r="BT57" s="89">
        <v>0</v>
      </c>
      <c r="BU57" s="89">
        <v>0</v>
      </c>
      <c r="BV57" s="89">
        <v>0</v>
      </c>
    </row>
    <row r="58" spans="2:74" ht="15" customHeight="1">
      <c r="B58" s="86" t="s">
        <v>151</v>
      </c>
      <c r="C58" s="99" t="s">
        <v>159</v>
      </c>
      <c r="D58" s="100">
        <f>SUM(Resource_Rates_Table56[[#This Row],[Year 1 Hours]],Resource_Rates_Table56[[#This Row],[Year 2 Hours]],Resource_Rates_Table56[[#This Row],[Year 3 Hours]],Resource_Rates_Table56[[#This Row],[Year 4 Hours]],Resource_Rates_Table56[[#This Row],[Year 5 Hours]])</f>
        <v>0</v>
      </c>
      <c r="E58" s="101">
        <f t="shared" si="10"/>
        <v>0</v>
      </c>
      <c r="F58"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8" s="101">
        <f t="shared" si="11"/>
        <v>0</v>
      </c>
      <c r="H58" s="101" t="str">
        <f>IFERROR(Resource_Rates_Table56[[#This Row],[Year 2 Hours]]/((IF(AND($D$4&gt;12,$D$4&lt;25),$D$4-12,IF($D$4&gt;24,12,"N/A")))*IF(VLOOKUP(Resource_Rates_Table56[[#This Row],[Resource Title]],'Resource Descriptions'!$D$6:$J$112,7,FALSE)="Onshore",$F$4,$F$5)),"N/A")</f>
        <v>N/A</v>
      </c>
      <c r="I58" s="101">
        <f t="shared" si="12"/>
        <v>0</v>
      </c>
      <c r="J58" s="101" t="str">
        <f>IFERROR(Resource_Rates_Table56[[#This Row],[Year 3 Hours]]/((IF(AND($D$4&gt;24,$D$4&lt;37),$D$4-24,IF($D$4&gt;36,12,"N/A")))*IF(VLOOKUP(Resource_Rates_Table56[[#This Row],[Resource Title]],'Resource Descriptions'!$D$6:$J$112,7,FALSE)="Onshore",$F$4,$F$5)),"N/A")</f>
        <v>N/A</v>
      </c>
      <c r="K58" s="101">
        <f t="shared" si="13"/>
        <v>0</v>
      </c>
      <c r="L58" s="101" t="str">
        <f>IFERROR(Resource_Rates_Table56[[#This Row],[Year 4 Hours]]/((IF(AND($D$4&gt;36,$D$4&lt;49),$D$4-36,IF($D$4&gt;48,12,"N/A")))*IF(VLOOKUP(Resource_Rates_Table56[[#This Row],[Resource Title]],'Resource Descriptions'!$D$6:$J$112,7,FALSE)="Onshore",$F$4,$F$5)),"N/A")</f>
        <v>N/A</v>
      </c>
      <c r="M58" s="101">
        <f t="shared" si="14"/>
        <v>0</v>
      </c>
      <c r="N58" s="101" t="str">
        <f>IFERROR(Resource_Rates_Table56[[#This Row],[Year 5 Hours]]/((IF(AND($D$4&gt;48,$D$4&lt;61),$D$4-48,IF($D$4&gt;60,12,"N/A")))*IF(VLOOKUP(Resource_Rates_Table56[[#This Row],[Resource Title]],'Resource Descriptions'!$D$6:$J$112,7,FALSE)="Onshore",$F$4,$F$5)),"N/A")</f>
        <v>N/A</v>
      </c>
      <c r="O58" s="89">
        <v>0</v>
      </c>
      <c r="P58" s="89">
        <v>0</v>
      </c>
      <c r="Q58" s="89">
        <v>0</v>
      </c>
      <c r="R58" s="89">
        <v>0</v>
      </c>
      <c r="S58" s="89">
        <v>0</v>
      </c>
      <c r="T58" s="89">
        <v>0</v>
      </c>
      <c r="U58" s="89">
        <v>0</v>
      </c>
      <c r="V58" s="89">
        <v>0</v>
      </c>
      <c r="W58" s="89">
        <v>0</v>
      </c>
      <c r="X58" s="89">
        <v>0</v>
      </c>
      <c r="Y58" s="89">
        <v>0</v>
      </c>
      <c r="Z58" s="89">
        <v>0</v>
      </c>
      <c r="AA58" s="89">
        <v>0</v>
      </c>
      <c r="AB58" s="89">
        <v>0</v>
      </c>
      <c r="AC58" s="89">
        <v>0</v>
      </c>
      <c r="AD58" s="89">
        <v>0</v>
      </c>
      <c r="AE58" s="89">
        <v>0</v>
      </c>
      <c r="AF58" s="89">
        <v>0</v>
      </c>
      <c r="AG58" s="89">
        <v>0</v>
      </c>
      <c r="AH58" s="89">
        <v>0</v>
      </c>
      <c r="AI58" s="89">
        <v>0</v>
      </c>
      <c r="AJ58" s="89">
        <v>0</v>
      </c>
      <c r="AK58" s="89">
        <v>0</v>
      </c>
      <c r="AL58" s="89">
        <v>0</v>
      </c>
      <c r="AM58" s="89">
        <v>0</v>
      </c>
      <c r="AN58" s="89">
        <v>0</v>
      </c>
      <c r="AO58" s="89">
        <v>0</v>
      </c>
      <c r="AP58" s="89">
        <v>0</v>
      </c>
      <c r="AQ58" s="89">
        <v>0</v>
      </c>
      <c r="AR58" s="89">
        <v>0</v>
      </c>
      <c r="AS58" s="89">
        <v>0</v>
      </c>
      <c r="AT58" s="89">
        <v>0</v>
      </c>
      <c r="AU58" s="89">
        <v>0</v>
      </c>
      <c r="AV58" s="89">
        <v>0</v>
      </c>
      <c r="AW58" s="89">
        <v>0</v>
      </c>
      <c r="AX58" s="89">
        <v>0</v>
      </c>
      <c r="AY58" s="89">
        <v>0</v>
      </c>
      <c r="AZ58" s="89">
        <v>0</v>
      </c>
      <c r="BA58" s="89">
        <v>0</v>
      </c>
      <c r="BB58" s="89">
        <v>0</v>
      </c>
      <c r="BC58" s="89">
        <v>0</v>
      </c>
      <c r="BD58" s="89">
        <v>0</v>
      </c>
      <c r="BE58" s="89">
        <v>0</v>
      </c>
      <c r="BF58" s="89">
        <v>0</v>
      </c>
      <c r="BG58" s="89">
        <v>0</v>
      </c>
      <c r="BH58" s="89">
        <v>0</v>
      </c>
      <c r="BI58" s="89">
        <v>0</v>
      </c>
      <c r="BJ58" s="89">
        <v>0</v>
      </c>
      <c r="BK58" s="89">
        <v>0</v>
      </c>
      <c r="BL58" s="89">
        <v>0</v>
      </c>
      <c r="BM58" s="89">
        <v>0</v>
      </c>
      <c r="BN58" s="89">
        <v>0</v>
      </c>
      <c r="BO58" s="89">
        <v>0</v>
      </c>
      <c r="BP58" s="89">
        <v>0</v>
      </c>
      <c r="BQ58" s="89">
        <v>0</v>
      </c>
      <c r="BR58" s="89">
        <v>0</v>
      </c>
      <c r="BS58" s="89">
        <v>0</v>
      </c>
      <c r="BT58" s="89">
        <v>0</v>
      </c>
      <c r="BU58" s="89">
        <v>0</v>
      </c>
      <c r="BV58" s="89">
        <v>0</v>
      </c>
    </row>
    <row r="59" spans="2:74" ht="15" customHeight="1">
      <c r="B59" s="86" t="s">
        <v>151</v>
      </c>
      <c r="C59" s="99" t="s">
        <v>160</v>
      </c>
      <c r="D59" s="100">
        <f>SUM(Resource_Rates_Table56[[#This Row],[Year 1 Hours]],Resource_Rates_Table56[[#This Row],[Year 2 Hours]],Resource_Rates_Table56[[#This Row],[Year 3 Hours]],Resource_Rates_Table56[[#This Row],[Year 4 Hours]],Resource_Rates_Table56[[#This Row],[Year 5 Hours]])</f>
        <v>0</v>
      </c>
      <c r="E59" s="101">
        <f t="shared" si="10"/>
        <v>0</v>
      </c>
      <c r="F59"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9" s="101">
        <f t="shared" si="11"/>
        <v>0</v>
      </c>
      <c r="H59" s="101" t="str">
        <f>IFERROR(Resource_Rates_Table56[[#This Row],[Year 2 Hours]]/((IF(AND($D$4&gt;12,$D$4&lt;25),$D$4-12,IF($D$4&gt;24,12,"N/A")))*IF(VLOOKUP(Resource_Rates_Table56[[#This Row],[Resource Title]],'Resource Descriptions'!$D$6:$J$112,7,FALSE)="Onshore",$F$4,$F$5)),"N/A")</f>
        <v>N/A</v>
      </c>
      <c r="I59" s="101">
        <f t="shared" si="12"/>
        <v>0</v>
      </c>
      <c r="J59" s="101" t="str">
        <f>IFERROR(Resource_Rates_Table56[[#This Row],[Year 3 Hours]]/((IF(AND($D$4&gt;24,$D$4&lt;37),$D$4-24,IF($D$4&gt;36,12,"N/A")))*IF(VLOOKUP(Resource_Rates_Table56[[#This Row],[Resource Title]],'Resource Descriptions'!$D$6:$J$112,7,FALSE)="Onshore",$F$4,$F$5)),"N/A")</f>
        <v>N/A</v>
      </c>
      <c r="K59" s="101">
        <f t="shared" si="13"/>
        <v>0</v>
      </c>
      <c r="L59" s="101" t="str">
        <f>IFERROR(Resource_Rates_Table56[[#This Row],[Year 4 Hours]]/((IF(AND($D$4&gt;36,$D$4&lt;49),$D$4-36,IF($D$4&gt;48,12,"N/A")))*IF(VLOOKUP(Resource_Rates_Table56[[#This Row],[Resource Title]],'Resource Descriptions'!$D$6:$J$112,7,FALSE)="Onshore",$F$4,$F$5)),"N/A")</f>
        <v>N/A</v>
      </c>
      <c r="M59" s="101">
        <f t="shared" si="14"/>
        <v>0</v>
      </c>
      <c r="N59" s="101" t="str">
        <f>IFERROR(Resource_Rates_Table56[[#This Row],[Year 5 Hours]]/((IF(AND($D$4&gt;48,$D$4&lt;61),$D$4-48,IF($D$4&gt;60,12,"N/A")))*IF(VLOOKUP(Resource_Rates_Table56[[#This Row],[Resource Title]],'Resource Descriptions'!$D$6:$J$112,7,FALSE)="Onshore",$F$4,$F$5)),"N/A")</f>
        <v>N/A</v>
      </c>
      <c r="O59" s="89">
        <v>0</v>
      </c>
      <c r="P59" s="89">
        <v>0</v>
      </c>
      <c r="Q59" s="89">
        <v>0</v>
      </c>
      <c r="R59" s="89">
        <v>0</v>
      </c>
      <c r="S59" s="89">
        <v>0</v>
      </c>
      <c r="T59" s="89">
        <v>0</v>
      </c>
      <c r="U59" s="89">
        <v>0</v>
      </c>
      <c r="V59" s="89">
        <v>0</v>
      </c>
      <c r="W59" s="89">
        <v>0</v>
      </c>
      <c r="X59" s="89">
        <v>0</v>
      </c>
      <c r="Y59" s="89">
        <v>0</v>
      </c>
      <c r="Z59" s="89">
        <v>0</v>
      </c>
      <c r="AA59" s="89">
        <v>0</v>
      </c>
      <c r="AB59" s="89">
        <v>0</v>
      </c>
      <c r="AC59" s="89">
        <v>0</v>
      </c>
      <c r="AD59" s="89">
        <v>0</v>
      </c>
      <c r="AE59" s="89">
        <v>0</v>
      </c>
      <c r="AF59" s="89">
        <v>0</v>
      </c>
      <c r="AG59" s="89">
        <v>0</v>
      </c>
      <c r="AH59" s="89">
        <v>0</v>
      </c>
      <c r="AI59" s="89">
        <v>0</v>
      </c>
      <c r="AJ59" s="89">
        <v>0</v>
      </c>
      <c r="AK59" s="89">
        <v>0</v>
      </c>
      <c r="AL59" s="89">
        <v>0</v>
      </c>
      <c r="AM59" s="89">
        <v>0</v>
      </c>
      <c r="AN59" s="89">
        <v>0</v>
      </c>
      <c r="AO59" s="89">
        <v>0</v>
      </c>
      <c r="AP59" s="89">
        <v>0</v>
      </c>
      <c r="AQ59" s="89">
        <v>0</v>
      </c>
      <c r="AR59" s="89">
        <v>0</v>
      </c>
      <c r="AS59" s="89">
        <v>0</v>
      </c>
      <c r="AT59" s="89">
        <v>0</v>
      </c>
      <c r="AU59" s="89">
        <v>0</v>
      </c>
      <c r="AV59" s="89">
        <v>0</v>
      </c>
      <c r="AW59" s="89">
        <v>0</v>
      </c>
      <c r="AX59" s="89">
        <v>0</v>
      </c>
      <c r="AY59" s="89">
        <v>0</v>
      </c>
      <c r="AZ59" s="89">
        <v>0</v>
      </c>
      <c r="BA59" s="89">
        <v>0</v>
      </c>
      <c r="BB59" s="89">
        <v>0</v>
      </c>
      <c r="BC59" s="89">
        <v>0</v>
      </c>
      <c r="BD59" s="89">
        <v>0</v>
      </c>
      <c r="BE59" s="89">
        <v>0</v>
      </c>
      <c r="BF59" s="89">
        <v>0</v>
      </c>
      <c r="BG59" s="89">
        <v>0</v>
      </c>
      <c r="BH59" s="89">
        <v>0</v>
      </c>
      <c r="BI59" s="89">
        <v>0</v>
      </c>
      <c r="BJ59" s="89">
        <v>0</v>
      </c>
      <c r="BK59" s="89">
        <v>0</v>
      </c>
      <c r="BL59" s="89">
        <v>0</v>
      </c>
      <c r="BM59" s="89">
        <v>0</v>
      </c>
      <c r="BN59" s="89">
        <v>0</v>
      </c>
      <c r="BO59" s="89">
        <v>0</v>
      </c>
      <c r="BP59" s="89">
        <v>0</v>
      </c>
      <c r="BQ59" s="89">
        <v>0</v>
      </c>
      <c r="BR59" s="89">
        <v>0</v>
      </c>
      <c r="BS59" s="89">
        <v>0</v>
      </c>
      <c r="BT59" s="89">
        <v>0</v>
      </c>
      <c r="BU59" s="89">
        <v>0</v>
      </c>
      <c r="BV59" s="89">
        <v>0</v>
      </c>
    </row>
    <row r="60" spans="2:74" ht="15" customHeight="1">
      <c r="B60" s="86" t="s">
        <v>151</v>
      </c>
      <c r="C60" s="99" t="s">
        <v>161</v>
      </c>
      <c r="D60" s="100">
        <f>SUM(Resource_Rates_Table56[[#This Row],[Year 1 Hours]],Resource_Rates_Table56[[#This Row],[Year 2 Hours]],Resource_Rates_Table56[[#This Row],[Year 3 Hours]],Resource_Rates_Table56[[#This Row],[Year 4 Hours]],Resource_Rates_Table56[[#This Row],[Year 5 Hours]])</f>
        <v>0</v>
      </c>
      <c r="E60" s="101">
        <f t="shared" si="10"/>
        <v>0</v>
      </c>
      <c r="F60"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0" s="101">
        <f t="shared" si="11"/>
        <v>0</v>
      </c>
      <c r="H60" s="101" t="str">
        <f>IFERROR(Resource_Rates_Table56[[#This Row],[Year 2 Hours]]/((IF(AND($D$4&gt;12,$D$4&lt;25),$D$4-12,IF($D$4&gt;24,12,"N/A")))*IF(VLOOKUP(Resource_Rates_Table56[[#This Row],[Resource Title]],'Resource Descriptions'!$D$6:$J$112,7,FALSE)="Onshore",$F$4,$F$5)),"N/A")</f>
        <v>N/A</v>
      </c>
      <c r="I60" s="101">
        <f t="shared" si="12"/>
        <v>0</v>
      </c>
      <c r="J60" s="101" t="str">
        <f>IFERROR(Resource_Rates_Table56[[#This Row],[Year 3 Hours]]/((IF(AND($D$4&gt;24,$D$4&lt;37),$D$4-24,IF($D$4&gt;36,12,"N/A")))*IF(VLOOKUP(Resource_Rates_Table56[[#This Row],[Resource Title]],'Resource Descriptions'!$D$6:$J$112,7,FALSE)="Onshore",$F$4,$F$5)),"N/A")</f>
        <v>N/A</v>
      </c>
      <c r="K60" s="101">
        <f t="shared" si="13"/>
        <v>0</v>
      </c>
      <c r="L60" s="101" t="str">
        <f>IFERROR(Resource_Rates_Table56[[#This Row],[Year 4 Hours]]/((IF(AND($D$4&gt;36,$D$4&lt;49),$D$4-36,IF($D$4&gt;48,12,"N/A")))*IF(VLOOKUP(Resource_Rates_Table56[[#This Row],[Resource Title]],'Resource Descriptions'!$D$6:$J$112,7,FALSE)="Onshore",$F$4,$F$5)),"N/A")</f>
        <v>N/A</v>
      </c>
      <c r="M60" s="101">
        <f t="shared" si="14"/>
        <v>0</v>
      </c>
      <c r="N60" s="101" t="str">
        <f>IFERROR(Resource_Rates_Table56[[#This Row],[Year 5 Hours]]/((IF(AND($D$4&gt;48,$D$4&lt;61),$D$4-48,IF($D$4&gt;60,12,"N/A")))*IF(VLOOKUP(Resource_Rates_Table56[[#This Row],[Resource Title]],'Resource Descriptions'!$D$6:$J$112,7,FALSE)="Onshore",$F$4,$F$5)),"N/A")</f>
        <v>N/A</v>
      </c>
      <c r="O60" s="89">
        <v>0</v>
      </c>
      <c r="P60" s="89">
        <v>0</v>
      </c>
      <c r="Q60" s="89">
        <v>0</v>
      </c>
      <c r="R60" s="89">
        <v>0</v>
      </c>
      <c r="S60" s="89">
        <v>0</v>
      </c>
      <c r="T60" s="89">
        <v>0</v>
      </c>
      <c r="U60" s="89">
        <v>0</v>
      </c>
      <c r="V60" s="89">
        <v>0</v>
      </c>
      <c r="W60" s="89">
        <v>0</v>
      </c>
      <c r="X60" s="89">
        <v>0</v>
      </c>
      <c r="Y60" s="89">
        <v>0</v>
      </c>
      <c r="Z60" s="89">
        <v>0</v>
      </c>
      <c r="AA60" s="89">
        <v>0</v>
      </c>
      <c r="AB60" s="89">
        <v>0</v>
      </c>
      <c r="AC60" s="89">
        <v>0</v>
      </c>
      <c r="AD60" s="89">
        <v>0</v>
      </c>
      <c r="AE60" s="89">
        <v>0</v>
      </c>
      <c r="AF60" s="89">
        <v>0</v>
      </c>
      <c r="AG60" s="89">
        <v>0</v>
      </c>
      <c r="AH60" s="89">
        <v>0</v>
      </c>
      <c r="AI60" s="89">
        <v>0</v>
      </c>
      <c r="AJ60" s="89">
        <v>0</v>
      </c>
      <c r="AK60" s="89">
        <v>0</v>
      </c>
      <c r="AL60" s="89">
        <v>0</v>
      </c>
      <c r="AM60" s="89">
        <v>0</v>
      </c>
      <c r="AN60" s="89">
        <v>0</v>
      </c>
      <c r="AO60" s="89">
        <v>0</v>
      </c>
      <c r="AP60" s="89">
        <v>0</v>
      </c>
      <c r="AQ60" s="89">
        <v>0</v>
      </c>
      <c r="AR60" s="89">
        <v>0</v>
      </c>
      <c r="AS60" s="89">
        <v>0</v>
      </c>
      <c r="AT60" s="89">
        <v>0</v>
      </c>
      <c r="AU60" s="89">
        <v>0</v>
      </c>
      <c r="AV60" s="89">
        <v>0</v>
      </c>
      <c r="AW60" s="89">
        <v>0</v>
      </c>
      <c r="AX60" s="89">
        <v>0</v>
      </c>
      <c r="AY60" s="89">
        <v>0</v>
      </c>
      <c r="AZ60" s="89">
        <v>0</v>
      </c>
      <c r="BA60" s="89">
        <v>0</v>
      </c>
      <c r="BB60" s="89">
        <v>0</v>
      </c>
      <c r="BC60" s="89">
        <v>0</v>
      </c>
      <c r="BD60" s="89">
        <v>0</v>
      </c>
      <c r="BE60" s="89">
        <v>0</v>
      </c>
      <c r="BF60" s="89">
        <v>0</v>
      </c>
      <c r="BG60" s="89">
        <v>0</v>
      </c>
      <c r="BH60" s="89">
        <v>0</v>
      </c>
      <c r="BI60" s="89">
        <v>0</v>
      </c>
      <c r="BJ60" s="89">
        <v>0</v>
      </c>
      <c r="BK60" s="89">
        <v>0</v>
      </c>
      <c r="BL60" s="89">
        <v>0</v>
      </c>
      <c r="BM60" s="89">
        <v>0</v>
      </c>
      <c r="BN60" s="89">
        <v>0</v>
      </c>
      <c r="BO60" s="89">
        <v>0</v>
      </c>
      <c r="BP60" s="89">
        <v>0</v>
      </c>
      <c r="BQ60" s="89">
        <v>0</v>
      </c>
      <c r="BR60" s="89">
        <v>0</v>
      </c>
      <c r="BS60" s="89">
        <v>0</v>
      </c>
      <c r="BT60" s="89">
        <v>0</v>
      </c>
      <c r="BU60" s="89">
        <v>0</v>
      </c>
      <c r="BV60" s="89">
        <v>0</v>
      </c>
    </row>
    <row r="61" spans="2:74" ht="15" customHeight="1">
      <c r="B61" s="86" t="s">
        <v>151</v>
      </c>
      <c r="C61" s="99" t="s">
        <v>162</v>
      </c>
      <c r="D61" s="100">
        <f>SUM(Resource_Rates_Table56[[#This Row],[Year 1 Hours]],Resource_Rates_Table56[[#This Row],[Year 2 Hours]],Resource_Rates_Table56[[#This Row],[Year 3 Hours]],Resource_Rates_Table56[[#This Row],[Year 4 Hours]],Resource_Rates_Table56[[#This Row],[Year 5 Hours]])</f>
        <v>0</v>
      </c>
      <c r="E61" s="101">
        <f t="shared" si="10"/>
        <v>0</v>
      </c>
      <c r="F61"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1" s="101">
        <f t="shared" si="11"/>
        <v>0</v>
      </c>
      <c r="H61" s="101" t="str">
        <f>IFERROR(Resource_Rates_Table56[[#This Row],[Year 2 Hours]]/((IF(AND($D$4&gt;12,$D$4&lt;25),$D$4-12,IF($D$4&gt;24,12,"N/A")))*IF(VLOOKUP(Resource_Rates_Table56[[#This Row],[Resource Title]],'Resource Descriptions'!$D$6:$J$112,7,FALSE)="Onshore",$F$4,$F$5)),"N/A")</f>
        <v>N/A</v>
      </c>
      <c r="I61" s="101">
        <f t="shared" si="12"/>
        <v>0</v>
      </c>
      <c r="J61" s="101" t="str">
        <f>IFERROR(Resource_Rates_Table56[[#This Row],[Year 3 Hours]]/((IF(AND($D$4&gt;24,$D$4&lt;37),$D$4-24,IF($D$4&gt;36,12,"N/A")))*IF(VLOOKUP(Resource_Rates_Table56[[#This Row],[Resource Title]],'Resource Descriptions'!$D$6:$J$112,7,FALSE)="Onshore",$F$4,$F$5)),"N/A")</f>
        <v>N/A</v>
      </c>
      <c r="K61" s="101">
        <f t="shared" si="13"/>
        <v>0</v>
      </c>
      <c r="L61" s="101" t="str">
        <f>IFERROR(Resource_Rates_Table56[[#This Row],[Year 4 Hours]]/((IF(AND($D$4&gt;36,$D$4&lt;49),$D$4-36,IF($D$4&gt;48,12,"N/A")))*IF(VLOOKUP(Resource_Rates_Table56[[#This Row],[Resource Title]],'Resource Descriptions'!$D$6:$J$112,7,FALSE)="Onshore",$F$4,$F$5)),"N/A")</f>
        <v>N/A</v>
      </c>
      <c r="M61" s="101">
        <f t="shared" si="14"/>
        <v>0</v>
      </c>
      <c r="N61" s="101" t="str">
        <f>IFERROR(Resource_Rates_Table56[[#This Row],[Year 5 Hours]]/((IF(AND($D$4&gt;48,$D$4&lt;61),$D$4-48,IF($D$4&gt;60,12,"N/A")))*IF(VLOOKUP(Resource_Rates_Table56[[#This Row],[Resource Title]],'Resource Descriptions'!$D$6:$J$112,7,FALSE)="Onshore",$F$4,$F$5)),"N/A")</f>
        <v>N/A</v>
      </c>
      <c r="O61" s="89">
        <v>0</v>
      </c>
      <c r="P61" s="89">
        <v>0</v>
      </c>
      <c r="Q61" s="89">
        <v>0</v>
      </c>
      <c r="R61" s="89">
        <v>0</v>
      </c>
      <c r="S61" s="89">
        <v>0</v>
      </c>
      <c r="T61" s="89">
        <v>0</v>
      </c>
      <c r="U61" s="89">
        <v>0</v>
      </c>
      <c r="V61" s="89">
        <v>0</v>
      </c>
      <c r="W61" s="89">
        <v>0</v>
      </c>
      <c r="X61" s="89">
        <v>0</v>
      </c>
      <c r="Y61" s="89">
        <v>0</v>
      </c>
      <c r="Z61" s="89">
        <v>0</v>
      </c>
      <c r="AA61" s="89">
        <v>0</v>
      </c>
      <c r="AB61" s="89">
        <v>0</v>
      </c>
      <c r="AC61" s="89">
        <v>0</v>
      </c>
      <c r="AD61" s="89">
        <v>0</v>
      </c>
      <c r="AE61" s="89">
        <v>0</v>
      </c>
      <c r="AF61" s="89">
        <v>0</v>
      </c>
      <c r="AG61" s="89">
        <v>0</v>
      </c>
      <c r="AH61" s="89">
        <v>0</v>
      </c>
      <c r="AI61" s="89">
        <v>0</v>
      </c>
      <c r="AJ61" s="89">
        <v>0</v>
      </c>
      <c r="AK61" s="89">
        <v>0</v>
      </c>
      <c r="AL61" s="89">
        <v>0</v>
      </c>
      <c r="AM61" s="89">
        <v>0</v>
      </c>
      <c r="AN61" s="89">
        <v>0</v>
      </c>
      <c r="AO61" s="89">
        <v>0</v>
      </c>
      <c r="AP61" s="89">
        <v>0</v>
      </c>
      <c r="AQ61" s="89">
        <v>0</v>
      </c>
      <c r="AR61" s="89">
        <v>0</v>
      </c>
      <c r="AS61" s="89">
        <v>0</v>
      </c>
      <c r="AT61" s="89">
        <v>0</v>
      </c>
      <c r="AU61" s="89">
        <v>0</v>
      </c>
      <c r="AV61" s="89">
        <v>0</v>
      </c>
      <c r="AW61" s="89">
        <v>0</v>
      </c>
      <c r="AX61" s="89">
        <v>0</v>
      </c>
      <c r="AY61" s="89">
        <v>0</v>
      </c>
      <c r="AZ61" s="89">
        <v>0</v>
      </c>
      <c r="BA61" s="89">
        <v>0</v>
      </c>
      <c r="BB61" s="89">
        <v>0</v>
      </c>
      <c r="BC61" s="89">
        <v>0</v>
      </c>
      <c r="BD61" s="89">
        <v>0</v>
      </c>
      <c r="BE61" s="89">
        <v>0</v>
      </c>
      <c r="BF61" s="89">
        <v>0</v>
      </c>
      <c r="BG61" s="89">
        <v>0</v>
      </c>
      <c r="BH61" s="89">
        <v>0</v>
      </c>
      <c r="BI61" s="89">
        <v>0</v>
      </c>
      <c r="BJ61" s="89">
        <v>0</v>
      </c>
      <c r="BK61" s="89">
        <v>0</v>
      </c>
      <c r="BL61" s="89">
        <v>0</v>
      </c>
      <c r="BM61" s="89">
        <v>0</v>
      </c>
      <c r="BN61" s="89">
        <v>0</v>
      </c>
      <c r="BO61" s="89">
        <v>0</v>
      </c>
      <c r="BP61" s="89">
        <v>0</v>
      </c>
      <c r="BQ61" s="89">
        <v>0</v>
      </c>
      <c r="BR61" s="89">
        <v>0</v>
      </c>
      <c r="BS61" s="89">
        <v>0</v>
      </c>
      <c r="BT61" s="89">
        <v>0</v>
      </c>
      <c r="BU61" s="89">
        <v>0</v>
      </c>
      <c r="BV61" s="89">
        <v>0</v>
      </c>
    </row>
    <row r="62" spans="2:74" ht="15" customHeight="1">
      <c r="B62" s="86" t="s">
        <v>151</v>
      </c>
      <c r="C62" s="99" t="s">
        <v>163</v>
      </c>
      <c r="D62" s="100">
        <f>SUM(Resource_Rates_Table56[[#This Row],[Year 1 Hours]],Resource_Rates_Table56[[#This Row],[Year 2 Hours]],Resource_Rates_Table56[[#This Row],[Year 3 Hours]],Resource_Rates_Table56[[#This Row],[Year 4 Hours]],Resource_Rates_Table56[[#This Row],[Year 5 Hours]])</f>
        <v>0</v>
      </c>
      <c r="E62" s="101">
        <f t="shared" si="10"/>
        <v>0</v>
      </c>
      <c r="F62"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2" s="101">
        <f t="shared" si="11"/>
        <v>0</v>
      </c>
      <c r="H62" s="101" t="str">
        <f>IFERROR(Resource_Rates_Table56[[#This Row],[Year 2 Hours]]/((IF(AND($D$4&gt;12,$D$4&lt;25),$D$4-12,IF($D$4&gt;24,12,"N/A")))*IF(VLOOKUP(Resource_Rates_Table56[[#This Row],[Resource Title]],'Resource Descriptions'!$D$6:$J$112,7,FALSE)="Onshore",$F$4,$F$5)),"N/A")</f>
        <v>N/A</v>
      </c>
      <c r="I62" s="101">
        <f t="shared" si="12"/>
        <v>0</v>
      </c>
      <c r="J62" s="101" t="str">
        <f>IFERROR(Resource_Rates_Table56[[#This Row],[Year 3 Hours]]/((IF(AND($D$4&gt;24,$D$4&lt;37),$D$4-24,IF($D$4&gt;36,12,"N/A")))*IF(VLOOKUP(Resource_Rates_Table56[[#This Row],[Resource Title]],'Resource Descriptions'!$D$6:$J$112,7,FALSE)="Onshore",$F$4,$F$5)),"N/A")</f>
        <v>N/A</v>
      </c>
      <c r="K62" s="101">
        <f t="shared" si="13"/>
        <v>0</v>
      </c>
      <c r="L62" s="101" t="str">
        <f>IFERROR(Resource_Rates_Table56[[#This Row],[Year 4 Hours]]/((IF(AND($D$4&gt;36,$D$4&lt;49),$D$4-36,IF($D$4&gt;48,12,"N/A")))*IF(VLOOKUP(Resource_Rates_Table56[[#This Row],[Resource Title]],'Resource Descriptions'!$D$6:$J$112,7,FALSE)="Onshore",$F$4,$F$5)),"N/A")</f>
        <v>N/A</v>
      </c>
      <c r="M62" s="101">
        <f t="shared" si="14"/>
        <v>0</v>
      </c>
      <c r="N62" s="101" t="str">
        <f>IFERROR(Resource_Rates_Table56[[#This Row],[Year 5 Hours]]/((IF(AND($D$4&gt;48,$D$4&lt;61),$D$4-48,IF($D$4&gt;60,12,"N/A")))*IF(VLOOKUP(Resource_Rates_Table56[[#This Row],[Resource Title]],'Resource Descriptions'!$D$6:$J$112,7,FALSE)="Onshore",$F$4,$F$5)),"N/A")</f>
        <v>N/A</v>
      </c>
      <c r="O62" s="89">
        <v>0</v>
      </c>
      <c r="P62" s="89">
        <v>0</v>
      </c>
      <c r="Q62" s="89">
        <v>0</v>
      </c>
      <c r="R62" s="89">
        <v>0</v>
      </c>
      <c r="S62" s="89">
        <v>0</v>
      </c>
      <c r="T62" s="89">
        <v>0</v>
      </c>
      <c r="U62" s="89">
        <v>0</v>
      </c>
      <c r="V62" s="89">
        <v>0</v>
      </c>
      <c r="W62" s="89">
        <v>0</v>
      </c>
      <c r="X62" s="89">
        <v>0</v>
      </c>
      <c r="Y62" s="89">
        <v>0</v>
      </c>
      <c r="Z62" s="89">
        <v>0</v>
      </c>
      <c r="AA62" s="89">
        <v>0</v>
      </c>
      <c r="AB62" s="89">
        <v>0</v>
      </c>
      <c r="AC62" s="89">
        <v>0</v>
      </c>
      <c r="AD62" s="89">
        <v>0</v>
      </c>
      <c r="AE62" s="89">
        <v>0</v>
      </c>
      <c r="AF62" s="89">
        <v>0</v>
      </c>
      <c r="AG62" s="89">
        <v>0</v>
      </c>
      <c r="AH62" s="89">
        <v>0</v>
      </c>
      <c r="AI62" s="89">
        <v>0</v>
      </c>
      <c r="AJ62" s="89">
        <v>0</v>
      </c>
      <c r="AK62" s="89">
        <v>0</v>
      </c>
      <c r="AL62" s="89">
        <v>0</v>
      </c>
      <c r="AM62" s="89">
        <v>0</v>
      </c>
      <c r="AN62" s="89">
        <v>0</v>
      </c>
      <c r="AO62" s="89">
        <v>0</v>
      </c>
      <c r="AP62" s="89">
        <v>0</v>
      </c>
      <c r="AQ62" s="89">
        <v>0</v>
      </c>
      <c r="AR62" s="89">
        <v>0</v>
      </c>
      <c r="AS62" s="89">
        <v>0</v>
      </c>
      <c r="AT62" s="89">
        <v>0</v>
      </c>
      <c r="AU62" s="89">
        <v>0</v>
      </c>
      <c r="AV62" s="89">
        <v>0</v>
      </c>
      <c r="AW62" s="89">
        <v>0</v>
      </c>
      <c r="AX62" s="89">
        <v>0</v>
      </c>
      <c r="AY62" s="89">
        <v>0</v>
      </c>
      <c r="AZ62" s="89">
        <v>0</v>
      </c>
      <c r="BA62" s="89">
        <v>0</v>
      </c>
      <c r="BB62" s="89">
        <v>0</v>
      </c>
      <c r="BC62" s="89">
        <v>0</v>
      </c>
      <c r="BD62" s="89">
        <v>0</v>
      </c>
      <c r="BE62" s="89">
        <v>0</v>
      </c>
      <c r="BF62" s="89">
        <v>0</v>
      </c>
      <c r="BG62" s="89">
        <v>0</v>
      </c>
      <c r="BH62" s="89">
        <v>0</v>
      </c>
      <c r="BI62" s="89">
        <v>0</v>
      </c>
      <c r="BJ62" s="89">
        <v>0</v>
      </c>
      <c r="BK62" s="89">
        <v>0</v>
      </c>
      <c r="BL62" s="89">
        <v>0</v>
      </c>
      <c r="BM62" s="89">
        <v>0</v>
      </c>
      <c r="BN62" s="89">
        <v>0</v>
      </c>
      <c r="BO62" s="89">
        <v>0</v>
      </c>
      <c r="BP62" s="89">
        <v>0</v>
      </c>
      <c r="BQ62" s="89">
        <v>0</v>
      </c>
      <c r="BR62" s="89">
        <v>0</v>
      </c>
      <c r="BS62" s="89">
        <v>0</v>
      </c>
      <c r="BT62" s="89">
        <v>0</v>
      </c>
      <c r="BU62" s="89">
        <v>0</v>
      </c>
      <c r="BV62" s="89">
        <v>0</v>
      </c>
    </row>
    <row r="63" spans="2:74" ht="15" customHeight="1">
      <c r="B63" s="86" t="s">
        <v>151</v>
      </c>
      <c r="C63" s="99" t="s">
        <v>164</v>
      </c>
      <c r="D63" s="100">
        <f>SUM(Resource_Rates_Table56[[#This Row],[Year 1 Hours]],Resource_Rates_Table56[[#This Row],[Year 2 Hours]],Resource_Rates_Table56[[#This Row],[Year 3 Hours]],Resource_Rates_Table56[[#This Row],[Year 4 Hours]],Resource_Rates_Table56[[#This Row],[Year 5 Hours]])</f>
        <v>0</v>
      </c>
      <c r="E63" s="101">
        <f t="shared" si="10"/>
        <v>0</v>
      </c>
      <c r="F63"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3" s="101">
        <f t="shared" si="11"/>
        <v>0</v>
      </c>
      <c r="H63" s="101" t="str">
        <f>IFERROR(Resource_Rates_Table56[[#This Row],[Year 2 Hours]]/((IF(AND($D$4&gt;12,$D$4&lt;25),$D$4-12,IF($D$4&gt;24,12,"N/A")))*IF(VLOOKUP(Resource_Rates_Table56[[#This Row],[Resource Title]],'Resource Descriptions'!$D$6:$J$112,7,FALSE)="Onshore",$F$4,$F$5)),"N/A")</f>
        <v>N/A</v>
      </c>
      <c r="I63" s="101">
        <f t="shared" si="12"/>
        <v>0</v>
      </c>
      <c r="J63" s="101" t="str">
        <f>IFERROR(Resource_Rates_Table56[[#This Row],[Year 3 Hours]]/((IF(AND($D$4&gt;24,$D$4&lt;37),$D$4-24,IF($D$4&gt;36,12,"N/A")))*IF(VLOOKUP(Resource_Rates_Table56[[#This Row],[Resource Title]],'Resource Descriptions'!$D$6:$J$112,7,FALSE)="Onshore",$F$4,$F$5)),"N/A")</f>
        <v>N/A</v>
      </c>
      <c r="K63" s="101">
        <f t="shared" si="13"/>
        <v>0</v>
      </c>
      <c r="L63" s="101" t="str">
        <f>IFERROR(Resource_Rates_Table56[[#This Row],[Year 4 Hours]]/((IF(AND($D$4&gt;36,$D$4&lt;49),$D$4-36,IF($D$4&gt;48,12,"N/A")))*IF(VLOOKUP(Resource_Rates_Table56[[#This Row],[Resource Title]],'Resource Descriptions'!$D$6:$J$112,7,FALSE)="Onshore",$F$4,$F$5)),"N/A")</f>
        <v>N/A</v>
      </c>
      <c r="M63" s="101">
        <f t="shared" si="14"/>
        <v>0</v>
      </c>
      <c r="N63" s="101" t="str">
        <f>IFERROR(Resource_Rates_Table56[[#This Row],[Year 5 Hours]]/((IF(AND($D$4&gt;48,$D$4&lt;61),$D$4-48,IF($D$4&gt;60,12,"N/A")))*IF(VLOOKUP(Resource_Rates_Table56[[#This Row],[Resource Title]],'Resource Descriptions'!$D$6:$J$112,7,FALSE)="Onshore",$F$4,$F$5)),"N/A")</f>
        <v>N/A</v>
      </c>
      <c r="O63" s="89">
        <v>0</v>
      </c>
      <c r="P63" s="89">
        <v>0</v>
      </c>
      <c r="Q63" s="89">
        <v>0</v>
      </c>
      <c r="R63" s="89">
        <v>0</v>
      </c>
      <c r="S63" s="89">
        <v>0</v>
      </c>
      <c r="T63" s="89">
        <v>0</v>
      </c>
      <c r="U63" s="89">
        <v>0</v>
      </c>
      <c r="V63" s="89">
        <v>0</v>
      </c>
      <c r="W63" s="89">
        <v>0</v>
      </c>
      <c r="X63" s="89">
        <v>0</v>
      </c>
      <c r="Y63" s="89">
        <v>0</v>
      </c>
      <c r="Z63" s="89">
        <v>0</v>
      </c>
      <c r="AA63" s="89">
        <v>0</v>
      </c>
      <c r="AB63" s="89">
        <v>0</v>
      </c>
      <c r="AC63" s="89">
        <v>0</v>
      </c>
      <c r="AD63" s="89">
        <v>0</v>
      </c>
      <c r="AE63" s="89">
        <v>0</v>
      </c>
      <c r="AF63" s="89">
        <v>0</v>
      </c>
      <c r="AG63" s="89">
        <v>0</v>
      </c>
      <c r="AH63" s="89">
        <v>0</v>
      </c>
      <c r="AI63" s="89">
        <v>0</v>
      </c>
      <c r="AJ63" s="89">
        <v>0</v>
      </c>
      <c r="AK63" s="89">
        <v>0</v>
      </c>
      <c r="AL63" s="89">
        <v>0</v>
      </c>
      <c r="AM63" s="89">
        <v>0</v>
      </c>
      <c r="AN63" s="89">
        <v>0</v>
      </c>
      <c r="AO63" s="89">
        <v>0</v>
      </c>
      <c r="AP63" s="89">
        <v>0</v>
      </c>
      <c r="AQ63" s="89">
        <v>0</v>
      </c>
      <c r="AR63" s="89">
        <v>0</v>
      </c>
      <c r="AS63" s="89">
        <v>0</v>
      </c>
      <c r="AT63" s="89">
        <v>0</v>
      </c>
      <c r="AU63" s="89">
        <v>0</v>
      </c>
      <c r="AV63" s="89">
        <v>0</v>
      </c>
      <c r="AW63" s="89">
        <v>0</v>
      </c>
      <c r="AX63" s="89">
        <v>0</v>
      </c>
      <c r="AY63" s="89">
        <v>0</v>
      </c>
      <c r="AZ63" s="89">
        <v>0</v>
      </c>
      <c r="BA63" s="89">
        <v>0</v>
      </c>
      <c r="BB63" s="89">
        <v>0</v>
      </c>
      <c r="BC63" s="89">
        <v>0</v>
      </c>
      <c r="BD63" s="89">
        <v>0</v>
      </c>
      <c r="BE63" s="89">
        <v>0</v>
      </c>
      <c r="BF63" s="89">
        <v>0</v>
      </c>
      <c r="BG63" s="89">
        <v>0</v>
      </c>
      <c r="BH63" s="89">
        <v>0</v>
      </c>
      <c r="BI63" s="89">
        <v>0</v>
      </c>
      <c r="BJ63" s="89">
        <v>0</v>
      </c>
      <c r="BK63" s="89">
        <v>0</v>
      </c>
      <c r="BL63" s="89">
        <v>0</v>
      </c>
      <c r="BM63" s="89">
        <v>0</v>
      </c>
      <c r="BN63" s="89">
        <v>0</v>
      </c>
      <c r="BO63" s="89">
        <v>0</v>
      </c>
      <c r="BP63" s="89">
        <v>0</v>
      </c>
      <c r="BQ63" s="89">
        <v>0</v>
      </c>
      <c r="BR63" s="89">
        <v>0</v>
      </c>
      <c r="BS63" s="89">
        <v>0</v>
      </c>
      <c r="BT63" s="89">
        <v>0</v>
      </c>
      <c r="BU63" s="89">
        <v>0</v>
      </c>
      <c r="BV63" s="89">
        <v>0</v>
      </c>
    </row>
    <row r="64" spans="2:74" ht="15" customHeight="1">
      <c r="B64" s="86" t="s">
        <v>151</v>
      </c>
      <c r="C64" s="99" t="s">
        <v>165</v>
      </c>
      <c r="D64" s="100">
        <f>SUM(Resource_Rates_Table56[[#This Row],[Year 1 Hours]],Resource_Rates_Table56[[#This Row],[Year 2 Hours]],Resource_Rates_Table56[[#This Row],[Year 3 Hours]],Resource_Rates_Table56[[#This Row],[Year 4 Hours]],Resource_Rates_Table56[[#This Row],[Year 5 Hours]])</f>
        <v>0</v>
      </c>
      <c r="E64" s="101">
        <f t="shared" si="10"/>
        <v>0</v>
      </c>
      <c r="F64"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4" s="101">
        <f t="shared" si="11"/>
        <v>0</v>
      </c>
      <c r="H64" s="101" t="str">
        <f>IFERROR(Resource_Rates_Table56[[#This Row],[Year 2 Hours]]/((IF(AND($D$4&gt;12,$D$4&lt;25),$D$4-12,IF($D$4&gt;24,12,"N/A")))*IF(VLOOKUP(Resource_Rates_Table56[[#This Row],[Resource Title]],'Resource Descriptions'!$D$6:$J$112,7,FALSE)="Onshore",$F$4,$F$5)),"N/A")</f>
        <v>N/A</v>
      </c>
      <c r="I64" s="101">
        <f t="shared" si="12"/>
        <v>0</v>
      </c>
      <c r="J64" s="101" t="str">
        <f>IFERROR(Resource_Rates_Table56[[#This Row],[Year 3 Hours]]/((IF(AND($D$4&gt;24,$D$4&lt;37),$D$4-24,IF($D$4&gt;36,12,"N/A")))*IF(VLOOKUP(Resource_Rates_Table56[[#This Row],[Resource Title]],'Resource Descriptions'!$D$6:$J$112,7,FALSE)="Onshore",$F$4,$F$5)),"N/A")</f>
        <v>N/A</v>
      </c>
      <c r="K64" s="101">
        <f t="shared" si="13"/>
        <v>0</v>
      </c>
      <c r="L64" s="101" t="str">
        <f>IFERROR(Resource_Rates_Table56[[#This Row],[Year 4 Hours]]/((IF(AND($D$4&gt;36,$D$4&lt;49),$D$4-36,IF($D$4&gt;48,12,"N/A")))*IF(VLOOKUP(Resource_Rates_Table56[[#This Row],[Resource Title]],'Resource Descriptions'!$D$6:$J$112,7,FALSE)="Onshore",$F$4,$F$5)),"N/A")</f>
        <v>N/A</v>
      </c>
      <c r="M64" s="101">
        <f t="shared" si="14"/>
        <v>0</v>
      </c>
      <c r="N64" s="101" t="str">
        <f>IFERROR(Resource_Rates_Table56[[#This Row],[Year 5 Hours]]/((IF(AND($D$4&gt;48,$D$4&lt;61),$D$4-48,IF($D$4&gt;60,12,"N/A")))*IF(VLOOKUP(Resource_Rates_Table56[[#This Row],[Resource Title]],'Resource Descriptions'!$D$6:$J$112,7,FALSE)="Onshore",$F$4,$F$5)),"N/A")</f>
        <v>N/A</v>
      </c>
      <c r="O64" s="89">
        <v>0</v>
      </c>
      <c r="P64" s="89">
        <v>0</v>
      </c>
      <c r="Q64" s="89">
        <v>0</v>
      </c>
      <c r="R64" s="89">
        <v>0</v>
      </c>
      <c r="S64" s="89">
        <v>0</v>
      </c>
      <c r="T64" s="89">
        <v>0</v>
      </c>
      <c r="U64" s="89">
        <v>0</v>
      </c>
      <c r="V64" s="89">
        <v>0</v>
      </c>
      <c r="W64" s="89">
        <v>0</v>
      </c>
      <c r="X64" s="89">
        <v>0</v>
      </c>
      <c r="Y64" s="89">
        <v>0</v>
      </c>
      <c r="Z64" s="89">
        <v>0</v>
      </c>
      <c r="AA64" s="89">
        <v>0</v>
      </c>
      <c r="AB64" s="89">
        <v>0</v>
      </c>
      <c r="AC64" s="89">
        <v>0</v>
      </c>
      <c r="AD64" s="89">
        <v>0</v>
      </c>
      <c r="AE64" s="89">
        <v>0</v>
      </c>
      <c r="AF64" s="89">
        <v>0</v>
      </c>
      <c r="AG64" s="89">
        <v>0</v>
      </c>
      <c r="AH64" s="89">
        <v>0</v>
      </c>
      <c r="AI64" s="89">
        <v>0</v>
      </c>
      <c r="AJ64" s="89">
        <v>0</v>
      </c>
      <c r="AK64" s="89">
        <v>0</v>
      </c>
      <c r="AL64" s="89">
        <v>0</v>
      </c>
      <c r="AM64" s="89">
        <v>0</v>
      </c>
      <c r="AN64" s="89">
        <v>0</v>
      </c>
      <c r="AO64" s="89">
        <v>0</v>
      </c>
      <c r="AP64" s="89">
        <v>0</v>
      </c>
      <c r="AQ64" s="89">
        <v>0</v>
      </c>
      <c r="AR64" s="89">
        <v>0</v>
      </c>
      <c r="AS64" s="89">
        <v>0</v>
      </c>
      <c r="AT64" s="89">
        <v>0</v>
      </c>
      <c r="AU64" s="89">
        <v>0</v>
      </c>
      <c r="AV64" s="89">
        <v>0</v>
      </c>
      <c r="AW64" s="89">
        <v>0</v>
      </c>
      <c r="AX64" s="89">
        <v>0</v>
      </c>
      <c r="AY64" s="89">
        <v>0</v>
      </c>
      <c r="AZ64" s="89">
        <v>0</v>
      </c>
      <c r="BA64" s="89">
        <v>0</v>
      </c>
      <c r="BB64" s="89">
        <v>0</v>
      </c>
      <c r="BC64" s="89">
        <v>0</v>
      </c>
      <c r="BD64" s="89">
        <v>0</v>
      </c>
      <c r="BE64" s="89">
        <v>0</v>
      </c>
      <c r="BF64" s="89">
        <v>0</v>
      </c>
      <c r="BG64" s="89">
        <v>0</v>
      </c>
      <c r="BH64" s="89">
        <v>0</v>
      </c>
      <c r="BI64" s="89">
        <v>0</v>
      </c>
      <c r="BJ64" s="89">
        <v>0</v>
      </c>
      <c r="BK64" s="89">
        <v>0</v>
      </c>
      <c r="BL64" s="89">
        <v>0</v>
      </c>
      <c r="BM64" s="89">
        <v>0</v>
      </c>
      <c r="BN64" s="89">
        <v>0</v>
      </c>
      <c r="BO64" s="89">
        <v>0</v>
      </c>
      <c r="BP64" s="89">
        <v>0</v>
      </c>
      <c r="BQ64" s="89">
        <v>0</v>
      </c>
      <c r="BR64" s="89">
        <v>0</v>
      </c>
      <c r="BS64" s="89">
        <v>0</v>
      </c>
      <c r="BT64" s="89">
        <v>0</v>
      </c>
      <c r="BU64" s="89">
        <v>0</v>
      </c>
      <c r="BV64" s="89">
        <v>0</v>
      </c>
    </row>
    <row r="65" spans="2:74" ht="15" customHeight="1">
      <c r="B65" s="86" t="s">
        <v>151</v>
      </c>
      <c r="C65" s="99" t="s">
        <v>166</v>
      </c>
      <c r="D65" s="100">
        <f>SUM(Resource_Rates_Table56[[#This Row],[Year 1 Hours]],Resource_Rates_Table56[[#This Row],[Year 2 Hours]],Resource_Rates_Table56[[#This Row],[Year 3 Hours]],Resource_Rates_Table56[[#This Row],[Year 4 Hours]],Resource_Rates_Table56[[#This Row],[Year 5 Hours]])</f>
        <v>0</v>
      </c>
      <c r="E65" s="101">
        <f t="shared" si="10"/>
        <v>0</v>
      </c>
      <c r="F65"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5" s="101">
        <f t="shared" si="11"/>
        <v>0</v>
      </c>
      <c r="H65" s="101" t="str">
        <f>IFERROR(Resource_Rates_Table56[[#This Row],[Year 2 Hours]]/((IF(AND($D$4&gt;12,$D$4&lt;25),$D$4-12,IF($D$4&gt;24,12,"N/A")))*IF(VLOOKUP(Resource_Rates_Table56[[#This Row],[Resource Title]],'Resource Descriptions'!$D$6:$J$112,7,FALSE)="Onshore",$F$4,$F$5)),"N/A")</f>
        <v>N/A</v>
      </c>
      <c r="I65" s="101">
        <f t="shared" si="12"/>
        <v>0</v>
      </c>
      <c r="J65" s="101" t="str">
        <f>IFERROR(Resource_Rates_Table56[[#This Row],[Year 3 Hours]]/((IF(AND($D$4&gt;24,$D$4&lt;37),$D$4-24,IF($D$4&gt;36,12,"N/A")))*IF(VLOOKUP(Resource_Rates_Table56[[#This Row],[Resource Title]],'Resource Descriptions'!$D$6:$J$112,7,FALSE)="Onshore",$F$4,$F$5)),"N/A")</f>
        <v>N/A</v>
      </c>
      <c r="K65" s="101">
        <f t="shared" si="13"/>
        <v>0</v>
      </c>
      <c r="L65" s="101" t="str">
        <f>IFERROR(Resource_Rates_Table56[[#This Row],[Year 4 Hours]]/((IF(AND($D$4&gt;36,$D$4&lt;49),$D$4-36,IF($D$4&gt;48,12,"N/A")))*IF(VLOOKUP(Resource_Rates_Table56[[#This Row],[Resource Title]],'Resource Descriptions'!$D$6:$J$112,7,FALSE)="Onshore",$F$4,$F$5)),"N/A")</f>
        <v>N/A</v>
      </c>
      <c r="M65" s="101">
        <f t="shared" si="14"/>
        <v>0</v>
      </c>
      <c r="N65" s="101" t="str">
        <f>IFERROR(Resource_Rates_Table56[[#This Row],[Year 5 Hours]]/((IF(AND($D$4&gt;48,$D$4&lt;61),$D$4-48,IF($D$4&gt;60,12,"N/A")))*IF(VLOOKUP(Resource_Rates_Table56[[#This Row],[Resource Title]],'Resource Descriptions'!$D$6:$J$112,7,FALSE)="Onshore",$F$4,$F$5)),"N/A")</f>
        <v>N/A</v>
      </c>
      <c r="O65" s="89">
        <v>0</v>
      </c>
      <c r="P65" s="89">
        <v>0</v>
      </c>
      <c r="Q65" s="89">
        <v>0</v>
      </c>
      <c r="R65" s="89">
        <v>0</v>
      </c>
      <c r="S65" s="89">
        <v>0</v>
      </c>
      <c r="T65" s="89">
        <v>0</v>
      </c>
      <c r="U65" s="89">
        <v>0</v>
      </c>
      <c r="V65" s="89">
        <v>0</v>
      </c>
      <c r="W65" s="89">
        <v>0</v>
      </c>
      <c r="X65" s="89">
        <v>0</v>
      </c>
      <c r="Y65" s="89">
        <v>0</v>
      </c>
      <c r="Z65" s="89">
        <v>0</v>
      </c>
      <c r="AA65" s="89">
        <v>0</v>
      </c>
      <c r="AB65" s="89">
        <v>0</v>
      </c>
      <c r="AC65" s="89">
        <v>0</v>
      </c>
      <c r="AD65" s="89">
        <v>0</v>
      </c>
      <c r="AE65" s="89">
        <v>0</v>
      </c>
      <c r="AF65" s="89">
        <v>0</v>
      </c>
      <c r="AG65" s="89">
        <v>0</v>
      </c>
      <c r="AH65" s="89">
        <v>0</v>
      </c>
      <c r="AI65" s="89">
        <v>0</v>
      </c>
      <c r="AJ65" s="89">
        <v>0</v>
      </c>
      <c r="AK65" s="89">
        <v>0</v>
      </c>
      <c r="AL65" s="89">
        <v>0</v>
      </c>
      <c r="AM65" s="89">
        <v>0</v>
      </c>
      <c r="AN65" s="89">
        <v>0</v>
      </c>
      <c r="AO65" s="89">
        <v>0</v>
      </c>
      <c r="AP65" s="89">
        <v>0</v>
      </c>
      <c r="AQ65" s="89">
        <v>0</v>
      </c>
      <c r="AR65" s="89">
        <v>0</v>
      </c>
      <c r="AS65" s="89">
        <v>0</v>
      </c>
      <c r="AT65" s="89">
        <v>0</v>
      </c>
      <c r="AU65" s="89">
        <v>0</v>
      </c>
      <c r="AV65" s="89">
        <v>0</v>
      </c>
      <c r="AW65" s="89">
        <v>0</v>
      </c>
      <c r="AX65" s="89">
        <v>0</v>
      </c>
      <c r="AY65" s="89">
        <v>0</v>
      </c>
      <c r="AZ65" s="89">
        <v>0</v>
      </c>
      <c r="BA65" s="89">
        <v>0</v>
      </c>
      <c r="BB65" s="89">
        <v>0</v>
      </c>
      <c r="BC65" s="89">
        <v>0</v>
      </c>
      <c r="BD65" s="89">
        <v>0</v>
      </c>
      <c r="BE65" s="89">
        <v>0</v>
      </c>
      <c r="BF65" s="89">
        <v>0</v>
      </c>
      <c r="BG65" s="89">
        <v>0</v>
      </c>
      <c r="BH65" s="89">
        <v>0</v>
      </c>
      <c r="BI65" s="89">
        <v>0</v>
      </c>
      <c r="BJ65" s="89">
        <v>0</v>
      </c>
      <c r="BK65" s="89">
        <v>0</v>
      </c>
      <c r="BL65" s="89">
        <v>0</v>
      </c>
      <c r="BM65" s="89">
        <v>0</v>
      </c>
      <c r="BN65" s="89">
        <v>0</v>
      </c>
      <c r="BO65" s="89">
        <v>0</v>
      </c>
      <c r="BP65" s="89">
        <v>0</v>
      </c>
      <c r="BQ65" s="89">
        <v>0</v>
      </c>
      <c r="BR65" s="89">
        <v>0</v>
      </c>
      <c r="BS65" s="89">
        <v>0</v>
      </c>
      <c r="BT65" s="89">
        <v>0</v>
      </c>
      <c r="BU65" s="89">
        <v>0</v>
      </c>
      <c r="BV65" s="89">
        <v>0</v>
      </c>
    </row>
    <row r="66" spans="2:74" ht="15" customHeight="1">
      <c r="B66" s="86" t="s">
        <v>151</v>
      </c>
      <c r="C66" s="99" t="s">
        <v>167</v>
      </c>
      <c r="D66" s="100">
        <f>SUM(Resource_Rates_Table56[[#This Row],[Year 1 Hours]],Resource_Rates_Table56[[#This Row],[Year 2 Hours]],Resource_Rates_Table56[[#This Row],[Year 3 Hours]],Resource_Rates_Table56[[#This Row],[Year 4 Hours]],Resource_Rates_Table56[[#This Row],[Year 5 Hours]])</f>
        <v>0</v>
      </c>
      <c r="E66" s="101">
        <f t="shared" si="10"/>
        <v>0</v>
      </c>
      <c r="F66"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6" s="101">
        <f t="shared" si="11"/>
        <v>0</v>
      </c>
      <c r="H66" s="101" t="str">
        <f>IFERROR(Resource_Rates_Table56[[#This Row],[Year 2 Hours]]/((IF(AND($D$4&gt;12,$D$4&lt;25),$D$4-12,IF($D$4&gt;24,12,"N/A")))*IF(VLOOKUP(Resource_Rates_Table56[[#This Row],[Resource Title]],'Resource Descriptions'!$D$6:$J$112,7,FALSE)="Onshore",$F$4,$F$5)),"N/A")</f>
        <v>N/A</v>
      </c>
      <c r="I66" s="101">
        <f t="shared" si="12"/>
        <v>0</v>
      </c>
      <c r="J66" s="101" t="str">
        <f>IFERROR(Resource_Rates_Table56[[#This Row],[Year 3 Hours]]/((IF(AND($D$4&gt;24,$D$4&lt;37),$D$4-24,IF($D$4&gt;36,12,"N/A")))*IF(VLOOKUP(Resource_Rates_Table56[[#This Row],[Resource Title]],'Resource Descriptions'!$D$6:$J$112,7,FALSE)="Onshore",$F$4,$F$5)),"N/A")</f>
        <v>N/A</v>
      </c>
      <c r="K66" s="101">
        <f t="shared" si="13"/>
        <v>0</v>
      </c>
      <c r="L66" s="101" t="str">
        <f>IFERROR(Resource_Rates_Table56[[#This Row],[Year 4 Hours]]/((IF(AND($D$4&gt;36,$D$4&lt;49),$D$4-36,IF($D$4&gt;48,12,"N/A")))*IF(VLOOKUP(Resource_Rates_Table56[[#This Row],[Resource Title]],'Resource Descriptions'!$D$6:$J$112,7,FALSE)="Onshore",$F$4,$F$5)),"N/A")</f>
        <v>N/A</v>
      </c>
      <c r="M66" s="101">
        <f t="shared" si="14"/>
        <v>0</v>
      </c>
      <c r="N66" s="101" t="str">
        <f>IFERROR(Resource_Rates_Table56[[#This Row],[Year 5 Hours]]/((IF(AND($D$4&gt;48,$D$4&lt;61),$D$4-48,IF($D$4&gt;60,12,"N/A")))*IF(VLOOKUP(Resource_Rates_Table56[[#This Row],[Resource Title]],'Resource Descriptions'!$D$6:$J$112,7,FALSE)="Onshore",$F$4,$F$5)),"N/A")</f>
        <v>N/A</v>
      </c>
      <c r="O66" s="89">
        <v>0</v>
      </c>
      <c r="P66" s="89">
        <v>0</v>
      </c>
      <c r="Q66" s="89">
        <v>0</v>
      </c>
      <c r="R66" s="89">
        <v>0</v>
      </c>
      <c r="S66" s="89">
        <v>0</v>
      </c>
      <c r="T66" s="89">
        <v>0</v>
      </c>
      <c r="U66" s="89">
        <v>0</v>
      </c>
      <c r="V66" s="89">
        <v>0</v>
      </c>
      <c r="W66" s="89">
        <v>0</v>
      </c>
      <c r="X66" s="89">
        <v>0</v>
      </c>
      <c r="Y66" s="89">
        <v>0</v>
      </c>
      <c r="Z66" s="89">
        <v>0</v>
      </c>
      <c r="AA66" s="89">
        <v>0</v>
      </c>
      <c r="AB66" s="89">
        <v>0</v>
      </c>
      <c r="AC66" s="89">
        <v>0</v>
      </c>
      <c r="AD66" s="89">
        <v>0</v>
      </c>
      <c r="AE66" s="89">
        <v>0</v>
      </c>
      <c r="AF66" s="89">
        <v>0</v>
      </c>
      <c r="AG66" s="89">
        <v>0</v>
      </c>
      <c r="AH66" s="89">
        <v>0</v>
      </c>
      <c r="AI66" s="89">
        <v>0</v>
      </c>
      <c r="AJ66" s="89">
        <v>0</v>
      </c>
      <c r="AK66" s="89">
        <v>0</v>
      </c>
      <c r="AL66" s="89">
        <v>0</v>
      </c>
      <c r="AM66" s="89">
        <v>0</v>
      </c>
      <c r="AN66" s="89">
        <v>0</v>
      </c>
      <c r="AO66" s="89">
        <v>0</v>
      </c>
      <c r="AP66" s="89">
        <v>0</v>
      </c>
      <c r="AQ66" s="89">
        <v>0</v>
      </c>
      <c r="AR66" s="89">
        <v>0</v>
      </c>
      <c r="AS66" s="89">
        <v>0</v>
      </c>
      <c r="AT66" s="89">
        <v>0</v>
      </c>
      <c r="AU66" s="89">
        <v>0</v>
      </c>
      <c r="AV66" s="89">
        <v>0</v>
      </c>
      <c r="AW66" s="89">
        <v>0</v>
      </c>
      <c r="AX66" s="89">
        <v>0</v>
      </c>
      <c r="AY66" s="89">
        <v>0</v>
      </c>
      <c r="AZ66" s="89">
        <v>0</v>
      </c>
      <c r="BA66" s="89">
        <v>0</v>
      </c>
      <c r="BB66" s="89">
        <v>0</v>
      </c>
      <c r="BC66" s="89">
        <v>0</v>
      </c>
      <c r="BD66" s="89">
        <v>0</v>
      </c>
      <c r="BE66" s="89">
        <v>0</v>
      </c>
      <c r="BF66" s="89">
        <v>0</v>
      </c>
      <c r="BG66" s="89">
        <v>0</v>
      </c>
      <c r="BH66" s="89">
        <v>0</v>
      </c>
      <c r="BI66" s="89">
        <v>0</v>
      </c>
      <c r="BJ66" s="89">
        <v>0</v>
      </c>
      <c r="BK66" s="89">
        <v>0</v>
      </c>
      <c r="BL66" s="89">
        <v>0</v>
      </c>
      <c r="BM66" s="89">
        <v>0</v>
      </c>
      <c r="BN66" s="89">
        <v>0</v>
      </c>
      <c r="BO66" s="89">
        <v>0</v>
      </c>
      <c r="BP66" s="89">
        <v>0</v>
      </c>
      <c r="BQ66" s="89">
        <v>0</v>
      </c>
      <c r="BR66" s="89">
        <v>0</v>
      </c>
      <c r="BS66" s="89">
        <v>0</v>
      </c>
      <c r="BT66" s="89">
        <v>0</v>
      </c>
      <c r="BU66" s="89">
        <v>0</v>
      </c>
      <c r="BV66" s="89">
        <v>0</v>
      </c>
    </row>
    <row r="67" spans="2:74" ht="15" customHeight="1">
      <c r="B67" s="86" t="s">
        <v>151</v>
      </c>
      <c r="C67" s="99" t="s">
        <v>168</v>
      </c>
      <c r="D67" s="100">
        <f>SUM(Resource_Rates_Table56[[#This Row],[Year 1 Hours]],Resource_Rates_Table56[[#This Row],[Year 2 Hours]],Resource_Rates_Table56[[#This Row],[Year 3 Hours]],Resource_Rates_Table56[[#This Row],[Year 4 Hours]],Resource_Rates_Table56[[#This Row],[Year 5 Hours]])</f>
        <v>0</v>
      </c>
      <c r="E67" s="101">
        <f t="shared" si="10"/>
        <v>0</v>
      </c>
      <c r="F67"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7" s="101">
        <f t="shared" si="11"/>
        <v>0</v>
      </c>
      <c r="H67" s="101" t="str">
        <f>IFERROR(Resource_Rates_Table56[[#This Row],[Year 2 Hours]]/((IF(AND($D$4&gt;12,$D$4&lt;25),$D$4-12,IF($D$4&gt;24,12,"N/A")))*IF(VLOOKUP(Resource_Rates_Table56[[#This Row],[Resource Title]],'Resource Descriptions'!$D$6:$J$112,7,FALSE)="Onshore",$F$4,$F$5)),"N/A")</f>
        <v>N/A</v>
      </c>
      <c r="I67" s="101">
        <f t="shared" si="12"/>
        <v>0</v>
      </c>
      <c r="J67" s="101" t="str">
        <f>IFERROR(Resource_Rates_Table56[[#This Row],[Year 3 Hours]]/((IF(AND($D$4&gt;24,$D$4&lt;37),$D$4-24,IF($D$4&gt;36,12,"N/A")))*IF(VLOOKUP(Resource_Rates_Table56[[#This Row],[Resource Title]],'Resource Descriptions'!$D$6:$J$112,7,FALSE)="Onshore",$F$4,$F$5)),"N/A")</f>
        <v>N/A</v>
      </c>
      <c r="K67" s="101">
        <f t="shared" si="13"/>
        <v>0</v>
      </c>
      <c r="L67" s="101" t="str">
        <f>IFERROR(Resource_Rates_Table56[[#This Row],[Year 4 Hours]]/((IF(AND($D$4&gt;36,$D$4&lt;49),$D$4-36,IF($D$4&gt;48,12,"N/A")))*IF(VLOOKUP(Resource_Rates_Table56[[#This Row],[Resource Title]],'Resource Descriptions'!$D$6:$J$112,7,FALSE)="Onshore",$F$4,$F$5)),"N/A")</f>
        <v>N/A</v>
      </c>
      <c r="M67" s="101">
        <f t="shared" si="14"/>
        <v>0</v>
      </c>
      <c r="N67" s="101" t="str">
        <f>IFERROR(Resource_Rates_Table56[[#This Row],[Year 5 Hours]]/((IF(AND($D$4&gt;48,$D$4&lt;61),$D$4-48,IF($D$4&gt;60,12,"N/A")))*IF(VLOOKUP(Resource_Rates_Table56[[#This Row],[Resource Title]],'Resource Descriptions'!$D$6:$J$112,7,FALSE)="Onshore",$F$4,$F$5)),"N/A")</f>
        <v>N/A</v>
      </c>
      <c r="O67" s="89">
        <v>0</v>
      </c>
      <c r="P67" s="89">
        <v>0</v>
      </c>
      <c r="Q67" s="89">
        <v>0</v>
      </c>
      <c r="R67" s="89">
        <v>0</v>
      </c>
      <c r="S67" s="89">
        <v>0</v>
      </c>
      <c r="T67" s="89">
        <v>0</v>
      </c>
      <c r="U67" s="89">
        <v>0</v>
      </c>
      <c r="V67" s="89">
        <v>0</v>
      </c>
      <c r="W67" s="89">
        <v>0</v>
      </c>
      <c r="X67" s="89">
        <v>0</v>
      </c>
      <c r="Y67" s="89">
        <v>0</v>
      </c>
      <c r="Z67" s="89">
        <v>0</v>
      </c>
      <c r="AA67" s="89">
        <v>0</v>
      </c>
      <c r="AB67" s="89">
        <v>0</v>
      </c>
      <c r="AC67" s="89">
        <v>0</v>
      </c>
      <c r="AD67" s="89">
        <v>0</v>
      </c>
      <c r="AE67" s="89">
        <v>0</v>
      </c>
      <c r="AF67" s="89">
        <v>0</v>
      </c>
      <c r="AG67" s="89">
        <v>0</v>
      </c>
      <c r="AH67" s="89">
        <v>0</v>
      </c>
      <c r="AI67" s="89">
        <v>0</v>
      </c>
      <c r="AJ67" s="89">
        <v>0</v>
      </c>
      <c r="AK67" s="89">
        <v>0</v>
      </c>
      <c r="AL67" s="89">
        <v>0</v>
      </c>
      <c r="AM67" s="89">
        <v>0</v>
      </c>
      <c r="AN67" s="89">
        <v>0</v>
      </c>
      <c r="AO67" s="89">
        <v>0</v>
      </c>
      <c r="AP67" s="89">
        <v>0</v>
      </c>
      <c r="AQ67" s="89">
        <v>0</v>
      </c>
      <c r="AR67" s="89">
        <v>0</v>
      </c>
      <c r="AS67" s="89">
        <v>0</v>
      </c>
      <c r="AT67" s="89">
        <v>0</v>
      </c>
      <c r="AU67" s="89">
        <v>0</v>
      </c>
      <c r="AV67" s="89">
        <v>0</v>
      </c>
      <c r="AW67" s="89">
        <v>0</v>
      </c>
      <c r="AX67" s="89">
        <v>0</v>
      </c>
      <c r="AY67" s="89">
        <v>0</v>
      </c>
      <c r="AZ67" s="89">
        <v>0</v>
      </c>
      <c r="BA67" s="89">
        <v>0</v>
      </c>
      <c r="BB67" s="89">
        <v>0</v>
      </c>
      <c r="BC67" s="89">
        <v>0</v>
      </c>
      <c r="BD67" s="89">
        <v>0</v>
      </c>
      <c r="BE67" s="89">
        <v>0</v>
      </c>
      <c r="BF67" s="89">
        <v>0</v>
      </c>
      <c r="BG67" s="89">
        <v>0</v>
      </c>
      <c r="BH67" s="89">
        <v>0</v>
      </c>
      <c r="BI67" s="89">
        <v>0</v>
      </c>
      <c r="BJ67" s="89">
        <v>0</v>
      </c>
      <c r="BK67" s="89">
        <v>0</v>
      </c>
      <c r="BL67" s="89">
        <v>0</v>
      </c>
      <c r="BM67" s="89">
        <v>0</v>
      </c>
      <c r="BN67" s="89">
        <v>0</v>
      </c>
      <c r="BO67" s="89">
        <v>0</v>
      </c>
      <c r="BP67" s="89">
        <v>0</v>
      </c>
      <c r="BQ67" s="89">
        <v>0</v>
      </c>
      <c r="BR67" s="89">
        <v>0</v>
      </c>
      <c r="BS67" s="89">
        <v>0</v>
      </c>
      <c r="BT67" s="89">
        <v>0</v>
      </c>
      <c r="BU67" s="89">
        <v>0</v>
      </c>
      <c r="BV67" s="89">
        <v>0</v>
      </c>
    </row>
    <row r="68" spans="2:74" ht="15" customHeight="1">
      <c r="B68" s="86" t="s">
        <v>151</v>
      </c>
      <c r="C68" s="99" t="s">
        <v>169</v>
      </c>
      <c r="D68" s="100">
        <f>SUM(Resource_Rates_Table56[[#This Row],[Year 1 Hours]],Resource_Rates_Table56[[#This Row],[Year 2 Hours]],Resource_Rates_Table56[[#This Row],[Year 3 Hours]],Resource_Rates_Table56[[#This Row],[Year 4 Hours]],Resource_Rates_Table56[[#This Row],[Year 5 Hours]])</f>
        <v>0</v>
      </c>
      <c r="E68" s="101">
        <f t="shared" si="10"/>
        <v>0</v>
      </c>
      <c r="F68"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8" s="101">
        <f t="shared" si="11"/>
        <v>0</v>
      </c>
      <c r="H68" s="101" t="str">
        <f>IFERROR(Resource_Rates_Table56[[#This Row],[Year 2 Hours]]/((IF(AND($D$4&gt;12,$D$4&lt;25),$D$4-12,IF($D$4&gt;24,12,"N/A")))*IF(VLOOKUP(Resource_Rates_Table56[[#This Row],[Resource Title]],'Resource Descriptions'!$D$6:$J$112,7,FALSE)="Onshore",$F$4,$F$5)),"N/A")</f>
        <v>N/A</v>
      </c>
      <c r="I68" s="101">
        <f t="shared" si="12"/>
        <v>0</v>
      </c>
      <c r="J68" s="101" t="str">
        <f>IFERROR(Resource_Rates_Table56[[#This Row],[Year 3 Hours]]/((IF(AND($D$4&gt;24,$D$4&lt;37),$D$4-24,IF($D$4&gt;36,12,"N/A")))*IF(VLOOKUP(Resource_Rates_Table56[[#This Row],[Resource Title]],'Resource Descriptions'!$D$6:$J$112,7,FALSE)="Onshore",$F$4,$F$5)),"N/A")</f>
        <v>N/A</v>
      </c>
      <c r="K68" s="101">
        <f t="shared" si="13"/>
        <v>0</v>
      </c>
      <c r="L68" s="101" t="str">
        <f>IFERROR(Resource_Rates_Table56[[#This Row],[Year 4 Hours]]/((IF(AND($D$4&gt;36,$D$4&lt;49),$D$4-36,IF($D$4&gt;48,12,"N/A")))*IF(VLOOKUP(Resource_Rates_Table56[[#This Row],[Resource Title]],'Resource Descriptions'!$D$6:$J$112,7,FALSE)="Onshore",$F$4,$F$5)),"N/A")</f>
        <v>N/A</v>
      </c>
      <c r="M68" s="101">
        <f t="shared" si="14"/>
        <v>0</v>
      </c>
      <c r="N68" s="101" t="str">
        <f>IFERROR(Resource_Rates_Table56[[#This Row],[Year 5 Hours]]/((IF(AND($D$4&gt;48,$D$4&lt;61),$D$4-48,IF($D$4&gt;60,12,"N/A")))*IF(VLOOKUP(Resource_Rates_Table56[[#This Row],[Resource Title]],'Resource Descriptions'!$D$6:$J$112,7,FALSE)="Onshore",$F$4,$F$5)),"N/A")</f>
        <v>N/A</v>
      </c>
      <c r="O68" s="89">
        <v>0</v>
      </c>
      <c r="P68" s="89">
        <v>0</v>
      </c>
      <c r="Q68" s="89">
        <v>0</v>
      </c>
      <c r="R68" s="89">
        <v>0</v>
      </c>
      <c r="S68" s="89">
        <v>0</v>
      </c>
      <c r="T68" s="89">
        <v>0</v>
      </c>
      <c r="U68" s="89">
        <v>0</v>
      </c>
      <c r="V68" s="89">
        <v>0</v>
      </c>
      <c r="W68" s="89">
        <v>0</v>
      </c>
      <c r="X68" s="89">
        <v>0</v>
      </c>
      <c r="Y68" s="89">
        <v>0</v>
      </c>
      <c r="Z68" s="89">
        <v>0</v>
      </c>
      <c r="AA68" s="89">
        <v>0</v>
      </c>
      <c r="AB68" s="89">
        <v>0</v>
      </c>
      <c r="AC68" s="89">
        <v>0</v>
      </c>
      <c r="AD68" s="89">
        <v>0</v>
      </c>
      <c r="AE68" s="89">
        <v>0</v>
      </c>
      <c r="AF68" s="89">
        <v>0</v>
      </c>
      <c r="AG68" s="89">
        <v>0</v>
      </c>
      <c r="AH68" s="89">
        <v>0</v>
      </c>
      <c r="AI68" s="89">
        <v>0</v>
      </c>
      <c r="AJ68" s="89">
        <v>0</v>
      </c>
      <c r="AK68" s="89">
        <v>0</v>
      </c>
      <c r="AL68" s="89">
        <v>0</v>
      </c>
      <c r="AM68" s="89">
        <v>0</v>
      </c>
      <c r="AN68" s="89">
        <v>0</v>
      </c>
      <c r="AO68" s="89">
        <v>0</v>
      </c>
      <c r="AP68" s="89">
        <v>0</v>
      </c>
      <c r="AQ68" s="89">
        <v>0</v>
      </c>
      <c r="AR68" s="89">
        <v>0</v>
      </c>
      <c r="AS68" s="89">
        <v>0</v>
      </c>
      <c r="AT68" s="89">
        <v>0</v>
      </c>
      <c r="AU68" s="89">
        <v>0</v>
      </c>
      <c r="AV68" s="89">
        <v>0</v>
      </c>
      <c r="AW68" s="89">
        <v>0</v>
      </c>
      <c r="AX68" s="89">
        <v>0</v>
      </c>
      <c r="AY68" s="89">
        <v>0</v>
      </c>
      <c r="AZ68" s="89">
        <v>0</v>
      </c>
      <c r="BA68" s="89">
        <v>0</v>
      </c>
      <c r="BB68" s="89">
        <v>0</v>
      </c>
      <c r="BC68" s="89">
        <v>0</v>
      </c>
      <c r="BD68" s="89">
        <v>0</v>
      </c>
      <c r="BE68" s="89">
        <v>0</v>
      </c>
      <c r="BF68" s="89">
        <v>0</v>
      </c>
      <c r="BG68" s="89">
        <v>0</v>
      </c>
      <c r="BH68" s="89">
        <v>0</v>
      </c>
      <c r="BI68" s="89">
        <v>0</v>
      </c>
      <c r="BJ68" s="89">
        <v>0</v>
      </c>
      <c r="BK68" s="89">
        <v>0</v>
      </c>
      <c r="BL68" s="89">
        <v>0</v>
      </c>
      <c r="BM68" s="89">
        <v>0</v>
      </c>
      <c r="BN68" s="89">
        <v>0</v>
      </c>
      <c r="BO68" s="89">
        <v>0</v>
      </c>
      <c r="BP68" s="89">
        <v>0</v>
      </c>
      <c r="BQ68" s="89">
        <v>0</v>
      </c>
      <c r="BR68" s="89">
        <v>0</v>
      </c>
      <c r="BS68" s="89">
        <v>0</v>
      </c>
      <c r="BT68" s="89">
        <v>0</v>
      </c>
      <c r="BU68" s="89">
        <v>0</v>
      </c>
      <c r="BV68" s="89">
        <v>0</v>
      </c>
    </row>
    <row r="69" spans="2:74" ht="15" customHeight="1">
      <c r="B69" s="86" t="s">
        <v>151</v>
      </c>
      <c r="C69" s="99" t="s">
        <v>170</v>
      </c>
      <c r="D69" s="100">
        <f>SUM(Resource_Rates_Table56[[#This Row],[Year 1 Hours]],Resource_Rates_Table56[[#This Row],[Year 2 Hours]],Resource_Rates_Table56[[#This Row],[Year 3 Hours]],Resource_Rates_Table56[[#This Row],[Year 4 Hours]],Resource_Rates_Table56[[#This Row],[Year 5 Hours]])</f>
        <v>0</v>
      </c>
      <c r="E69" s="101">
        <f t="shared" si="10"/>
        <v>0</v>
      </c>
      <c r="F69"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9" s="101">
        <f t="shared" si="11"/>
        <v>0</v>
      </c>
      <c r="H69" s="101" t="str">
        <f>IFERROR(Resource_Rates_Table56[[#This Row],[Year 2 Hours]]/((IF(AND($D$4&gt;12,$D$4&lt;25),$D$4-12,IF($D$4&gt;24,12,"N/A")))*IF(VLOOKUP(Resource_Rates_Table56[[#This Row],[Resource Title]],'Resource Descriptions'!$D$6:$J$112,7,FALSE)="Onshore",$F$4,$F$5)),"N/A")</f>
        <v>N/A</v>
      </c>
      <c r="I69" s="101">
        <f t="shared" si="12"/>
        <v>0</v>
      </c>
      <c r="J69" s="101" t="str">
        <f>IFERROR(Resource_Rates_Table56[[#This Row],[Year 3 Hours]]/((IF(AND($D$4&gt;24,$D$4&lt;37),$D$4-24,IF($D$4&gt;36,12,"N/A")))*IF(VLOOKUP(Resource_Rates_Table56[[#This Row],[Resource Title]],'Resource Descriptions'!$D$6:$J$112,7,FALSE)="Onshore",$F$4,$F$5)),"N/A")</f>
        <v>N/A</v>
      </c>
      <c r="K69" s="101">
        <f t="shared" si="13"/>
        <v>0</v>
      </c>
      <c r="L69" s="101" t="str">
        <f>IFERROR(Resource_Rates_Table56[[#This Row],[Year 4 Hours]]/((IF(AND($D$4&gt;36,$D$4&lt;49),$D$4-36,IF($D$4&gt;48,12,"N/A")))*IF(VLOOKUP(Resource_Rates_Table56[[#This Row],[Resource Title]],'Resource Descriptions'!$D$6:$J$112,7,FALSE)="Onshore",$F$4,$F$5)),"N/A")</f>
        <v>N/A</v>
      </c>
      <c r="M69" s="101">
        <f t="shared" si="14"/>
        <v>0</v>
      </c>
      <c r="N69" s="101" t="str">
        <f>IFERROR(Resource_Rates_Table56[[#This Row],[Year 5 Hours]]/((IF(AND($D$4&gt;48,$D$4&lt;61),$D$4-48,IF($D$4&gt;60,12,"N/A")))*IF(VLOOKUP(Resource_Rates_Table56[[#This Row],[Resource Title]],'Resource Descriptions'!$D$6:$J$112,7,FALSE)="Onshore",$F$4,$F$5)),"N/A")</f>
        <v>N/A</v>
      </c>
      <c r="O69" s="89">
        <v>0</v>
      </c>
      <c r="P69" s="89">
        <v>0</v>
      </c>
      <c r="Q69" s="89">
        <v>0</v>
      </c>
      <c r="R69" s="89">
        <v>0</v>
      </c>
      <c r="S69" s="89">
        <v>0</v>
      </c>
      <c r="T69" s="89">
        <v>0</v>
      </c>
      <c r="U69" s="89">
        <v>0</v>
      </c>
      <c r="V69" s="89">
        <v>0</v>
      </c>
      <c r="W69" s="89">
        <v>0</v>
      </c>
      <c r="X69" s="89">
        <v>0</v>
      </c>
      <c r="Y69" s="89">
        <v>0</v>
      </c>
      <c r="Z69" s="89">
        <v>0</v>
      </c>
      <c r="AA69" s="89">
        <v>0</v>
      </c>
      <c r="AB69" s="89">
        <v>0</v>
      </c>
      <c r="AC69" s="89">
        <v>0</v>
      </c>
      <c r="AD69" s="89">
        <v>0</v>
      </c>
      <c r="AE69" s="89">
        <v>0</v>
      </c>
      <c r="AF69" s="89">
        <v>0</v>
      </c>
      <c r="AG69" s="89">
        <v>0</v>
      </c>
      <c r="AH69" s="89">
        <v>0</v>
      </c>
      <c r="AI69" s="89">
        <v>0</v>
      </c>
      <c r="AJ69" s="89">
        <v>0</v>
      </c>
      <c r="AK69" s="89">
        <v>0</v>
      </c>
      <c r="AL69" s="89">
        <v>0</v>
      </c>
      <c r="AM69" s="89">
        <v>0</v>
      </c>
      <c r="AN69" s="89">
        <v>0</v>
      </c>
      <c r="AO69" s="89">
        <v>0</v>
      </c>
      <c r="AP69" s="89">
        <v>0</v>
      </c>
      <c r="AQ69" s="89">
        <v>0</v>
      </c>
      <c r="AR69" s="89">
        <v>0</v>
      </c>
      <c r="AS69" s="89">
        <v>0</v>
      </c>
      <c r="AT69" s="89">
        <v>0</v>
      </c>
      <c r="AU69" s="89">
        <v>0</v>
      </c>
      <c r="AV69" s="89">
        <v>0</v>
      </c>
      <c r="AW69" s="89">
        <v>0</v>
      </c>
      <c r="AX69" s="89">
        <v>0</v>
      </c>
      <c r="AY69" s="89">
        <v>0</v>
      </c>
      <c r="AZ69" s="89">
        <v>0</v>
      </c>
      <c r="BA69" s="89">
        <v>0</v>
      </c>
      <c r="BB69" s="89">
        <v>0</v>
      </c>
      <c r="BC69" s="89">
        <v>0</v>
      </c>
      <c r="BD69" s="89">
        <v>0</v>
      </c>
      <c r="BE69" s="89">
        <v>0</v>
      </c>
      <c r="BF69" s="89">
        <v>0</v>
      </c>
      <c r="BG69" s="89">
        <v>0</v>
      </c>
      <c r="BH69" s="89">
        <v>0</v>
      </c>
      <c r="BI69" s="89">
        <v>0</v>
      </c>
      <c r="BJ69" s="89">
        <v>0</v>
      </c>
      <c r="BK69" s="89">
        <v>0</v>
      </c>
      <c r="BL69" s="89">
        <v>0</v>
      </c>
      <c r="BM69" s="89">
        <v>0</v>
      </c>
      <c r="BN69" s="89">
        <v>0</v>
      </c>
      <c r="BO69" s="89">
        <v>0</v>
      </c>
      <c r="BP69" s="89">
        <v>0</v>
      </c>
      <c r="BQ69" s="89">
        <v>0</v>
      </c>
      <c r="BR69" s="89">
        <v>0</v>
      </c>
      <c r="BS69" s="89">
        <v>0</v>
      </c>
      <c r="BT69" s="89">
        <v>0</v>
      </c>
      <c r="BU69" s="89">
        <v>0</v>
      </c>
      <c r="BV69" s="89">
        <v>0</v>
      </c>
    </row>
    <row r="70" spans="2:74" ht="15" customHeight="1">
      <c r="B70" s="86" t="s">
        <v>151</v>
      </c>
      <c r="C70" s="99" t="s">
        <v>171</v>
      </c>
      <c r="D70" s="100">
        <f>SUM(Resource_Rates_Table56[[#This Row],[Year 1 Hours]],Resource_Rates_Table56[[#This Row],[Year 2 Hours]],Resource_Rates_Table56[[#This Row],[Year 3 Hours]],Resource_Rates_Table56[[#This Row],[Year 4 Hours]],Resource_Rates_Table56[[#This Row],[Year 5 Hours]])</f>
        <v>0</v>
      </c>
      <c r="E70" s="101">
        <f t="shared" si="10"/>
        <v>0</v>
      </c>
      <c r="F70"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0" s="101">
        <f t="shared" si="11"/>
        <v>0</v>
      </c>
      <c r="H70" s="101" t="str">
        <f>IFERROR(Resource_Rates_Table56[[#This Row],[Year 2 Hours]]/((IF(AND($D$4&gt;12,$D$4&lt;25),$D$4-12,IF($D$4&gt;24,12,"N/A")))*IF(VLOOKUP(Resource_Rates_Table56[[#This Row],[Resource Title]],'Resource Descriptions'!$D$6:$J$112,7,FALSE)="Onshore",$F$4,$F$5)),"N/A")</f>
        <v>N/A</v>
      </c>
      <c r="I70" s="101">
        <f t="shared" si="12"/>
        <v>0</v>
      </c>
      <c r="J70" s="101" t="str">
        <f>IFERROR(Resource_Rates_Table56[[#This Row],[Year 3 Hours]]/((IF(AND($D$4&gt;24,$D$4&lt;37),$D$4-24,IF($D$4&gt;36,12,"N/A")))*IF(VLOOKUP(Resource_Rates_Table56[[#This Row],[Resource Title]],'Resource Descriptions'!$D$6:$J$112,7,FALSE)="Onshore",$F$4,$F$5)),"N/A")</f>
        <v>N/A</v>
      </c>
      <c r="K70" s="101">
        <f t="shared" si="13"/>
        <v>0</v>
      </c>
      <c r="L70" s="101" t="str">
        <f>IFERROR(Resource_Rates_Table56[[#This Row],[Year 4 Hours]]/((IF(AND($D$4&gt;36,$D$4&lt;49),$D$4-36,IF($D$4&gt;48,12,"N/A")))*IF(VLOOKUP(Resource_Rates_Table56[[#This Row],[Resource Title]],'Resource Descriptions'!$D$6:$J$112,7,FALSE)="Onshore",$F$4,$F$5)),"N/A")</f>
        <v>N/A</v>
      </c>
      <c r="M70" s="101">
        <f t="shared" si="14"/>
        <v>0</v>
      </c>
      <c r="N70" s="101" t="str">
        <f>IFERROR(Resource_Rates_Table56[[#This Row],[Year 5 Hours]]/((IF(AND($D$4&gt;48,$D$4&lt;61),$D$4-48,IF($D$4&gt;60,12,"N/A")))*IF(VLOOKUP(Resource_Rates_Table56[[#This Row],[Resource Title]],'Resource Descriptions'!$D$6:$J$112,7,FALSE)="Onshore",$F$4,$F$5)),"N/A")</f>
        <v>N/A</v>
      </c>
      <c r="O70" s="89">
        <v>0</v>
      </c>
      <c r="P70" s="89">
        <v>0</v>
      </c>
      <c r="Q70" s="89">
        <v>0</v>
      </c>
      <c r="R70" s="89">
        <v>0</v>
      </c>
      <c r="S70" s="89">
        <v>0</v>
      </c>
      <c r="T70" s="89">
        <v>0</v>
      </c>
      <c r="U70" s="89">
        <v>0</v>
      </c>
      <c r="V70" s="89">
        <v>0</v>
      </c>
      <c r="W70" s="89">
        <v>0</v>
      </c>
      <c r="X70" s="89">
        <v>0</v>
      </c>
      <c r="Y70" s="89">
        <v>0</v>
      </c>
      <c r="Z70" s="89">
        <v>0</v>
      </c>
      <c r="AA70" s="89">
        <v>0</v>
      </c>
      <c r="AB70" s="89">
        <v>0</v>
      </c>
      <c r="AC70" s="89">
        <v>0</v>
      </c>
      <c r="AD70" s="89">
        <v>0</v>
      </c>
      <c r="AE70" s="89">
        <v>0</v>
      </c>
      <c r="AF70" s="89">
        <v>0</v>
      </c>
      <c r="AG70" s="89">
        <v>0</v>
      </c>
      <c r="AH70" s="89">
        <v>0</v>
      </c>
      <c r="AI70" s="89">
        <v>0</v>
      </c>
      <c r="AJ70" s="89">
        <v>0</v>
      </c>
      <c r="AK70" s="89">
        <v>0</v>
      </c>
      <c r="AL70" s="89">
        <v>0</v>
      </c>
      <c r="AM70" s="89">
        <v>0</v>
      </c>
      <c r="AN70" s="89">
        <v>0</v>
      </c>
      <c r="AO70" s="89">
        <v>0</v>
      </c>
      <c r="AP70" s="89">
        <v>0</v>
      </c>
      <c r="AQ70" s="89">
        <v>0</v>
      </c>
      <c r="AR70" s="89">
        <v>0</v>
      </c>
      <c r="AS70" s="89">
        <v>0</v>
      </c>
      <c r="AT70" s="89">
        <v>0</v>
      </c>
      <c r="AU70" s="89">
        <v>0</v>
      </c>
      <c r="AV70" s="89">
        <v>0</v>
      </c>
      <c r="AW70" s="89">
        <v>0</v>
      </c>
      <c r="AX70" s="89">
        <v>0</v>
      </c>
      <c r="AY70" s="89">
        <v>0</v>
      </c>
      <c r="AZ70" s="89">
        <v>0</v>
      </c>
      <c r="BA70" s="89">
        <v>0</v>
      </c>
      <c r="BB70" s="89">
        <v>0</v>
      </c>
      <c r="BC70" s="89">
        <v>0</v>
      </c>
      <c r="BD70" s="89">
        <v>0</v>
      </c>
      <c r="BE70" s="89">
        <v>0</v>
      </c>
      <c r="BF70" s="89">
        <v>0</v>
      </c>
      <c r="BG70" s="89">
        <v>0</v>
      </c>
      <c r="BH70" s="89">
        <v>0</v>
      </c>
      <c r="BI70" s="89">
        <v>0</v>
      </c>
      <c r="BJ70" s="89">
        <v>0</v>
      </c>
      <c r="BK70" s="89">
        <v>0</v>
      </c>
      <c r="BL70" s="89">
        <v>0</v>
      </c>
      <c r="BM70" s="89">
        <v>0</v>
      </c>
      <c r="BN70" s="89">
        <v>0</v>
      </c>
      <c r="BO70" s="89">
        <v>0</v>
      </c>
      <c r="BP70" s="89">
        <v>0</v>
      </c>
      <c r="BQ70" s="89">
        <v>0</v>
      </c>
      <c r="BR70" s="89">
        <v>0</v>
      </c>
      <c r="BS70" s="89">
        <v>0</v>
      </c>
      <c r="BT70" s="89">
        <v>0</v>
      </c>
      <c r="BU70" s="89">
        <v>0</v>
      </c>
      <c r="BV70" s="89">
        <v>0</v>
      </c>
    </row>
    <row r="71" spans="2:74" ht="15" customHeight="1">
      <c r="B71" s="86" t="s">
        <v>151</v>
      </c>
      <c r="C71" s="99" t="s">
        <v>172</v>
      </c>
      <c r="D71" s="100">
        <f>SUM(Resource_Rates_Table56[[#This Row],[Year 1 Hours]],Resource_Rates_Table56[[#This Row],[Year 2 Hours]],Resource_Rates_Table56[[#This Row],[Year 3 Hours]],Resource_Rates_Table56[[#This Row],[Year 4 Hours]],Resource_Rates_Table56[[#This Row],[Year 5 Hours]])</f>
        <v>0</v>
      </c>
      <c r="E71" s="101">
        <f t="shared" si="10"/>
        <v>0</v>
      </c>
      <c r="F71"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1" s="101">
        <f t="shared" si="11"/>
        <v>0</v>
      </c>
      <c r="H71" s="101" t="str">
        <f>IFERROR(Resource_Rates_Table56[[#This Row],[Year 2 Hours]]/((IF(AND($D$4&gt;12,$D$4&lt;25),$D$4-12,IF($D$4&gt;24,12,"N/A")))*IF(VLOOKUP(Resource_Rates_Table56[[#This Row],[Resource Title]],'Resource Descriptions'!$D$6:$J$112,7,FALSE)="Onshore",$F$4,$F$5)),"N/A")</f>
        <v>N/A</v>
      </c>
      <c r="I71" s="101">
        <f t="shared" si="12"/>
        <v>0</v>
      </c>
      <c r="J71" s="101" t="str">
        <f>IFERROR(Resource_Rates_Table56[[#This Row],[Year 3 Hours]]/((IF(AND($D$4&gt;24,$D$4&lt;37),$D$4-24,IF($D$4&gt;36,12,"N/A")))*IF(VLOOKUP(Resource_Rates_Table56[[#This Row],[Resource Title]],'Resource Descriptions'!$D$6:$J$112,7,FALSE)="Onshore",$F$4,$F$5)),"N/A")</f>
        <v>N/A</v>
      </c>
      <c r="K71" s="101">
        <f t="shared" si="13"/>
        <v>0</v>
      </c>
      <c r="L71" s="101" t="str">
        <f>IFERROR(Resource_Rates_Table56[[#This Row],[Year 4 Hours]]/((IF(AND($D$4&gt;36,$D$4&lt;49),$D$4-36,IF($D$4&gt;48,12,"N/A")))*IF(VLOOKUP(Resource_Rates_Table56[[#This Row],[Resource Title]],'Resource Descriptions'!$D$6:$J$112,7,FALSE)="Onshore",$F$4,$F$5)),"N/A")</f>
        <v>N/A</v>
      </c>
      <c r="M71" s="101">
        <f t="shared" si="14"/>
        <v>0</v>
      </c>
      <c r="N71" s="101" t="str">
        <f>IFERROR(Resource_Rates_Table56[[#This Row],[Year 5 Hours]]/((IF(AND($D$4&gt;48,$D$4&lt;61),$D$4-48,IF($D$4&gt;60,12,"N/A")))*IF(VLOOKUP(Resource_Rates_Table56[[#This Row],[Resource Title]],'Resource Descriptions'!$D$6:$J$112,7,FALSE)="Onshore",$F$4,$F$5)),"N/A")</f>
        <v>N/A</v>
      </c>
      <c r="O71" s="89">
        <v>0</v>
      </c>
      <c r="P71" s="89">
        <v>0</v>
      </c>
      <c r="Q71" s="89">
        <v>0</v>
      </c>
      <c r="R71" s="89">
        <v>0</v>
      </c>
      <c r="S71" s="89">
        <v>0</v>
      </c>
      <c r="T71" s="89">
        <v>0</v>
      </c>
      <c r="U71" s="89">
        <v>0</v>
      </c>
      <c r="V71" s="89">
        <v>0</v>
      </c>
      <c r="W71" s="89">
        <v>0</v>
      </c>
      <c r="X71" s="89">
        <v>0</v>
      </c>
      <c r="Y71" s="89">
        <v>0</v>
      </c>
      <c r="Z71" s="89">
        <v>0</v>
      </c>
      <c r="AA71" s="89">
        <v>0</v>
      </c>
      <c r="AB71" s="89">
        <v>0</v>
      </c>
      <c r="AC71" s="89">
        <v>0</v>
      </c>
      <c r="AD71" s="89">
        <v>0</v>
      </c>
      <c r="AE71" s="89">
        <v>0</v>
      </c>
      <c r="AF71" s="89">
        <v>0</v>
      </c>
      <c r="AG71" s="89">
        <v>0</v>
      </c>
      <c r="AH71" s="89">
        <v>0</v>
      </c>
      <c r="AI71" s="89">
        <v>0</v>
      </c>
      <c r="AJ71" s="89">
        <v>0</v>
      </c>
      <c r="AK71" s="89">
        <v>0</v>
      </c>
      <c r="AL71" s="89">
        <v>0</v>
      </c>
      <c r="AM71" s="89">
        <v>0</v>
      </c>
      <c r="AN71" s="89">
        <v>0</v>
      </c>
      <c r="AO71" s="89">
        <v>0</v>
      </c>
      <c r="AP71" s="89">
        <v>0</v>
      </c>
      <c r="AQ71" s="89">
        <v>0</v>
      </c>
      <c r="AR71" s="89">
        <v>0</v>
      </c>
      <c r="AS71" s="89">
        <v>0</v>
      </c>
      <c r="AT71" s="89">
        <v>0</v>
      </c>
      <c r="AU71" s="89">
        <v>0</v>
      </c>
      <c r="AV71" s="89">
        <v>0</v>
      </c>
      <c r="AW71" s="89">
        <v>0</v>
      </c>
      <c r="AX71" s="89">
        <v>0</v>
      </c>
      <c r="AY71" s="89">
        <v>0</v>
      </c>
      <c r="AZ71" s="89">
        <v>0</v>
      </c>
      <c r="BA71" s="89">
        <v>0</v>
      </c>
      <c r="BB71" s="89">
        <v>0</v>
      </c>
      <c r="BC71" s="89">
        <v>0</v>
      </c>
      <c r="BD71" s="89">
        <v>0</v>
      </c>
      <c r="BE71" s="89">
        <v>0</v>
      </c>
      <c r="BF71" s="89">
        <v>0</v>
      </c>
      <c r="BG71" s="89">
        <v>0</v>
      </c>
      <c r="BH71" s="89">
        <v>0</v>
      </c>
      <c r="BI71" s="89">
        <v>0</v>
      </c>
      <c r="BJ71" s="89">
        <v>0</v>
      </c>
      <c r="BK71" s="89">
        <v>0</v>
      </c>
      <c r="BL71" s="89">
        <v>0</v>
      </c>
      <c r="BM71" s="89">
        <v>0</v>
      </c>
      <c r="BN71" s="89">
        <v>0</v>
      </c>
      <c r="BO71" s="89">
        <v>0</v>
      </c>
      <c r="BP71" s="89">
        <v>0</v>
      </c>
      <c r="BQ71" s="89">
        <v>0</v>
      </c>
      <c r="BR71" s="89">
        <v>0</v>
      </c>
      <c r="BS71" s="89">
        <v>0</v>
      </c>
      <c r="BT71" s="89">
        <v>0</v>
      </c>
      <c r="BU71" s="89">
        <v>0</v>
      </c>
      <c r="BV71" s="89">
        <v>0</v>
      </c>
    </row>
    <row r="72" spans="2:74" ht="15" customHeight="1">
      <c r="B72" s="86" t="s">
        <v>151</v>
      </c>
      <c r="C72" s="99" t="s">
        <v>173</v>
      </c>
      <c r="D72" s="100">
        <f>SUM(Resource_Rates_Table56[[#This Row],[Year 1 Hours]],Resource_Rates_Table56[[#This Row],[Year 2 Hours]],Resource_Rates_Table56[[#This Row],[Year 3 Hours]],Resource_Rates_Table56[[#This Row],[Year 4 Hours]],Resource_Rates_Table56[[#This Row],[Year 5 Hours]])</f>
        <v>0</v>
      </c>
      <c r="E72" s="101">
        <f t="shared" si="10"/>
        <v>0</v>
      </c>
      <c r="F72"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2" s="101">
        <f t="shared" si="11"/>
        <v>0</v>
      </c>
      <c r="H72" s="101" t="str">
        <f>IFERROR(Resource_Rates_Table56[[#This Row],[Year 2 Hours]]/((IF(AND($D$4&gt;12,$D$4&lt;25),$D$4-12,IF($D$4&gt;24,12,"N/A")))*IF(VLOOKUP(Resource_Rates_Table56[[#This Row],[Resource Title]],'Resource Descriptions'!$D$6:$J$112,7,FALSE)="Onshore",$F$4,$F$5)),"N/A")</f>
        <v>N/A</v>
      </c>
      <c r="I72" s="101">
        <f t="shared" si="12"/>
        <v>0</v>
      </c>
      <c r="J72" s="101" t="str">
        <f>IFERROR(Resource_Rates_Table56[[#This Row],[Year 3 Hours]]/((IF(AND($D$4&gt;24,$D$4&lt;37),$D$4-24,IF($D$4&gt;36,12,"N/A")))*IF(VLOOKUP(Resource_Rates_Table56[[#This Row],[Resource Title]],'Resource Descriptions'!$D$6:$J$112,7,FALSE)="Onshore",$F$4,$F$5)),"N/A")</f>
        <v>N/A</v>
      </c>
      <c r="K72" s="101">
        <f t="shared" si="13"/>
        <v>0</v>
      </c>
      <c r="L72" s="101" t="str">
        <f>IFERROR(Resource_Rates_Table56[[#This Row],[Year 4 Hours]]/((IF(AND($D$4&gt;36,$D$4&lt;49),$D$4-36,IF($D$4&gt;48,12,"N/A")))*IF(VLOOKUP(Resource_Rates_Table56[[#This Row],[Resource Title]],'Resource Descriptions'!$D$6:$J$112,7,FALSE)="Onshore",$F$4,$F$5)),"N/A")</f>
        <v>N/A</v>
      </c>
      <c r="M72" s="101">
        <f t="shared" si="14"/>
        <v>0</v>
      </c>
      <c r="N72" s="101" t="str">
        <f>IFERROR(Resource_Rates_Table56[[#This Row],[Year 5 Hours]]/((IF(AND($D$4&gt;48,$D$4&lt;61),$D$4-48,IF($D$4&gt;60,12,"N/A")))*IF(VLOOKUP(Resource_Rates_Table56[[#This Row],[Resource Title]],'Resource Descriptions'!$D$6:$J$112,7,FALSE)="Onshore",$F$4,$F$5)),"N/A")</f>
        <v>N/A</v>
      </c>
      <c r="O72" s="89">
        <v>0</v>
      </c>
      <c r="P72" s="89">
        <v>0</v>
      </c>
      <c r="Q72" s="89">
        <v>0</v>
      </c>
      <c r="R72" s="89">
        <v>0</v>
      </c>
      <c r="S72" s="89">
        <v>0</v>
      </c>
      <c r="T72" s="89">
        <v>0</v>
      </c>
      <c r="U72" s="89">
        <v>0</v>
      </c>
      <c r="V72" s="89">
        <v>0</v>
      </c>
      <c r="W72" s="89">
        <v>0</v>
      </c>
      <c r="X72" s="89">
        <v>0</v>
      </c>
      <c r="Y72" s="89">
        <v>0</v>
      </c>
      <c r="Z72" s="89">
        <v>0</v>
      </c>
      <c r="AA72" s="89">
        <v>0</v>
      </c>
      <c r="AB72" s="89">
        <v>0</v>
      </c>
      <c r="AC72" s="89">
        <v>0</v>
      </c>
      <c r="AD72" s="89">
        <v>0</v>
      </c>
      <c r="AE72" s="89">
        <v>0</v>
      </c>
      <c r="AF72" s="89">
        <v>0</v>
      </c>
      <c r="AG72" s="89">
        <v>0</v>
      </c>
      <c r="AH72" s="89">
        <v>0</v>
      </c>
      <c r="AI72" s="89">
        <v>0</v>
      </c>
      <c r="AJ72" s="89">
        <v>0</v>
      </c>
      <c r="AK72" s="89">
        <v>0</v>
      </c>
      <c r="AL72" s="89">
        <v>0</v>
      </c>
      <c r="AM72" s="89">
        <v>0</v>
      </c>
      <c r="AN72" s="89">
        <v>0</v>
      </c>
      <c r="AO72" s="89">
        <v>0</v>
      </c>
      <c r="AP72" s="89">
        <v>0</v>
      </c>
      <c r="AQ72" s="89">
        <v>0</v>
      </c>
      <c r="AR72" s="89">
        <v>0</v>
      </c>
      <c r="AS72" s="89">
        <v>0</v>
      </c>
      <c r="AT72" s="89">
        <v>0</v>
      </c>
      <c r="AU72" s="89">
        <v>0</v>
      </c>
      <c r="AV72" s="89">
        <v>0</v>
      </c>
      <c r="AW72" s="89">
        <v>0</v>
      </c>
      <c r="AX72" s="89">
        <v>0</v>
      </c>
      <c r="AY72" s="89">
        <v>0</v>
      </c>
      <c r="AZ72" s="89">
        <v>0</v>
      </c>
      <c r="BA72" s="89">
        <v>0</v>
      </c>
      <c r="BB72" s="89">
        <v>0</v>
      </c>
      <c r="BC72" s="89">
        <v>0</v>
      </c>
      <c r="BD72" s="89">
        <v>0</v>
      </c>
      <c r="BE72" s="89">
        <v>0</v>
      </c>
      <c r="BF72" s="89">
        <v>0</v>
      </c>
      <c r="BG72" s="89">
        <v>0</v>
      </c>
      <c r="BH72" s="89">
        <v>0</v>
      </c>
      <c r="BI72" s="89">
        <v>0</v>
      </c>
      <c r="BJ72" s="89">
        <v>0</v>
      </c>
      <c r="BK72" s="89">
        <v>0</v>
      </c>
      <c r="BL72" s="89">
        <v>0</v>
      </c>
      <c r="BM72" s="89">
        <v>0</v>
      </c>
      <c r="BN72" s="89">
        <v>0</v>
      </c>
      <c r="BO72" s="89">
        <v>0</v>
      </c>
      <c r="BP72" s="89">
        <v>0</v>
      </c>
      <c r="BQ72" s="89">
        <v>0</v>
      </c>
      <c r="BR72" s="89">
        <v>0</v>
      </c>
      <c r="BS72" s="89">
        <v>0</v>
      </c>
      <c r="BT72" s="89">
        <v>0</v>
      </c>
      <c r="BU72" s="89">
        <v>0</v>
      </c>
      <c r="BV72" s="89">
        <v>0</v>
      </c>
    </row>
    <row r="73" spans="2:74" ht="15" customHeight="1">
      <c r="B73" s="86" t="s">
        <v>151</v>
      </c>
      <c r="C73" s="99" t="s">
        <v>174</v>
      </c>
      <c r="D73" s="100">
        <f>SUM(Resource_Rates_Table56[[#This Row],[Year 1 Hours]],Resource_Rates_Table56[[#This Row],[Year 2 Hours]],Resource_Rates_Table56[[#This Row],[Year 3 Hours]],Resource_Rates_Table56[[#This Row],[Year 4 Hours]],Resource_Rates_Table56[[#This Row],[Year 5 Hours]])</f>
        <v>0</v>
      </c>
      <c r="E73" s="101">
        <f t="shared" si="10"/>
        <v>0</v>
      </c>
      <c r="F73"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3" s="101">
        <f t="shared" si="11"/>
        <v>0</v>
      </c>
      <c r="H73" s="101" t="str">
        <f>IFERROR(Resource_Rates_Table56[[#This Row],[Year 2 Hours]]/((IF(AND($D$4&gt;12,$D$4&lt;25),$D$4-12,IF($D$4&gt;24,12,"N/A")))*IF(VLOOKUP(Resource_Rates_Table56[[#This Row],[Resource Title]],'Resource Descriptions'!$D$6:$J$112,7,FALSE)="Onshore",$F$4,$F$5)),"N/A")</f>
        <v>N/A</v>
      </c>
      <c r="I73" s="101">
        <f t="shared" si="12"/>
        <v>0</v>
      </c>
      <c r="J73" s="101" t="str">
        <f>IFERROR(Resource_Rates_Table56[[#This Row],[Year 3 Hours]]/((IF(AND($D$4&gt;24,$D$4&lt;37),$D$4-24,IF($D$4&gt;36,12,"N/A")))*IF(VLOOKUP(Resource_Rates_Table56[[#This Row],[Resource Title]],'Resource Descriptions'!$D$6:$J$112,7,FALSE)="Onshore",$F$4,$F$5)),"N/A")</f>
        <v>N/A</v>
      </c>
      <c r="K73" s="101">
        <f t="shared" si="13"/>
        <v>0</v>
      </c>
      <c r="L73" s="101" t="str">
        <f>IFERROR(Resource_Rates_Table56[[#This Row],[Year 4 Hours]]/((IF(AND($D$4&gt;36,$D$4&lt;49),$D$4-36,IF($D$4&gt;48,12,"N/A")))*IF(VLOOKUP(Resource_Rates_Table56[[#This Row],[Resource Title]],'Resource Descriptions'!$D$6:$J$112,7,FALSE)="Onshore",$F$4,$F$5)),"N/A")</f>
        <v>N/A</v>
      </c>
      <c r="M73" s="101">
        <f t="shared" si="14"/>
        <v>0</v>
      </c>
      <c r="N73" s="101" t="str">
        <f>IFERROR(Resource_Rates_Table56[[#This Row],[Year 5 Hours]]/((IF(AND($D$4&gt;48,$D$4&lt;61),$D$4-48,IF($D$4&gt;60,12,"N/A")))*IF(VLOOKUP(Resource_Rates_Table56[[#This Row],[Resource Title]],'Resource Descriptions'!$D$6:$J$112,7,FALSE)="Onshore",$F$4,$F$5)),"N/A")</f>
        <v>N/A</v>
      </c>
      <c r="O73" s="89">
        <v>0</v>
      </c>
      <c r="P73" s="89">
        <v>0</v>
      </c>
      <c r="Q73" s="89">
        <v>0</v>
      </c>
      <c r="R73" s="89">
        <v>0</v>
      </c>
      <c r="S73" s="89">
        <v>0</v>
      </c>
      <c r="T73" s="89">
        <v>0</v>
      </c>
      <c r="U73" s="89">
        <v>0</v>
      </c>
      <c r="V73" s="89">
        <v>0</v>
      </c>
      <c r="W73" s="89">
        <v>0</v>
      </c>
      <c r="X73" s="89">
        <v>0</v>
      </c>
      <c r="Y73" s="89">
        <v>0</v>
      </c>
      <c r="Z73" s="89">
        <v>0</v>
      </c>
      <c r="AA73" s="89">
        <v>0</v>
      </c>
      <c r="AB73" s="89">
        <v>0</v>
      </c>
      <c r="AC73" s="89">
        <v>0</v>
      </c>
      <c r="AD73" s="89">
        <v>0</v>
      </c>
      <c r="AE73" s="89">
        <v>0</v>
      </c>
      <c r="AF73" s="89">
        <v>0</v>
      </c>
      <c r="AG73" s="89">
        <v>0</v>
      </c>
      <c r="AH73" s="89">
        <v>0</v>
      </c>
      <c r="AI73" s="89">
        <v>0</v>
      </c>
      <c r="AJ73" s="89">
        <v>0</v>
      </c>
      <c r="AK73" s="89">
        <v>0</v>
      </c>
      <c r="AL73" s="89">
        <v>0</v>
      </c>
      <c r="AM73" s="89">
        <v>0</v>
      </c>
      <c r="AN73" s="89">
        <v>0</v>
      </c>
      <c r="AO73" s="89">
        <v>0</v>
      </c>
      <c r="AP73" s="89">
        <v>0</v>
      </c>
      <c r="AQ73" s="89">
        <v>0</v>
      </c>
      <c r="AR73" s="89">
        <v>0</v>
      </c>
      <c r="AS73" s="89">
        <v>0</v>
      </c>
      <c r="AT73" s="89">
        <v>0</v>
      </c>
      <c r="AU73" s="89">
        <v>0</v>
      </c>
      <c r="AV73" s="89">
        <v>0</v>
      </c>
      <c r="AW73" s="89">
        <v>0</v>
      </c>
      <c r="AX73" s="89">
        <v>0</v>
      </c>
      <c r="AY73" s="89">
        <v>0</v>
      </c>
      <c r="AZ73" s="89">
        <v>0</v>
      </c>
      <c r="BA73" s="89">
        <v>0</v>
      </c>
      <c r="BB73" s="89">
        <v>0</v>
      </c>
      <c r="BC73" s="89">
        <v>0</v>
      </c>
      <c r="BD73" s="89">
        <v>0</v>
      </c>
      <c r="BE73" s="89">
        <v>0</v>
      </c>
      <c r="BF73" s="89">
        <v>0</v>
      </c>
      <c r="BG73" s="89">
        <v>0</v>
      </c>
      <c r="BH73" s="89">
        <v>0</v>
      </c>
      <c r="BI73" s="89">
        <v>0</v>
      </c>
      <c r="BJ73" s="89">
        <v>0</v>
      </c>
      <c r="BK73" s="89">
        <v>0</v>
      </c>
      <c r="BL73" s="89">
        <v>0</v>
      </c>
      <c r="BM73" s="89">
        <v>0</v>
      </c>
      <c r="BN73" s="89">
        <v>0</v>
      </c>
      <c r="BO73" s="89">
        <v>0</v>
      </c>
      <c r="BP73" s="89">
        <v>0</v>
      </c>
      <c r="BQ73" s="89">
        <v>0</v>
      </c>
      <c r="BR73" s="89">
        <v>0</v>
      </c>
      <c r="BS73" s="89">
        <v>0</v>
      </c>
      <c r="BT73" s="89">
        <v>0</v>
      </c>
      <c r="BU73" s="89">
        <v>0</v>
      </c>
      <c r="BV73" s="89">
        <v>0</v>
      </c>
    </row>
    <row r="74" spans="2:74" ht="15" customHeight="1">
      <c r="B74" s="86" t="s">
        <v>151</v>
      </c>
      <c r="C74" s="99" t="s">
        <v>175</v>
      </c>
      <c r="D74" s="100">
        <f>SUM(Resource_Rates_Table56[[#This Row],[Year 1 Hours]],Resource_Rates_Table56[[#This Row],[Year 2 Hours]],Resource_Rates_Table56[[#This Row],[Year 3 Hours]],Resource_Rates_Table56[[#This Row],[Year 4 Hours]],Resource_Rates_Table56[[#This Row],[Year 5 Hours]])</f>
        <v>0</v>
      </c>
      <c r="E74" s="101">
        <f t="shared" si="10"/>
        <v>0</v>
      </c>
      <c r="F74"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4" s="101">
        <f t="shared" si="11"/>
        <v>0</v>
      </c>
      <c r="H74" s="101" t="str">
        <f>IFERROR(Resource_Rates_Table56[[#This Row],[Year 2 Hours]]/((IF(AND($D$4&gt;12,$D$4&lt;25),$D$4-12,IF($D$4&gt;24,12,"N/A")))*IF(VLOOKUP(Resource_Rates_Table56[[#This Row],[Resource Title]],'Resource Descriptions'!$D$6:$J$112,7,FALSE)="Onshore",$F$4,$F$5)),"N/A")</f>
        <v>N/A</v>
      </c>
      <c r="I74" s="101">
        <f t="shared" si="12"/>
        <v>0</v>
      </c>
      <c r="J74" s="101" t="str">
        <f>IFERROR(Resource_Rates_Table56[[#This Row],[Year 3 Hours]]/((IF(AND($D$4&gt;24,$D$4&lt;37),$D$4-24,IF($D$4&gt;36,12,"N/A")))*IF(VLOOKUP(Resource_Rates_Table56[[#This Row],[Resource Title]],'Resource Descriptions'!$D$6:$J$112,7,FALSE)="Onshore",$F$4,$F$5)),"N/A")</f>
        <v>N/A</v>
      </c>
      <c r="K74" s="101">
        <f t="shared" si="13"/>
        <v>0</v>
      </c>
      <c r="L74" s="101" t="str">
        <f>IFERROR(Resource_Rates_Table56[[#This Row],[Year 4 Hours]]/((IF(AND($D$4&gt;36,$D$4&lt;49),$D$4-36,IF($D$4&gt;48,12,"N/A")))*IF(VLOOKUP(Resource_Rates_Table56[[#This Row],[Resource Title]],'Resource Descriptions'!$D$6:$J$112,7,FALSE)="Onshore",$F$4,$F$5)),"N/A")</f>
        <v>N/A</v>
      </c>
      <c r="M74" s="101">
        <f t="shared" si="14"/>
        <v>0</v>
      </c>
      <c r="N74" s="101" t="str">
        <f>IFERROR(Resource_Rates_Table56[[#This Row],[Year 5 Hours]]/((IF(AND($D$4&gt;48,$D$4&lt;61),$D$4-48,IF($D$4&gt;60,12,"N/A")))*IF(VLOOKUP(Resource_Rates_Table56[[#This Row],[Resource Title]],'Resource Descriptions'!$D$6:$J$112,7,FALSE)="Onshore",$F$4,$F$5)),"N/A")</f>
        <v>N/A</v>
      </c>
      <c r="O74" s="89">
        <v>0</v>
      </c>
      <c r="P74" s="89">
        <v>0</v>
      </c>
      <c r="Q74" s="89">
        <v>0</v>
      </c>
      <c r="R74" s="89">
        <v>0</v>
      </c>
      <c r="S74" s="89">
        <v>0</v>
      </c>
      <c r="T74" s="89">
        <v>0</v>
      </c>
      <c r="U74" s="89">
        <v>0</v>
      </c>
      <c r="V74" s="89">
        <v>0</v>
      </c>
      <c r="W74" s="89">
        <v>0</v>
      </c>
      <c r="X74" s="89">
        <v>0</v>
      </c>
      <c r="Y74" s="89">
        <v>0</v>
      </c>
      <c r="Z74" s="89">
        <v>0</v>
      </c>
      <c r="AA74" s="89">
        <v>0</v>
      </c>
      <c r="AB74" s="89">
        <v>0</v>
      </c>
      <c r="AC74" s="89">
        <v>0</v>
      </c>
      <c r="AD74" s="89">
        <v>0</v>
      </c>
      <c r="AE74" s="89">
        <v>0</v>
      </c>
      <c r="AF74" s="89">
        <v>0</v>
      </c>
      <c r="AG74" s="89">
        <v>0</v>
      </c>
      <c r="AH74" s="89">
        <v>0</v>
      </c>
      <c r="AI74" s="89">
        <v>0</v>
      </c>
      <c r="AJ74" s="89">
        <v>0</v>
      </c>
      <c r="AK74" s="89">
        <v>0</v>
      </c>
      <c r="AL74" s="89">
        <v>0</v>
      </c>
      <c r="AM74" s="89">
        <v>0</v>
      </c>
      <c r="AN74" s="89">
        <v>0</v>
      </c>
      <c r="AO74" s="89">
        <v>0</v>
      </c>
      <c r="AP74" s="89">
        <v>0</v>
      </c>
      <c r="AQ74" s="89">
        <v>0</v>
      </c>
      <c r="AR74" s="89">
        <v>0</v>
      </c>
      <c r="AS74" s="89">
        <v>0</v>
      </c>
      <c r="AT74" s="89">
        <v>0</v>
      </c>
      <c r="AU74" s="89">
        <v>0</v>
      </c>
      <c r="AV74" s="89">
        <v>0</v>
      </c>
      <c r="AW74" s="89">
        <v>0</v>
      </c>
      <c r="AX74" s="89">
        <v>0</v>
      </c>
      <c r="AY74" s="89">
        <v>0</v>
      </c>
      <c r="AZ74" s="89">
        <v>0</v>
      </c>
      <c r="BA74" s="89">
        <v>0</v>
      </c>
      <c r="BB74" s="89">
        <v>0</v>
      </c>
      <c r="BC74" s="89">
        <v>0</v>
      </c>
      <c r="BD74" s="89">
        <v>0</v>
      </c>
      <c r="BE74" s="89">
        <v>0</v>
      </c>
      <c r="BF74" s="89">
        <v>0</v>
      </c>
      <c r="BG74" s="89">
        <v>0</v>
      </c>
      <c r="BH74" s="89">
        <v>0</v>
      </c>
      <c r="BI74" s="89">
        <v>0</v>
      </c>
      <c r="BJ74" s="89">
        <v>0</v>
      </c>
      <c r="BK74" s="89">
        <v>0</v>
      </c>
      <c r="BL74" s="89">
        <v>0</v>
      </c>
      <c r="BM74" s="89">
        <v>0</v>
      </c>
      <c r="BN74" s="89">
        <v>0</v>
      </c>
      <c r="BO74" s="89">
        <v>0</v>
      </c>
      <c r="BP74" s="89">
        <v>0</v>
      </c>
      <c r="BQ74" s="89">
        <v>0</v>
      </c>
      <c r="BR74" s="89">
        <v>0</v>
      </c>
      <c r="BS74" s="89">
        <v>0</v>
      </c>
      <c r="BT74" s="89">
        <v>0</v>
      </c>
      <c r="BU74" s="89">
        <v>0</v>
      </c>
      <c r="BV74" s="89">
        <v>0</v>
      </c>
    </row>
    <row r="75" spans="2:74" ht="15" customHeight="1">
      <c r="B75" s="86" t="s">
        <v>151</v>
      </c>
      <c r="C75" s="23" t="s">
        <v>176</v>
      </c>
      <c r="D75" s="87">
        <f>SUM(Resource_Rates_Table56[[#This Row],[Year 1 Hours]],Resource_Rates_Table56[[#This Row],[Year 2 Hours]],Resource_Rates_Table56[[#This Row],[Year 3 Hours]],Resource_Rates_Table56[[#This Row],[Year 4 Hours]],Resource_Rates_Table56[[#This Row],[Year 5 Hours]])</f>
        <v>0</v>
      </c>
      <c r="E75" s="88">
        <f t="shared" si="5"/>
        <v>0</v>
      </c>
      <c r="F7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5" s="88">
        <f t="shared" si="9"/>
        <v>0</v>
      </c>
      <c r="H75" s="88" t="str">
        <f>IFERROR(Resource_Rates_Table56[[#This Row],[Year 2 Hours]]/((IF(AND($D$4&gt;12,$D$4&lt;25),$D$4-12,IF($D$4&gt;24,12,"N/A")))*IF(VLOOKUP(Resource_Rates_Table56[[#This Row],[Resource Title]],'Resource Descriptions'!$D$6:$J$112,7,FALSE)="Onshore",$F$4,$F$5)),"N/A")</f>
        <v>N/A</v>
      </c>
      <c r="I75" s="88">
        <f t="shared" si="6"/>
        <v>0</v>
      </c>
      <c r="J75" s="88" t="str">
        <f>IFERROR(Resource_Rates_Table56[[#This Row],[Year 3 Hours]]/((IF(AND($D$4&gt;24,$D$4&lt;37),$D$4-24,IF($D$4&gt;36,12,"N/A")))*IF(VLOOKUP(Resource_Rates_Table56[[#This Row],[Resource Title]],'Resource Descriptions'!$D$6:$J$112,7,FALSE)="Onshore",$F$4,$F$5)),"N/A")</f>
        <v>N/A</v>
      </c>
      <c r="K75" s="88">
        <f t="shared" si="7"/>
        <v>0</v>
      </c>
      <c r="L75" s="88" t="str">
        <f>IFERROR(Resource_Rates_Table56[[#This Row],[Year 4 Hours]]/((IF(AND($D$4&gt;36,$D$4&lt;49),$D$4-36,IF($D$4&gt;48,12,"N/A")))*IF(VLOOKUP(Resource_Rates_Table56[[#This Row],[Resource Title]],'Resource Descriptions'!$D$6:$J$112,7,FALSE)="Onshore",$F$4,$F$5)),"N/A")</f>
        <v>N/A</v>
      </c>
      <c r="M75" s="88">
        <f t="shared" si="8"/>
        <v>0</v>
      </c>
      <c r="N75" s="88" t="str">
        <f>IFERROR(Resource_Rates_Table56[[#This Row],[Year 5 Hours]]/((IF(AND($D$4&gt;48,$D$4&lt;61),$D$4-48,IF($D$4&gt;60,12,"N/A")))*IF(VLOOKUP(Resource_Rates_Table56[[#This Row],[Resource Title]],'Resource Descriptions'!$D$6:$J$112,7,FALSE)="Onshore",$F$4,$F$5)),"N/A")</f>
        <v>N/A</v>
      </c>
      <c r="O75" s="89">
        <v>0</v>
      </c>
      <c r="P75" s="89">
        <v>0</v>
      </c>
      <c r="Q75" s="89">
        <v>0</v>
      </c>
      <c r="R75" s="89">
        <v>0</v>
      </c>
      <c r="S75" s="89">
        <v>0</v>
      </c>
      <c r="T75" s="89">
        <v>0</v>
      </c>
      <c r="U75" s="89">
        <v>0</v>
      </c>
      <c r="V75" s="89">
        <v>0</v>
      </c>
      <c r="W75" s="89">
        <v>0</v>
      </c>
      <c r="X75" s="89">
        <v>0</v>
      </c>
      <c r="Y75" s="89">
        <v>0</v>
      </c>
      <c r="Z75" s="89">
        <v>0</v>
      </c>
      <c r="AA75" s="89">
        <v>0</v>
      </c>
      <c r="AB75" s="89">
        <v>0</v>
      </c>
      <c r="AC75" s="89">
        <v>0</v>
      </c>
      <c r="AD75" s="89">
        <v>0</v>
      </c>
      <c r="AE75" s="89">
        <v>0</v>
      </c>
      <c r="AF75" s="89">
        <v>0</v>
      </c>
      <c r="AG75" s="89">
        <v>0</v>
      </c>
      <c r="AH75" s="89">
        <v>0</v>
      </c>
      <c r="AI75" s="89">
        <v>0</v>
      </c>
      <c r="AJ75" s="89">
        <v>0</v>
      </c>
      <c r="AK75" s="89">
        <v>0</v>
      </c>
      <c r="AL75" s="89">
        <v>0</v>
      </c>
      <c r="AM75" s="89">
        <v>0</v>
      </c>
      <c r="AN75" s="89">
        <v>0</v>
      </c>
      <c r="AO75" s="89">
        <v>0</v>
      </c>
      <c r="AP75" s="89">
        <v>0</v>
      </c>
      <c r="AQ75" s="89">
        <v>0</v>
      </c>
      <c r="AR75" s="89">
        <v>0</v>
      </c>
      <c r="AS75" s="89">
        <v>0</v>
      </c>
      <c r="AT75" s="89">
        <v>0</v>
      </c>
      <c r="AU75" s="89">
        <v>0</v>
      </c>
      <c r="AV75" s="89">
        <v>0</v>
      </c>
      <c r="AW75" s="89">
        <v>0</v>
      </c>
      <c r="AX75" s="89">
        <v>0</v>
      </c>
      <c r="AY75" s="89">
        <v>0</v>
      </c>
      <c r="AZ75" s="89">
        <v>0</v>
      </c>
      <c r="BA75" s="89">
        <v>0</v>
      </c>
      <c r="BB75" s="89">
        <v>0</v>
      </c>
      <c r="BC75" s="89">
        <v>0</v>
      </c>
      <c r="BD75" s="89">
        <v>0</v>
      </c>
      <c r="BE75" s="89">
        <v>0</v>
      </c>
      <c r="BF75" s="89">
        <v>0</v>
      </c>
      <c r="BG75" s="89">
        <v>0</v>
      </c>
      <c r="BH75" s="89">
        <v>0</v>
      </c>
      <c r="BI75" s="89">
        <v>0</v>
      </c>
      <c r="BJ75" s="89">
        <v>0</v>
      </c>
      <c r="BK75" s="89">
        <v>0</v>
      </c>
      <c r="BL75" s="89">
        <v>0</v>
      </c>
      <c r="BM75" s="89">
        <v>0</v>
      </c>
      <c r="BN75" s="89">
        <v>0</v>
      </c>
      <c r="BO75" s="89">
        <v>0</v>
      </c>
      <c r="BP75" s="89">
        <v>0</v>
      </c>
      <c r="BQ75" s="89">
        <v>0</v>
      </c>
      <c r="BR75" s="89">
        <v>0</v>
      </c>
      <c r="BS75" s="89">
        <v>0</v>
      </c>
      <c r="BT75" s="89">
        <v>0</v>
      </c>
      <c r="BU75" s="89">
        <v>0</v>
      </c>
      <c r="BV75" s="89">
        <v>0</v>
      </c>
    </row>
    <row r="76" spans="2:74" ht="15" customHeight="1">
      <c r="B76" s="86" t="s">
        <v>151</v>
      </c>
      <c r="C76" s="23" t="s">
        <v>177</v>
      </c>
      <c r="D76" s="87">
        <f>SUM(Resource_Rates_Table56[[#This Row],[Year 1 Hours]],Resource_Rates_Table56[[#This Row],[Year 2 Hours]],Resource_Rates_Table56[[#This Row],[Year 3 Hours]],Resource_Rates_Table56[[#This Row],[Year 4 Hours]],Resource_Rates_Table56[[#This Row],[Year 5 Hours]])</f>
        <v>0</v>
      </c>
      <c r="E76" s="88">
        <f t="shared" si="5"/>
        <v>0</v>
      </c>
      <c r="F7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6" s="88">
        <f t="shared" si="9"/>
        <v>0</v>
      </c>
      <c r="H76" s="88" t="str">
        <f>IFERROR(Resource_Rates_Table56[[#This Row],[Year 2 Hours]]/((IF(AND($D$4&gt;12,$D$4&lt;25),$D$4-12,IF($D$4&gt;24,12,"N/A")))*IF(VLOOKUP(Resource_Rates_Table56[[#This Row],[Resource Title]],'Resource Descriptions'!$D$6:$J$112,7,FALSE)="Onshore",$F$4,$F$5)),"N/A")</f>
        <v>N/A</v>
      </c>
      <c r="I76" s="88">
        <f t="shared" si="6"/>
        <v>0</v>
      </c>
      <c r="J76" s="88" t="str">
        <f>IFERROR(Resource_Rates_Table56[[#This Row],[Year 3 Hours]]/((IF(AND($D$4&gt;24,$D$4&lt;37),$D$4-24,IF($D$4&gt;36,12,"N/A")))*IF(VLOOKUP(Resource_Rates_Table56[[#This Row],[Resource Title]],'Resource Descriptions'!$D$6:$J$112,7,FALSE)="Onshore",$F$4,$F$5)),"N/A")</f>
        <v>N/A</v>
      </c>
      <c r="K76" s="88">
        <f t="shared" si="7"/>
        <v>0</v>
      </c>
      <c r="L76" s="88" t="str">
        <f>IFERROR(Resource_Rates_Table56[[#This Row],[Year 4 Hours]]/((IF(AND($D$4&gt;36,$D$4&lt;49),$D$4-36,IF($D$4&gt;48,12,"N/A")))*IF(VLOOKUP(Resource_Rates_Table56[[#This Row],[Resource Title]],'Resource Descriptions'!$D$6:$J$112,7,FALSE)="Onshore",$F$4,$F$5)),"N/A")</f>
        <v>N/A</v>
      </c>
      <c r="M76" s="88">
        <f t="shared" si="8"/>
        <v>0</v>
      </c>
      <c r="N76" s="88" t="str">
        <f>IFERROR(Resource_Rates_Table56[[#This Row],[Year 5 Hours]]/((IF(AND($D$4&gt;48,$D$4&lt;61),$D$4-48,IF($D$4&gt;60,12,"N/A")))*IF(VLOOKUP(Resource_Rates_Table56[[#This Row],[Resource Title]],'Resource Descriptions'!$D$6:$J$112,7,FALSE)="Onshore",$F$4,$F$5)),"N/A")</f>
        <v>N/A</v>
      </c>
      <c r="O76" s="89">
        <v>0</v>
      </c>
      <c r="P76" s="89">
        <v>0</v>
      </c>
      <c r="Q76" s="89">
        <v>0</v>
      </c>
      <c r="R76" s="89">
        <v>0</v>
      </c>
      <c r="S76" s="89">
        <v>0</v>
      </c>
      <c r="T76" s="89">
        <v>0</v>
      </c>
      <c r="U76" s="89">
        <v>0</v>
      </c>
      <c r="V76" s="89">
        <v>0</v>
      </c>
      <c r="W76" s="89">
        <v>0</v>
      </c>
      <c r="X76" s="89">
        <v>0</v>
      </c>
      <c r="Y76" s="89">
        <v>0</v>
      </c>
      <c r="Z76" s="89">
        <v>0</v>
      </c>
      <c r="AA76" s="89">
        <v>0</v>
      </c>
      <c r="AB76" s="89">
        <v>0</v>
      </c>
      <c r="AC76" s="89">
        <v>0</v>
      </c>
      <c r="AD76" s="89">
        <v>0</v>
      </c>
      <c r="AE76" s="89">
        <v>0</v>
      </c>
      <c r="AF76" s="89">
        <v>0</v>
      </c>
      <c r="AG76" s="89">
        <v>0</v>
      </c>
      <c r="AH76" s="89">
        <v>0</v>
      </c>
      <c r="AI76" s="89">
        <v>0</v>
      </c>
      <c r="AJ76" s="89">
        <v>0</v>
      </c>
      <c r="AK76" s="89">
        <v>0</v>
      </c>
      <c r="AL76" s="89">
        <v>0</v>
      </c>
      <c r="AM76" s="89">
        <v>0</v>
      </c>
      <c r="AN76" s="89">
        <v>0</v>
      </c>
      <c r="AO76" s="89">
        <v>0</v>
      </c>
      <c r="AP76" s="89">
        <v>0</v>
      </c>
      <c r="AQ76" s="89">
        <v>0</v>
      </c>
      <c r="AR76" s="89">
        <v>0</v>
      </c>
      <c r="AS76" s="89">
        <v>0</v>
      </c>
      <c r="AT76" s="89">
        <v>0</v>
      </c>
      <c r="AU76" s="89">
        <v>0</v>
      </c>
      <c r="AV76" s="89">
        <v>0</v>
      </c>
      <c r="AW76" s="89">
        <v>0</v>
      </c>
      <c r="AX76" s="89">
        <v>0</v>
      </c>
      <c r="AY76" s="89">
        <v>0</v>
      </c>
      <c r="AZ76" s="89">
        <v>0</v>
      </c>
      <c r="BA76" s="89">
        <v>0</v>
      </c>
      <c r="BB76" s="89">
        <v>0</v>
      </c>
      <c r="BC76" s="89">
        <v>0</v>
      </c>
      <c r="BD76" s="89">
        <v>0</v>
      </c>
      <c r="BE76" s="89">
        <v>0</v>
      </c>
      <c r="BF76" s="89">
        <v>0</v>
      </c>
      <c r="BG76" s="89">
        <v>0</v>
      </c>
      <c r="BH76" s="89">
        <v>0</v>
      </c>
      <c r="BI76" s="89">
        <v>0</v>
      </c>
      <c r="BJ76" s="89">
        <v>0</v>
      </c>
      <c r="BK76" s="89">
        <v>0</v>
      </c>
      <c r="BL76" s="89">
        <v>0</v>
      </c>
      <c r="BM76" s="89">
        <v>0</v>
      </c>
      <c r="BN76" s="89">
        <v>0</v>
      </c>
      <c r="BO76" s="89">
        <v>0</v>
      </c>
      <c r="BP76" s="89">
        <v>0</v>
      </c>
      <c r="BQ76" s="89">
        <v>0</v>
      </c>
      <c r="BR76" s="89">
        <v>0</v>
      </c>
      <c r="BS76" s="89">
        <v>0</v>
      </c>
      <c r="BT76" s="89">
        <v>0</v>
      </c>
      <c r="BU76" s="89">
        <v>0</v>
      </c>
      <c r="BV76" s="89">
        <v>0</v>
      </c>
    </row>
    <row r="77" spans="2:74" ht="15" customHeight="1">
      <c r="B77" s="86" t="s">
        <v>151</v>
      </c>
      <c r="C77" s="23" t="s">
        <v>178</v>
      </c>
      <c r="D77" s="87">
        <f>SUM(Resource_Rates_Table56[[#This Row],[Year 1 Hours]],Resource_Rates_Table56[[#This Row],[Year 2 Hours]],Resource_Rates_Table56[[#This Row],[Year 3 Hours]],Resource_Rates_Table56[[#This Row],[Year 4 Hours]],Resource_Rates_Table56[[#This Row],[Year 5 Hours]])</f>
        <v>0</v>
      </c>
      <c r="E77" s="88">
        <f t="shared" si="5"/>
        <v>0</v>
      </c>
      <c r="F7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7" s="88">
        <f t="shared" si="9"/>
        <v>0</v>
      </c>
      <c r="H77" s="88" t="str">
        <f>IFERROR(Resource_Rates_Table56[[#This Row],[Year 2 Hours]]/((IF(AND($D$4&gt;12,$D$4&lt;25),$D$4-12,IF($D$4&gt;24,12,"N/A")))*IF(VLOOKUP(Resource_Rates_Table56[[#This Row],[Resource Title]],'Resource Descriptions'!$D$6:$J$112,7,FALSE)="Onshore",$F$4,$F$5)),"N/A")</f>
        <v>N/A</v>
      </c>
      <c r="I77" s="88">
        <f t="shared" si="6"/>
        <v>0</v>
      </c>
      <c r="J77" s="88" t="str">
        <f>IFERROR(Resource_Rates_Table56[[#This Row],[Year 3 Hours]]/((IF(AND($D$4&gt;24,$D$4&lt;37),$D$4-24,IF($D$4&gt;36,12,"N/A")))*IF(VLOOKUP(Resource_Rates_Table56[[#This Row],[Resource Title]],'Resource Descriptions'!$D$6:$J$112,7,FALSE)="Onshore",$F$4,$F$5)),"N/A")</f>
        <v>N/A</v>
      </c>
      <c r="K77" s="88">
        <f t="shared" si="7"/>
        <v>0</v>
      </c>
      <c r="L77" s="88" t="str">
        <f>IFERROR(Resource_Rates_Table56[[#This Row],[Year 4 Hours]]/((IF(AND($D$4&gt;36,$D$4&lt;49),$D$4-36,IF($D$4&gt;48,12,"N/A")))*IF(VLOOKUP(Resource_Rates_Table56[[#This Row],[Resource Title]],'Resource Descriptions'!$D$6:$J$112,7,FALSE)="Onshore",$F$4,$F$5)),"N/A")</f>
        <v>N/A</v>
      </c>
      <c r="M77" s="88">
        <f t="shared" si="8"/>
        <v>0</v>
      </c>
      <c r="N77" s="88" t="str">
        <f>IFERROR(Resource_Rates_Table56[[#This Row],[Year 5 Hours]]/((IF(AND($D$4&gt;48,$D$4&lt;61),$D$4-48,IF($D$4&gt;60,12,"N/A")))*IF(VLOOKUP(Resource_Rates_Table56[[#This Row],[Resource Title]],'Resource Descriptions'!$D$6:$J$112,7,FALSE)="Onshore",$F$4,$F$5)),"N/A")</f>
        <v>N/A</v>
      </c>
      <c r="O77" s="89">
        <v>0</v>
      </c>
      <c r="P77" s="89">
        <v>0</v>
      </c>
      <c r="Q77" s="89">
        <v>0</v>
      </c>
      <c r="R77" s="89">
        <v>0</v>
      </c>
      <c r="S77" s="89">
        <v>0</v>
      </c>
      <c r="T77" s="89">
        <v>0</v>
      </c>
      <c r="U77" s="89">
        <v>0</v>
      </c>
      <c r="V77" s="89">
        <v>0</v>
      </c>
      <c r="W77" s="89">
        <v>0</v>
      </c>
      <c r="X77" s="89">
        <v>0</v>
      </c>
      <c r="Y77" s="89">
        <v>0</v>
      </c>
      <c r="Z77" s="89">
        <v>0</v>
      </c>
      <c r="AA77" s="89">
        <v>0</v>
      </c>
      <c r="AB77" s="89">
        <v>0</v>
      </c>
      <c r="AC77" s="89">
        <v>0</v>
      </c>
      <c r="AD77" s="89">
        <v>0</v>
      </c>
      <c r="AE77" s="89">
        <v>0</v>
      </c>
      <c r="AF77" s="89">
        <v>0</v>
      </c>
      <c r="AG77" s="89">
        <v>0</v>
      </c>
      <c r="AH77" s="89">
        <v>0</v>
      </c>
      <c r="AI77" s="89">
        <v>0</v>
      </c>
      <c r="AJ77" s="89">
        <v>0</v>
      </c>
      <c r="AK77" s="89">
        <v>0</v>
      </c>
      <c r="AL77" s="89">
        <v>0</v>
      </c>
      <c r="AM77" s="89">
        <v>0</v>
      </c>
      <c r="AN77" s="89">
        <v>0</v>
      </c>
      <c r="AO77" s="89">
        <v>0</v>
      </c>
      <c r="AP77" s="89">
        <v>0</v>
      </c>
      <c r="AQ77" s="89">
        <v>0</v>
      </c>
      <c r="AR77" s="89">
        <v>0</v>
      </c>
      <c r="AS77" s="89">
        <v>0</v>
      </c>
      <c r="AT77" s="89">
        <v>0</v>
      </c>
      <c r="AU77" s="89">
        <v>0</v>
      </c>
      <c r="AV77" s="89">
        <v>0</v>
      </c>
      <c r="AW77" s="89">
        <v>0</v>
      </c>
      <c r="AX77" s="89">
        <v>0</v>
      </c>
      <c r="AY77" s="89">
        <v>0</v>
      </c>
      <c r="AZ77" s="89">
        <v>0</v>
      </c>
      <c r="BA77" s="89">
        <v>0</v>
      </c>
      <c r="BB77" s="89">
        <v>0</v>
      </c>
      <c r="BC77" s="89">
        <v>0</v>
      </c>
      <c r="BD77" s="89">
        <v>0</v>
      </c>
      <c r="BE77" s="89">
        <v>0</v>
      </c>
      <c r="BF77" s="89">
        <v>0</v>
      </c>
      <c r="BG77" s="89">
        <v>0</v>
      </c>
      <c r="BH77" s="89">
        <v>0</v>
      </c>
      <c r="BI77" s="89">
        <v>0</v>
      </c>
      <c r="BJ77" s="89">
        <v>0</v>
      </c>
      <c r="BK77" s="89">
        <v>0</v>
      </c>
      <c r="BL77" s="89">
        <v>0</v>
      </c>
      <c r="BM77" s="89">
        <v>0</v>
      </c>
      <c r="BN77" s="89">
        <v>0</v>
      </c>
      <c r="BO77" s="89">
        <v>0</v>
      </c>
      <c r="BP77" s="89">
        <v>0</v>
      </c>
      <c r="BQ77" s="89">
        <v>0</v>
      </c>
      <c r="BR77" s="89">
        <v>0</v>
      </c>
      <c r="BS77" s="89">
        <v>0</v>
      </c>
      <c r="BT77" s="89">
        <v>0</v>
      </c>
      <c r="BU77" s="89">
        <v>0</v>
      </c>
      <c r="BV77" s="89">
        <v>0</v>
      </c>
    </row>
    <row r="78" spans="2:74" ht="15" customHeight="1">
      <c r="B78" s="86" t="s">
        <v>151</v>
      </c>
      <c r="C78" s="23" t="s">
        <v>179</v>
      </c>
      <c r="D78" s="87">
        <f>SUM(Resource_Rates_Table56[[#This Row],[Year 1 Hours]],Resource_Rates_Table56[[#This Row],[Year 2 Hours]],Resource_Rates_Table56[[#This Row],[Year 3 Hours]],Resource_Rates_Table56[[#This Row],[Year 4 Hours]],Resource_Rates_Table56[[#This Row],[Year 5 Hours]])</f>
        <v>0</v>
      </c>
      <c r="E78" s="88">
        <f t="shared" si="5"/>
        <v>0</v>
      </c>
      <c r="F7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8" s="88">
        <f t="shared" si="9"/>
        <v>0</v>
      </c>
      <c r="H78" s="88" t="str">
        <f>IFERROR(Resource_Rates_Table56[[#This Row],[Year 2 Hours]]/((IF(AND($D$4&gt;12,$D$4&lt;25),$D$4-12,IF($D$4&gt;24,12,"N/A")))*IF(VLOOKUP(Resource_Rates_Table56[[#This Row],[Resource Title]],'Resource Descriptions'!$D$6:$J$112,7,FALSE)="Onshore",$F$4,$F$5)),"N/A")</f>
        <v>N/A</v>
      </c>
      <c r="I78" s="88">
        <f t="shared" si="6"/>
        <v>0</v>
      </c>
      <c r="J78" s="88" t="str">
        <f>IFERROR(Resource_Rates_Table56[[#This Row],[Year 3 Hours]]/((IF(AND($D$4&gt;24,$D$4&lt;37),$D$4-24,IF($D$4&gt;36,12,"N/A")))*IF(VLOOKUP(Resource_Rates_Table56[[#This Row],[Resource Title]],'Resource Descriptions'!$D$6:$J$112,7,FALSE)="Onshore",$F$4,$F$5)),"N/A")</f>
        <v>N/A</v>
      </c>
      <c r="K78" s="88">
        <f t="shared" si="7"/>
        <v>0</v>
      </c>
      <c r="L78" s="88" t="str">
        <f>IFERROR(Resource_Rates_Table56[[#This Row],[Year 4 Hours]]/((IF(AND($D$4&gt;36,$D$4&lt;49),$D$4-36,IF($D$4&gt;48,12,"N/A")))*IF(VLOOKUP(Resource_Rates_Table56[[#This Row],[Resource Title]],'Resource Descriptions'!$D$6:$J$112,7,FALSE)="Onshore",$F$4,$F$5)),"N/A")</f>
        <v>N/A</v>
      </c>
      <c r="M78" s="88">
        <f t="shared" si="8"/>
        <v>0</v>
      </c>
      <c r="N78" s="88" t="str">
        <f>IFERROR(Resource_Rates_Table56[[#This Row],[Year 5 Hours]]/((IF(AND($D$4&gt;48,$D$4&lt;61),$D$4-48,IF($D$4&gt;60,12,"N/A")))*IF(VLOOKUP(Resource_Rates_Table56[[#This Row],[Resource Title]],'Resource Descriptions'!$D$6:$J$112,7,FALSE)="Onshore",$F$4,$F$5)),"N/A")</f>
        <v>N/A</v>
      </c>
      <c r="O78" s="89">
        <v>0</v>
      </c>
      <c r="P78" s="89">
        <v>0</v>
      </c>
      <c r="Q78" s="89">
        <v>0</v>
      </c>
      <c r="R78" s="89">
        <v>0</v>
      </c>
      <c r="S78" s="89">
        <v>0</v>
      </c>
      <c r="T78" s="89">
        <v>0</v>
      </c>
      <c r="U78" s="89">
        <v>0</v>
      </c>
      <c r="V78" s="89">
        <v>0</v>
      </c>
      <c r="W78" s="89">
        <v>0</v>
      </c>
      <c r="X78" s="89">
        <v>0</v>
      </c>
      <c r="Y78" s="89">
        <v>0</v>
      </c>
      <c r="Z78" s="89">
        <v>0</v>
      </c>
      <c r="AA78" s="89">
        <v>0</v>
      </c>
      <c r="AB78" s="89">
        <v>0</v>
      </c>
      <c r="AC78" s="89">
        <v>0</v>
      </c>
      <c r="AD78" s="89">
        <v>0</v>
      </c>
      <c r="AE78" s="89">
        <v>0</v>
      </c>
      <c r="AF78" s="89">
        <v>0</v>
      </c>
      <c r="AG78" s="89">
        <v>0</v>
      </c>
      <c r="AH78" s="89">
        <v>0</v>
      </c>
      <c r="AI78" s="89">
        <v>0</v>
      </c>
      <c r="AJ78" s="89">
        <v>0</v>
      </c>
      <c r="AK78" s="89">
        <v>0</v>
      </c>
      <c r="AL78" s="89">
        <v>0</v>
      </c>
      <c r="AM78" s="89">
        <v>0</v>
      </c>
      <c r="AN78" s="89">
        <v>0</v>
      </c>
      <c r="AO78" s="89">
        <v>0</v>
      </c>
      <c r="AP78" s="89">
        <v>0</v>
      </c>
      <c r="AQ78" s="89">
        <v>0</v>
      </c>
      <c r="AR78" s="89">
        <v>0</v>
      </c>
      <c r="AS78" s="89">
        <v>0</v>
      </c>
      <c r="AT78" s="89">
        <v>0</v>
      </c>
      <c r="AU78" s="89">
        <v>0</v>
      </c>
      <c r="AV78" s="89">
        <v>0</v>
      </c>
      <c r="AW78" s="89">
        <v>0</v>
      </c>
      <c r="AX78" s="89">
        <v>0</v>
      </c>
      <c r="AY78" s="89">
        <v>0</v>
      </c>
      <c r="AZ78" s="89">
        <v>0</v>
      </c>
      <c r="BA78" s="89">
        <v>0</v>
      </c>
      <c r="BB78" s="89">
        <v>0</v>
      </c>
      <c r="BC78" s="89">
        <v>0</v>
      </c>
      <c r="BD78" s="89">
        <v>0</v>
      </c>
      <c r="BE78" s="89">
        <v>0</v>
      </c>
      <c r="BF78" s="89">
        <v>0</v>
      </c>
      <c r="BG78" s="89">
        <v>0</v>
      </c>
      <c r="BH78" s="89">
        <v>0</v>
      </c>
      <c r="BI78" s="89">
        <v>0</v>
      </c>
      <c r="BJ78" s="89">
        <v>0</v>
      </c>
      <c r="BK78" s="89">
        <v>0</v>
      </c>
      <c r="BL78" s="89">
        <v>0</v>
      </c>
      <c r="BM78" s="89">
        <v>0</v>
      </c>
      <c r="BN78" s="89">
        <v>0</v>
      </c>
      <c r="BO78" s="89">
        <v>0</v>
      </c>
      <c r="BP78" s="89">
        <v>0</v>
      </c>
      <c r="BQ78" s="89">
        <v>0</v>
      </c>
      <c r="BR78" s="89">
        <v>0</v>
      </c>
      <c r="BS78" s="89">
        <v>0</v>
      </c>
      <c r="BT78" s="89">
        <v>0</v>
      </c>
      <c r="BU78" s="89">
        <v>0</v>
      </c>
      <c r="BV78" s="89">
        <v>0</v>
      </c>
    </row>
    <row r="79" spans="2:74" ht="15" customHeight="1">
      <c r="B79" s="86" t="s">
        <v>151</v>
      </c>
      <c r="C79" s="23" t="s">
        <v>180</v>
      </c>
      <c r="D79" s="87">
        <f>SUM(Resource_Rates_Table56[[#This Row],[Year 1 Hours]],Resource_Rates_Table56[[#This Row],[Year 2 Hours]],Resource_Rates_Table56[[#This Row],[Year 3 Hours]],Resource_Rates_Table56[[#This Row],[Year 4 Hours]],Resource_Rates_Table56[[#This Row],[Year 5 Hours]])</f>
        <v>0</v>
      </c>
      <c r="E79" s="88">
        <f t="shared" si="5"/>
        <v>0</v>
      </c>
      <c r="F7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9" s="88">
        <f t="shared" si="9"/>
        <v>0</v>
      </c>
      <c r="H79" s="88" t="str">
        <f>IFERROR(Resource_Rates_Table56[[#This Row],[Year 2 Hours]]/((IF(AND($D$4&gt;12,$D$4&lt;25),$D$4-12,IF($D$4&gt;24,12,"N/A")))*IF(VLOOKUP(Resource_Rates_Table56[[#This Row],[Resource Title]],'Resource Descriptions'!$D$6:$J$112,7,FALSE)="Onshore",$F$4,$F$5)),"N/A")</f>
        <v>N/A</v>
      </c>
      <c r="I79" s="88">
        <f t="shared" si="6"/>
        <v>0</v>
      </c>
      <c r="J79" s="88" t="str">
        <f>IFERROR(Resource_Rates_Table56[[#This Row],[Year 3 Hours]]/((IF(AND($D$4&gt;24,$D$4&lt;37),$D$4-24,IF($D$4&gt;36,12,"N/A")))*IF(VLOOKUP(Resource_Rates_Table56[[#This Row],[Resource Title]],'Resource Descriptions'!$D$6:$J$112,7,FALSE)="Onshore",$F$4,$F$5)),"N/A")</f>
        <v>N/A</v>
      </c>
      <c r="K79" s="88">
        <f t="shared" si="7"/>
        <v>0</v>
      </c>
      <c r="L79" s="88" t="str">
        <f>IFERROR(Resource_Rates_Table56[[#This Row],[Year 4 Hours]]/((IF(AND($D$4&gt;36,$D$4&lt;49),$D$4-36,IF($D$4&gt;48,12,"N/A")))*IF(VLOOKUP(Resource_Rates_Table56[[#This Row],[Resource Title]],'Resource Descriptions'!$D$6:$J$112,7,FALSE)="Onshore",$F$4,$F$5)),"N/A")</f>
        <v>N/A</v>
      </c>
      <c r="M79" s="88">
        <f t="shared" si="8"/>
        <v>0</v>
      </c>
      <c r="N79" s="88" t="str">
        <f>IFERROR(Resource_Rates_Table56[[#This Row],[Year 5 Hours]]/((IF(AND($D$4&gt;48,$D$4&lt;61),$D$4-48,IF($D$4&gt;60,12,"N/A")))*IF(VLOOKUP(Resource_Rates_Table56[[#This Row],[Resource Title]],'Resource Descriptions'!$D$6:$J$112,7,FALSE)="Onshore",$F$4,$F$5)),"N/A")</f>
        <v>N/A</v>
      </c>
      <c r="O79" s="89">
        <v>0</v>
      </c>
      <c r="P79" s="89">
        <v>0</v>
      </c>
      <c r="Q79" s="89">
        <v>0</v>
      </c>
      <c r="R79" s="89">
        <v>0</v>
      </c>
      <c r="S79" s="89">
        <v>0</v>
      </c>
      <c r="T79" s="89">
        <v>0</v>
      </c>
      <c r="U79" s="89">
        <v>0</v>
      </c>
      <c r="V79" s="89">
        <v>0</v>
      </c>
      <c r="W79" s="89">
        <v>0</v>
      </c>
      <c r="X79" s="89">
        <v>0</v>
      </c>
      <c r="Y79" s="89">
        <v>0</v>
      </c>
      <c r="Z79" s="89">
        <v>0</v>
      </c>
      <c r="AA79" s="89">
        <v>0</v>
      </c>
      <c r="AB79" s="89">
        <v>0</v>
      </c>
      <c r="AC79" s="89">
        <v>0</v>
      </c>
      <c r="AD79" s="89">
        <v>0</v>
      </c>
      <c r="AE79" s="89">
        <v>0</v>
      </c>
      <c r="AF79" s="89">
        <v>0</v>
      </c>
      <c r="AG79" s="89">
        <v>0</v>
      </c>
      <c r="AH79" s="89">
        <v>0</v>
      </c>
      <c r="AI79" s="89">
        <v>0</v>
      </c>
      <c r="AJ79" s="89">
        <v>0</v>
      </c>
      <c r="AK79" s="89">
        <v>0</v>
      </c>
      <c r="AL79" s="89">
        <v>0</v>
      </c>
      <c r="AM79" s="89">
        <v>0</v>
      </c>
      <c r="AN79" s="89">
        <v>0</v>
      </c>
      <c r="AO79" s="89">
        <v>0</v>
      </c>
      <c r="AP79" s="89">
        <v>0</v>
      </c>
      <c r="AQ79" s="89">
        <v>0</v>
      </c>
      <c r="AR79" s="89">
        <v>0</v>
      </c>
      <c r="AS79" s="89">
        <v>0</v>
      </c>
      <c r="AT79" s="89">
        <v>0</v>
      </c>
      <c r="AU79" s="89">
        <v>0</v>
      </c>
      <c r="AV79" s="89">
        <v>0</v>
      </c>
      <c r="AW79" s="89">
        <v>0</v>
      </c>
      <c r="AX79" s="89">
        <v>0</v>
      </c>
      <c r="AY79" s="89">
        <v>0</v>
      </c>
      <c r="AZ79" s="89">
        <v>0</v>
      </c>
      <c r="BA79" s="89">
        <v>0</v>
      </c>
      <c r="BB79" s="89">
        <v>0</v>
      </c>
      <c r="BC79" s="89">
        <v>0</v>
      </c>
      <c r="BD79" s="89">
        <v>0</v>
      </c>
      <c r="BE79" s="89">
        <v>0</v>
      </c>
      <c r="BF79" s="89">
        <v>0</v>
      </c>
      <c r="BG79" s="89">
        <v>0</v>
      </c>
      <c r="BH79" s="89">
        <v>0</v>
      </c>
      <c r="BI79" s="89">
        <v>0</v>
      </c>
      <c r="BJ79" s="89">
        <v>0</v>
      </c>
      <c r="BK79" s="89">
        <v>0</v>
      </c>
      <c r="BL79" s="89">
        <v>0</v>
      </c>
      <c r="BM79" s="89">
        <v>0</v>
      </c>
      <c r="BN79" s="89">
        <v>0</v>
      </c>
      <c r="BO79" s="89">
        <v>0</v>
      </c>
      <c r="BP79" s="89">
        <v>0</v>
      </c>
      <c r="BQ79" s="89">
        <v>0</v>
      </c>
      <c r="BR79" s="89">
        <v>0</v>
      </c>
      <c r="BS79" s="89">
        <v>0</v>
      </c>
      <c r="BT79" s="89">
        <v>0</v>
      </c>
      <c r="BU79" s="89">
        <v>0</v>
      </c>
      <c r="BV79" s="89">
        <v>0</v>
      </c>
    </row>
    <row r="80" spans="2:74" ht="15" customHeight="1">
      <c r="B80" s="86" t="s">
        <v>151</v>
      </c>
      <c r="C80" s="23" t="s">
        <v>181</v>
      </c>
      <c r="D80" s="87">
        <f>SUM(Resource_Rates_Table56[[#This Row],[Year 1 Hours]],Resource_Rates_Table56[[#This Row],[Year 2 Hours]],Resource_Rates_Table56[[#This Row],[Year 3 Hours]],Resource_Rates_Table56[[#This Row],[Year 4 Hours]],Resource_Rates_Table56[[#This Row],[Year 5 Hours]])</f>
        <v>0</v>
      </c>
      <c r="E80" s="88">
        <f t="shared" si="5"/>
        <v>0</v>
      </c>
      <c r="F8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0" s="88">
        <f t="shared" si="9"/>
        <v>0</v>
      </c>
      <c r="H80" s="88" t="str">
        <f>IFERROR(Resource_Rates_Table56[[#This Row],[Year 2 Hours]]/((IF(AND($D$4&gt;12,$D$4&lt;25),$D$4-12,IF($D$4&gt;24,12,"N/A")))*IF(VLOOKUP(Resource_Rates_Table56[[#This Row],[Resource Title]],'Resource Descriptions'!$D$6:$J$112,7,FALSE)="Onshore",$F$4,$F$5)),"N/A")</f>
        <v>N/A</v>
      </c>
      <c r="I80" s="88">
        <f t="shared" si="6"/>
        <v>0</v>
      </c>
      <c r="J80" s="88" t="str">
        <f>IFERROR(Resource_Rates_Table56[[#This Row],[Year 3 Hours]]/((IF(AND($D$4&gt;24,$D$4&lt;37),$D$4-24,IF($D$4&gt;36,12,"N/A")))*IF(VLOOKUP(Resource_Rates_Table56[[#This Row],[Resource Title]],'Resource Descriptions'!$D$6:$J$112,7,FALSE)="Onshore",$F$4,$F$5)),"N/A")</f>
        <v>N/A</v>
      </c>
      <c r="K80" s="88">
        <f t="shared" si="7"/>
        <v>0</v>
      </c>
      <c r="L80" s="88" t="str">
        <f>IFERROR(Resource_Rates_Table56[[#This Row],[Year 4 Hours]]/((IF(AND($D$4&gt;36,$D$4&lt;49),$D$4-36,IF($D$4&gt;48,12,"N/A")))*IF(VLOOKUP(Resource_Rates_Table56[[#This Row],[Resource Title]],'Resource Descriptions'!$D$6:$J$112,7,FALSE)="Onshore",$F$4,$F$5)),"N/A")</f>
        <v>N/A</v>
      </c>
      <c r="M80" s="88">
        <f t="shared" si="8"/>
        <v>0</v>
      </c>
      <c r="N80" s="88" t="str">
        <f>IFERROR(Resource_Rates_Table56[[#This Row],[Year 5 Hours]]/((IF(AND($D$4&gt;48,$D$4&lt;61),$D$4-48,IF($D$4&gt;60,12,"N/A")))*IF(VLOOKUP(Resource_Rates_Table56[[#This Row],[Resource Title]],'Resource Descriptions'!$D$6:$J$112,7,FALSE)="Onshore",$F$4,$F$5)),"N/A")</f>
        <v>N/A</v>
      </c>
      <c r="O80" s="89">
        <v>0</v>
      </c>
      <c r="P80" s="89">
        <v>0</v>
      </c>
      <c r="Q80" s="89">
        <v>0</v>
      </c>
      <c r="R80" s="89">
        <v>0</v>
      </c>
      <c r="S80" s="89">
        <v>0</v>
      </c>
      <c r="T80" s="89">
        <v>0</v>
      </c>
      <c r="U80" s="89">
        <v>0</v>
      </c>
      <c r="V80" s="89">
        <v>0</v>
      </c>
      <c r="W80" s="89">
        <v>0</v>
      </c>
      <c r="X80" s="89">
        <v>0</v>
      </c>
      <c r="Y80" s="89">
        <v>0</v>
      </c>
      <c r="Z80" s="89">
        <v>0</v>
      </c>
      <c r="AA80" s="89">
        <v>0</v>
      </c>
      <c r="AB80" s="89">
        <v>0</v>
      </c>
      <c r="AC80" s="89">
        <v>0</v>
      </c>
      <c r="AD80" s="89">
        <v>0</v>
      </c>
      <c r="AE80" s="89">
        <v>0</v>
      </c>
      <c r="AF80" s="89">
        <v>0</v>
      </c>
      <c r="AG80" s="89">
        <v>0</v>
      </c>
      <c r="AH80" s="89">
        <v>0</v>
      </c>
      <c r="AI80" s="89">
        <v>0</v>
      </c>
      <c r="AJ80" s="89">
        <v>0</v>
      </c>
      <c r="AK80" s="89">
        <v>0</v>
      </c>
      <c r="AL80" s="89">
        <v>0</v>
      </c>
      <c r="AM80" s="89">
        <v>0</v>
      </c>
      <c r="AN80" s="89">
        <v>0</v>
      </c>
      <c r="AO80" s="89">
        <v>0</v>
      </c>
      <c r="AP80" s="89">
        <v>0</v>
      </c>
      <c r="AQ80" s="89">
        <v>0</v>
      </c>
      <c r="AR80" s="89">
        <v>0</v>
      </c>
      <c r="AS80" s="89">
        <v>0</v>
      </c>
      <c r="AT80" s="89">
        <v>0</v>
      </c>
      <c r="AU80" s="89">
        <v>0</v>
      </c>
      <c r="AV80" s="89">
        <v>0</v>
      </c>
      <c r="AW80" s="89">
        <v>0</v>
      </c>
      <c r="AX80" s="89">
        <v>0</v>
      </c>
      <c r="AY80" s="89">
        <v>0</v>
      </c>
      <c r="AZ80" s="89">
        <v>0</v>
      </c>
      <c r="BA80" s="89">
        <v>0</v>
      </c>
      <c r="BB80" s="89">
        <v>0</v>
      </c>
      <c r="BC80" s="89">
        <v>0</v>
      </c>
      <c r="BD80" s="89">
        <v>0</v>
      </c>
      <c r="BE80" s="89">
        <v>0</v>
      </c>
      <c r="BF80" s="89">
        <v>0</v>
      </c>
      <c r="BG80" s="89">
        <v>0</v>
      </c>
      <c r="BH80" s="89">
        <v>0</v>
      </c>
      <c r="BI80" s="89">
        <v>0</v>
      </c>
      <c r="BJ80" s="89">
        <v>0</v>
      </c>
      <c r="BK80" s="89">
        <v>0</v>
      </c>
      <c r="BL80" s="89">
        <v>0</v>
      </c>
      <c r="BM80" s="89">
        <v>0</v>
      </c>
      <c r="BN80" s="89">
        <v>0</v>
      </c>
      <c r="BO80" s="89">
        <v>0</v>
      </c>
      <c r="BP80" s="89">
        <v>0</v>
      </c>
      <c r="BQ80" s="89">
        <v>0</v>
      </c>
      <c r="BR80" s="89">
        <v>0</v>
      </c>
      <c r="BS80" s="89">
        <v>0</v>
      </c>
      <c r="BT80" s="89">
        <v>0</v>
      </c>
      <c r="BU80" s="89">
        <v>0</v>
      </c>
      <c r="BV80" s="89">
        <v>0</v>
      </c>
    </row>
    <row r="81" spans="2:74" ht="15" customHeight="1">
      <c r="B81" s="86" t="s">
        <v>151</v>
      </c>
      <c r="C81" s="23" t="s">
        <v>182</v>
      </c>
      <c r="D81" s="87">
        <f>SUM(Resource_Rates_Table56[[#This Row],[Year 1 Hours]],Resource_Rates_Table56[[#This Row],[Year 2 Hours]],Resource_Rates_Table56[[#This Row],[Year 3 Hours]],Resource_Rates_Table56[[#This Row],[Year 4 Hours]],Resource_Rates_Table56[[#This Row],[Year 5 Hours]])</f>
        <v>0</v>
      </c>
      <c r="E81" s="88">
        <f t="shared" si="5"/>
        <v>0</v>
      </c>
      <c r="F8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1" s="88">
        <f t="shared" si="9"/>
        <v>0</v>
      </c>
      <c r="H81" s="88" t="str">
        <f>IFERROR(Resource_Rates_Table56[[#This Row],[Year 2 Hours]]/((IF(AND($D$4&gt;12,$D$4&lt;25),$D$4-12,IF($D$4&gt;24,12,"N/A")))*IF(VLOOKUP(Resource_Rates_Table56[[#This Row],[Resource Title]],'Resource Descriptions'!$D$6:$J$112,7,FALSE)="Onshore",$F$4,$F$5)),"N/A")</f>
        <v>N/A</v>
      </c>
      <c r="I81" s="88">
        <f t="shared" si="6"/>
        <v>0</v>
      </c>
      <c r="J81" s="88" t="str">
        <f>IFERROR(Resource_Rates_Table56[[#This Row],[Year 3 Hours]]/((IF(AND($D$4&gt;24,$D$4&lt;37),$D$4-24,IF($D$4&gt;36,12,"N/A")))*IF(VLOOKUP(Resource_Rates_Table56[[#This Row],[Resource Title]],'Resource Descriptions'!$D$6:$J$112,7,FALSE)="Onshore",$F$4,$F$5)),"N/A")</f>
        <v>N/A</v>
      </c>
      <c r="K81" s="88">
        <f t="shared" si="7"/>
        <v>0</v>
      </c>
      <c r="L81" s="88" t="str">
        <f>IFERROR(Resource_Rates_Table56[[#This Row],[Year 4 Hours]]/((IF(AND($D$4&gt;36,$D$4&lt;49),$D$4-36,IF($D$4&gt;48,12,"N/A")))*IF(VLOOKUP(Resource_Rates_Table56[[#This Row],[Resource Title]],'Resource Descriptions'!$D$6:$J$112,7,FALSE)="Onshore",$F$4,$F$5)),"N/A")</f>
        <v>N/A</v>
      </c>
      <c r="M81" s="88">
        <f t="shared" si="8"/>
        <v>0</v>
      </c>
      <c r="N81" s="88" t="str">
        <f>IFERROR(Resource_Rates_Table56[[#This Row],[Year 5 Hours]]/((IF(AND($D$4&gt;48,$D$4&lt;61),$D$4-48,IF($D$4&gt;60,12,"N/A")))*IF(VLOOKUP(Resource_Rates_Table56[[#This Row],[Resource Title]],'Resource Descriptions'!$D$6:$J$112,7,FALSE)="Onshore",$F$4,$F$5)),"N/A")</f>
        <v>N/A</v>
      </c>
      <c r="O81" s="89">
        <v>0</v>
      </c>
      <c r="P81" s="89">
        <v>0</v>
      </c>
      <c r="Q81" s="89">
        <v>0</v>
      </c>
      <c r="R81" s="89">
        <v>0</v>
      </c>
      <c r="S81" s="89">
        <v>0</v>
      </c>
      <c r="T81" s="89">
        <v>0</v>
      </c>
      <c r="U81" s="89">
        <v>0</v>
      </c>
      <c r="V81" s="89">
        <v>0</v>
      </c>
      <c r="W81" s="89">
        <v>0</v>
      </c>
      <c r="X81" s="89">
        <v>0</v>
      </c>
      <c r="Y81" s="89">
        <v>0</v>
      </c>
      <c r="Z81" s="89">
        <v>0</v>
      </c>
      <c r="AA81" s="89">
        <v>0</v>
      </c>
      <c r="AB81" s="89">
        <v>0</v>
      </c>
      <c r="AC81" s="89">
        <v>0</v>
      </c>
      <c r="AD81" s="89">
        <v>0</v>
      </c>
      <c r="AE81" s="89">
        <v>0</v>
      </c>
      <c r="AF81" s="89">
        <v>0</v>
      </c>
      <c r="AG81" s="89">
        <v>0</v>
      </c>
      <c r="AH81" s="89">
        <v>0</v>
      </c>
      <c r="AI81" s="89">
        <v>0</v>
      </c>
      <c r="AJ81" s="89">
        <v>0</v>
      </c>
      <c r="AK81" s="89">
        <v>0</v>
      </c>
      <c r="AL81" s="89">
        <v>0</v>
      </c>
      <c r="AM81" s="89">
        <v>0</v>
      </c>
      <c r="AN81" s="89">
        <v>0</v>
      </c>
      <c r="AO81" s="89">
        <v>0</v>
      </c>
      <c r="AP81" s="89">
        <v>0</v>
      </c>
      <c r="AQ81" s="89">
        <v>0</v>
      </c>
      <c r="AR81" s="89">
        <v>0</v>
      </c>
      <c r="AS81" s="89">
        <v>0</v>
      </c>
      <c r="AT81" s="89">
        <v>0</v>
      </c>
      <c r="AU81" s="89">
        <v>0</v>
      </c>
      <c r="AV81" s="89">
        <v>0</v>
      </c>
      <c r="AW81" s="89">
        <v>0</v>
      </c>
      <c r="AX81" s="89">
        <v>0</v>
      </c>
      <c r="AY81" s="89">
        <v>0</v>
      </c>
      <c r="AZ81" s="89">
        <v>0</v>
      </c>
      <c r="BA81" s="89">
        <v>0</v>
      </c>
      <c r="BB81" s="89">
        <v>0</v>
      </c>
      <c r="BC81" s="89">
        <v>0</v>
      </c>
      <c r="BD81" s="89">
        <v>0</v>
      </c>
      <c r="BE81" s="89">
        <v>0</v>
      </c>
      <c r="BF81" s="89">
        <v>0</v>
      </c>
      <c r="BG81" s="89">
        <v>0</v>
      </c>
      <c r="BH81" s="89">
        <v>0</v>
      </c>
      <c r="BI81" s="89">
        <v>0</v>
      </c>
      <c r="BJ81" s="89">
        <v>0</v>
      </c>
      <c r="BK81" s="89">
        <v>0</v>
      </c>
      <c r="BL81" s="89">
        <v>0</v>
      </c>
      <c r="BM81" s="89">
        <v>0</v>
      </c>
      <c r="BN81" s="89">
        <v>0</v>
      </c>
      <c r="BO81" s="89">
        <v>0</v>
      </c>
      <c r="BP81" s="89">
        <v>0</v>
      </c>
      <c r="BQ81" s="89">
        <v>0</v>
      </c>
      <c r="BR81" s="89">
        <v>0</v>
      </c>
      <c r="BS81" s="89">
        <v>0</v>
      </c>
      <c r="BT81" s="89">
        <v>0</v>
      </c>
      <c r="BU81" s="89">
        <v>0</v>
      </c>
      <c r="BV81" s="89">
        <v>0</v>
      </c>
    </row>
    <row r="82" spans="2:74" ht="15" customHeight="1">
      <c r="B82" s="86" t="s">
        <v>151</v>
      </c>
      <c r="C82" s="23" t="s">
        <v>183</v>
      </c>
      <c r="D82" s="87">
        <f>SUM(Resource_Rates_Table56[[#This Row],[Year 1 Hours]],Resource_Rates_Table56[[#This Row],[Year 2 Hours]],Resource_Rates_Table56[[#This Row],[Year 3 Hours]],Resource_Rates_Table56[[#This Row],[Year 4 Hours]],Resource_Rates_Table56[[#This Row],[Year 5 Hours]])</f>
        <v>0</v>
      </c>
      <c r="E82" s="88">
        <f t="shared" si="5"/>
        <v>0</v>
      </c>
      <c r="F8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2" s="88">
        <f t="shared" si="9"/>
        <v>0</v>
      </c>
      <c r="H82" s="88" t="str">
        <f>IFERROR(Resource_Rates_Table56[[#This Row],[Year 2 Hours]]/((IF(AND($D$4&gt;12,$D$4&lt;25),$D$4-12,IF($D$4&gt;24,12,"N/A")))*IF(VLOOKUP(Resource_Rates_Table56[[#This Row],[Resource Title]],'Resource Descriptions'!$D$6:$J$112,7,FALSE)="Onshore",$F$4,$F$5)),"N/A")</f>
        <v>N/A</v>
      </c>
      <c r="I82" s="88">
        <f t="shared" si="6"/>
        <v>0</v>
      </c>
      <c r="J82" s="88" t="str">
        <f>IFERROR(Resource_Rates_Table56[[#This Row],[Year 3 Hours]]/((IF(AND($D$4&gt;24,$D$4&lt;37),$D$4-24,IF($D$4&gt;36,12,"N/A")))*IF(VLOOKUP(Resource_Rates_Table56[[#This Row],[Resource Title]],'Resource Descriptions'!$D$6:$J$112,7,FALSE)="Onshore",$F$4,$F$5)),"N/A")</f>
        <v>N/A</v>
      </c>
      <c r="K82" s="88">
        <f t="shared" si="7"/>
        <v>0</v>
      </c>
      <c r="L82" s="88" t="str">
        <f>IFERROR(Resource_Rates_Table56[[#This Row],[Year 4 Hours]]/((IF(AND($D$4&gt;36,$D$4&lt;49),$D$4-36,IF($D$4&gt;48,12,"N/A")))*IF(VLOOKUP(Resource_Rates_Table56[[#This Row],[Resource Title]],'Resource Descriptions'!$D$6:$J$112,7,FALSE)="Onshore",$F$4,$F$5)),"N/A")</f>
        <v>N/A</v>
      </c>
      <c r="M82" s="88">
        <f t="shared" si="8"/>
        <v>0</v>
      </c>
      <c r="N82" s="88" t="str">
        <f>IFERROR(Resource_Rates_Table56[[#This Row],[Year 5 Hours]]/((IF(AND($D$4&gt;48,$D$4&lt;61),$D$4-48,IF($D$4&gt;60,12,"N/A")))*IF(VLOOKUP(Resource_Rates_Table56[[#This Row],[Resource Title]],'Resource Descriptions'!$D$6:$J$112,7,FALSE)="Onshore",$F$4,$F$5)),"N/A")</f>
        <v>N/A</v>
      </c>
      <c r="O82" s="89">
        <v>0</v>
      </c>
      <c r="P82" s="89">
        <v>0</v>
      </c>
      <c r="Q82" s="89">
        <v>0</v>
      </c>
      <c r="R82" s="89">
        <v>0</v>
      </c>
      <c r="S82" s="89">
        <v>0</v>
      </c>
      <c r="T82" s="89">
        <v>0</v>
      </c>
      <c r="U82" s="89">
        <v>0</v>
      </c>
      <c r="V82" s="89">
        <v>0</v>
      </c>
      <c r="W82" s="89">
        <v>0</v>
      </c>
      <c r="X82" s="89">
        <v>0</v>
      </c>
      <c r="Y82" s="89">
        <v>0</v>
      </c>
      <c r="Z82" s="89">
        <v>0</v>
      </c>
      <c r="AA82" s="89">
        <v>0</v>
      </c>
      <c r="AB82" s="89">
        <v>0</v>
      </c>
      <c r="AC82" s="89">
        <v>0</v>
      </c>
      <c r="AD82" s="89">
        <v>0</v>
      </c>
      <c r="AE82" s="89">
        <v>0</v>
      </c>
      <c r="AF82" s="89">
        <v>0</v>
      </c>
      <c r="AG82" s="89">
        <v>0</v>
      </c>
      <c r="AH82" s="89">
        <v>0</v>
      </c>
      <c r="AI82" s="89">
        <v>0</v>
      </c>
      <c r="AJ82" s="89">
        <v>0</v>
      </c>
      <c r="AK82" s="89">
        <v>0</v>
      </c>
      <c r="AL82" s="89">
        <v>0</v>
      </c>
      <c r="AM82" s="89">
        <v>0</v>
      </c>
      <c r="AN82" s="89">
        <v>0</v>
      </c>
      <c r="AO82" s="89">
        <v>0</v>
      </c>
      <c r="AP82" s="89">
        <v>0</v>
      </c>
      <c r="AQ82" s="89">
        <v>0</v>
      </c>
      <c r="AR82" s="89">
        <v>0</v>
      </c>
      <c r="AS82" s="89">
        <v>0</v>
      </c>
      <c r="AT82" s="89">
        <v>0</v>
      </c>
      <c r="AU82" s="89">
        <v>0</v>
      </c>
      <c r="AV82" s="89">
        <v>0</v>
      </c>
      <c r="AW82" s="89">
        <v>0</v>
      </c>
      <c r="AX82" s="89">
        <v>0</v>
      </c>
      <c r="AY82" s="89">
        <v>0</v>
      </c>
      <c r="AZ82" s="89">
        <v>0</v>
      </c>
      <c r="BA82" s="89">
        <v>0</v>
      </c>
      <c r="BB82" s="89">
        <v>0</v>
      </c>
      <c r="BC82" s="89">
        <v>0</v>
      </c>
      <c r="BD82" s="89">
        <v>0</v>
      </c>
      <c r="BE82" s="89">
        <v>0</v>
      </c>
      <c r="BF82" s="89">
        <v>0</v>
      </c>
      <c r="BG82" s="89">
        <v>0</v>
      </c>
      <c r="BH82" s="89">
        <v>0</v>
      </c>
      <c r="BI82" s="89">
        <v>0</v>
      </c>
      <c r="BJ82" s="89">
        <v>0</v>
      </c>
      <c r="BK82" s="89">
        <v>0</v>
      </c>
      <c r="BL82" s="89">
        <v>0</v>
      </c>
      <c r="BM82" s="89">
        <v>0</v>
      </c>
      <c r="BN82" s="89">
        <v>0</v>
      </c>
      <c r="BO82" s="89">
        <v>0</v>
      </c>
      <c r="BP82" s="89">
        <v>0</v>
      </c>
      <c r="BQ82" s="89">
        <v>0</v>
      </c>
      <c r="BR82" s="89">
        <v>0</v>
      </c>
      <c r="BS82" s="89">
        <v>0</v>
      </c>
      <c r="BT82" s="89">
        <v>0</v>
      </c>
      <c r="BU82" s="89">
        <v>0</v>
      </c>
      <c r="BV82" s="89">
        <v>0</v>
      </c>
    </row>
    <row r="83" spans="2:74" ht="15" customHeight="1">
      <c r="B83" s="86" t="s">
        <v>151</v>
      </c>
      <c r="C83" s="23" t="s">
        <v>184</v>
      </c>
      <c r="D83" s="87">
        <f>SUM(Resource_Rates_Table56[[#This Row],[Year 1 Hours]],Resource_Rates_Table56[[#This Row],[Year 2 Hours]],Resource_Rates_Table56[[#This Row],[Year 3 Hours]],Resource_Rates_Table56[[#This Row],[Year 4 Hours]],Resource_Rates_Table56[[#This Row],[Year 5 Hours]])</f>
        <v>0</v>
      </c>
      <c r="E83" s="88">
        <f t="shared" si="5"/>
        <v>0</v>
      </c>
      <c r="F8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3" s="88">
        <f t="shared" si="9"/>
        <v>0</v>
      </c>
      <c r="H83" s="88" t="str">
        <f>IFERROR(Resource_Rates_Table56[[#This Row],[Year 2 Hours]]/((IF(AND($D$4&gt;12,$D$4&lt;25),$D$4-12,IF($D$4&gt;24,12,"N/A")))*IF(VLOOKUP(Resource_Rates_Table56[[#This Row],[Resource Title]],'Resource Descriptions'!$D$6:$J$112,7,FALSE)="Onshore",$F$4,$F$5)),"N/A")</f>
        <v>N/A</v>
      </c>
      <c r="I83" s="88">
        <f t="shared" si="6"/>
        <v>0</v>
      </c>
      <c r="J83" s="88" t="str">
        <f>IFERROR(Resource_Rates_Table56[[#This Row],[Year 3 Hours]]/((IF(AND($D$4&gt;24,$D$4&lt;37),$D$4-24,IF($D$4&gt;36,12,"N/A")))*IF(VLOOKUP(Resource_Rates_Table56[[#This Row],[Resource Title]],'Resource Descriptions'!$D$6:$J$112,7,FALSE)="Onshore",$F$4,$F$5)),"N/A")</f>
        <v>N/A</v>
      </c>
      <c r="K83" s="88">
        <f t="shared" si="7"/>
        <v>0</v>
      </c>
      <c r="L83" s="88" t="str">
        <f>IFERROR(Resource_Rates_Table56[[#This Row],[Year 4 Hours]]/((IF(AND($D$4&gt;36,$D$4&lt;49),$D$4-36,IF($D$4&gt;48,12,"N/A")))*IF(VLOOKUP(Resource_Rates_Table56[[#This Row],[Resource Title]],'Resource Descriptions'!$D$6:$J$112,7,FALSE)="Onshore",$F$4,$F$5)),"N/A")</f>
        <v>N/A</v>
      </c>
      <c r="M83" s="88">
        <f t="shared" si="8"/>
        <v>0</v>
      </c>
      <c r="N83" s="88" t="str">
        <f>IFERROR(Resource_Rates_Table56[[#This Row],[Year 5 Hours]]/((IF(AND($D$4&gt;48,$D$4&lt;61),$D$4-48,IF($D$4&gt;60,12,"N/A")))*IF(VLOOKUP(Resource_Rates_Table56[[#This Row],[Resource Title]],'Resource Descriptions'!$D$6:$J$112,7,FALSE)="Onshore",$F$4,$F$5)),"N/A")</f>
        <v>N/A</v>
      </c>
      <c r="O83" s="89">
        <v>0</v>
      </c>
      <c r="P83" s="89">
        <v>0</v>
      </c>
      <c r="Q83" s="89">
        <v>0</v>
      </c>
      <c r="R83" s="89">
        <v>0</v>
      </c>
      <c r="S83" s="89">
        <v>0</v>
      </c>
      <c r="T83" s="89">
        <v>0</v>
      </c>
      <c r="U83" s="89">
        <v>0</v>
      </c>
      <c r="V83" s="89">
        <v>0</v>
      </c>
      <c r="W83" s="89">
        <v>0</v>
      </c>
      <c r="X83" s="89">
        <v>0</v>
      </c>
      <c r="Y83" s="89">
        <v>0</v>
      </c>
      <c r="Z83" s="89">
        <v>0</v>
      </c>
      <c r="AA83" s="89">
        <v>0</v>
      </c>
      <c r="AB83" s="89">
        <v>0</v>
      </c>
      <c r="AC83" s="89">
        <v>0</v>
      </c>
      <c r="AD83" s="89">
        <v>0</v>
      </c>
      <c r="AE83" s="89">
        <v>0</v>
      </c>
      <c r="AF83" s="89">
        <v>0</v>
      </c>
      <c r="AG83" s="89">
        <v>0</v>
      </c>
      <c r="AH83" s="89">
        <v>0</v>
      </c>
      <c r="AI83" s="89">
        <v>0</v>
      </c>
      <c r="AJ83" s="89">
        <v>0</v>
      </c>
      <c r="AK83" s="89">
        <v>0</v>
      </c>
      <c r="AL83" s="89">
        <v>0</v>
      </c>
      <c r="AM83" s="89">
        <v>0</v>
      </c>
      <c r="AN83" s="89">
        <v>0</v>
      </c>
      <c r="AO83" s="89">
        <v>0</v>
      </c>
      <c r="AP83" s="89">
        <v>0</v>
      </c>
      <c r="AQ83" s="89">
        <v>0</v>
      </c>
      <c r="AR83" s="89">
        <v>0</v>
      </c>
      <c r="AS83" s="89">
        <v>0</v>
      </c>
      <c r="AT83" s="89">
        <v>0</v>
      </c>
      <c r="AU83" s="89">
        <v>0</v>
      </c>
      <c r="AV83" s="89">
        <v>0</v>
      </c>
      <c r="AW83" s="89">
        <v>0</v>
      </c>
      <c r="AX83" s="89">
        <v>0</v>
      </c>
      <c r="AY83" s="89">
        <v>0</v>
      </c>
      <c r="AZ83" s="89">
        <v>0</v>
      </c>
      <c r="BA83" s="89">
        <v>0</v>
      </c>
      <c r="BB83" s="89">
        <v>0</v>
      </c>
      <c r="BC83" s="89">
        <v>0</v>
      </c>
      <c r="BD83" s="89">
        <v>0</v>
      </c>
      <c r="BE83" s="89">
        <v>0</v>
      </c>
      <c r="BF83" s="89">
        <v>0</v>
      </c>
      <c r="BG83" s="89">
        <v>0</v>
      </c>
      <c r="BH83" s="89">
        <v>0</v>
      </c>
      <c r="BI83" s="89">
        <v>0</v>
      </c>
      <c r="BJ83" s="89">
        <v>0</v>
      </c>
      <c r="BK83" s="89">
        <v>0</v>
      </c>
      <c r="BL83" s="89">
        <v>0</v>
      </c>
      <c r="BM83" s="89">
        <v>0</v>
      </c>
      <c r="BN83" s="89">
        <v>0</v>
      </c>
      <c r="BO83" s="89">
        <v>0</v>
      </c>
      <c r="BP83" s="89">
        <v>0</v>
      </c>
      <c r="BQ83" s="89">
        <v>0</v>
      </c>
      <c r="BR83" s="89">
        <v>0</v>
      </c>
      <c r="BS83" s="89">
        <v>0</v>
      </c>
      <c r="BT83" s="89">
        <v>0</v>
      </c>
      <c r="BU83" s="89">
        <v>0</v>
      </c>
      <c r="BV83" s="89">
        <v>0</v>
      </c>
    </row>
    <row r="84" spans="2:74" ht="15" customHeight="1">
      <c r="B84" s="86" t="s">
        <v>151</v>
      </c>
      <c r="C84" s="23" t="s">
        <v>185</v>
      </c>
      <c r="D84" s="87">
        <f>SUM(Resource_Rates_Table56[[#This Row],[Year 1 Hours]],Resource_Rates_Table56[[#This Row],[Year 2 Hours]],Resource_Rates_Table56[[#This Row],[Year 3 Hours]],Resource_Rates_Table56[[#This Row],[Year 4 Hours]],Resource_Rates_Table56[[#This Row],[Year 5 Hours]])</f>
        <v>0</v>
      </c>
      <c r="E84" s="88">
        <f t="shared" si="5"/>
        <v>0</v>
      </c>
      <c r="F8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4" s="88">
        <f t="shared" si="9"/>
        <v>0</v>
      </c>
      <c r="H84" s="88" t="str">
        <f>IFERROR(Resource_Rates_Table56[[#This Row],[Year 2 Hours]]/((IF(AND($D$4&gt;12,$D$4&lt;25),$D$4-12,IF($D$4&gt;24,12,"N/A")))*IF(VLOOKUP(Resource_Rates_Table56[[#This Row],[Resource Title]],'Resource Descriptions'!$D$6:$J$112,7,FALSE)="Onshore",$F$4,$F$5)),"N/A")</f>
        <v>N/A</v>
      </c>
      <c r="I84" s="88">
        <f t="shared" si="6"/>
        <v>0</v>
      </c>
      <c r="J84" s="88" t="str">
        <f>IFERROR(Resource_Rates_Table56[[#This Row],[Year 3 Hours]]/((IF(AND($D$4&gt;24,$D$4&lt;37),$D$4-24,IF($D$4&gt;36,12,"N/A")))*IF(VLOOKUP(Resource_Rates_Table56[[#This Row],[Resource Title]],'Resource Descriptions'!$D$6:$J$112,7,FALSE)="Onshore",$F$4,$F$5)),"N/A")</f>
        <v>N/A</v>
      </c>
      <c r="K84" s="88">
        <f t="shared" si="7"/>
        <v>0</v>
      </c>
      <c r="L84" s="88" t="str">
        <f>IFERROR(Resource_Rates_Table56[[#This Row],[Year 4 Hours]]/((IF(AND($D$4&gt;36,$D$4&lt;49),$D$4-36,IF($D$4&gt;48,12,"N/A")))*IF(VLOOKUP(Resource_Rates_Table56[[#This Row],[Resource Title]],'Resource Descriptions'!$D$6:$J$112,7,FALSE)="Onshore",$F$4,$F$5)),"N/A")</f>
        <v>N/A</v>
      </c>
      <c r="M84" s="88">
        <f t="shared" si="8"/>
        <v>0</v>
      </c>
      <c r="N84" s="88" t="str">
        <f>IFERROR(Resource_Rates_Table56[[#This Row],[Year 5 Hours]]/((IF(AND($D$4&gt;48,$D$4&lt;61),$D$4-48,IF($D$4&gt;60,12,"N/A")))*IF(VLOOKUP(Resource_Rates_Table56[[#This Row],[Resource Title]],'Resource Descriptions'!$D$6:$J$112,7,FALSE)="Onshore",$F$4,$F$5)),"N/A")</f>
        <v>N/A</v>
      </c>
      <c r="O84" s="89">
        <v>0</v>
      </c>
      <c r="P84" s="89">
        <v>0</v>
      </c>
      <c r="Q84" s="89">
        <v>0</v>
      </c>
      <c r="R84" s="89">
        <v>0</v>
      </c>
      <c r="S84" s="89">
        <v>0</v>
      </c>
      <c r="T84" s="89">
        <v>0</v>
      </c>
      <c r="U84" s="89">
        <v>0</v>
      </c>
      <c r="V84" s="89">
        <v>0</v>
      </c>
      <c r="W84" s="89">
        <v>0</v>
      </c>
      <c r="X84" s="89">
        <v>0</v>
      </c>
      <c r="Y84" s="89">
        <v>0</v>
      </c>
      <c r="Z84" s="89">
        <v>0</v>
      </c>
      <c r="AA84" s="89">
        <v>0</v>
      </c>
      <c r="AB84" s="89">
        <v>0</v>
      </c>
      <c r="AC84" s="89">
        <v>0</v>
      </c>
      <c r="AD84" s="89">
        <v>0</v>
      </c>
      <c r="AE84" s="89">
        <v>0</v>
      </c>
      <c r="AF84" s="89">
        <v>0</v>
      </c>
      <c r="AG84" s="89">
        <v>0</v>
      </c>
      <c r="AH84" s="89">
        <v>0</v>
      </c>
      <c r="AI84" s="89">
        <v>0</v>
      </c>
      <c r="AJ84" s="89">
        <v>0</v>
      </c>
      <c r="AK84" s="89">
        <v>0</v>
      </c>
      <c r="AL84" s="89">
        <v>0</v>
      </c>
      <c r="AM84" s="89">
        <v>0</v>
      </c>
      <c r="AN84" s="89">
        <v>0</v>
      </c>
      <c r="AO84" s="89">
        <v>0</v>
      </c>
      <c r="AP84" s="89">
        <v>0</v>
      </c>
      <c r="AQ84" s="89">
        <v>0</v>
      </c>
      <c r="AR84" s="89">
        <v>0</v>
      </c>
      <c r="AS84" s="89">
        <v>0</v>
      </c>
      <c r="AT84" s="89">
        <v>0</v>
      </c>
      <c r="AU84" s="89">
        <v>0</v>
      </c>
      <c r="AV84" s="89">
        <v>0</v>
      </c>
      <c r="AW84" s="89">
        <v>0</v>
      </c>
      <c r="AX84" s="89">
        <v>0</v>
      </c>
      <c r="AY84" s="89">
        <v>0</v>
      </c>
      <c r="AZ84" s="89">
        <v>0</v>
      </c>
      <c r="BA84" s="89">
        <v>0</v>
      </c>
      <c r="BB84" s="89">
        <v>0</v>
      </c>
      <c r="BC84" s="89">
        <v>0</v>
      </c>
      <c r="BD84" s="89">
        <v>0</v>
      </c>
      <c r="BE84" s="89">
        <v>0</v>
      </c>
      <c r="BF84" s="89">
        <v>0</v>
      </c>
      <c r="BG84" s="89">
        <v>0</v>
      </c>
      <c r="BH84" s="89">
        <v>0</v>
      </c>
      <c r="BI84" s="89">
        <v>0</v>
      </c>
      <c r="BJ84" s="89">
        <v>0</v>
      </c>
      <c r="BK84" s="89">
        <v>0</v>
      </c>
      <c r="BL84" s="89">
        <v>0</v>
      </c>
      <c r="BM84" s="89">
        <v>0</v>
      </c>
      <c r="BN84" s="89">
        <v>0</v>
      </c>
      <c r="BO84" s="89">
        <v>0</v>
      </c>
      <c r="BP84" s="89">
        <v>0</v>
      </c>
      <c r="BQ84" s="89">
        <v>0</v>
      </c>
      <c r="BR84" s="89">
        <v>0</v>
      </c>
      <c r="BS84" s="89">
        <v>0</v>
      </c>
      <c r="BT84" s="89">
        <v>0</v>
      </c>
      <c r="BU84" s="89">
        <v>0</v>
      </c>
      <c r="BV84" s="89">
        <v>0</v>
      </c>
    </row>
    <row r="85" spans="2:74" ht="15" customHeight="1">
      <c r="B85" s="86" t="s">
        <v>151</v>
      </c>
      <c r="C85" s="23" t="s">
        <v>186</v>
      </c>
      <c r="D85" s="87">
        <f>SUM(Resource_Rates_Table56[[#This Row],[Year 1 Hours]],Resource_Rates_Table56[[#This Row],[Year 2 Hours]],Resource_Rates_Table56[[#This Row],[Year 3 Hours]],Resource_Rates_Table56[[#This Row],[Year 4 Hours]],Resource_Rates_Table56[[#This Row],[Year 5 Hours]])</f>
        <v>0</v>
      </c>
      <c r="E85" s="88">
        <f t="shared" si="5"/>
        <v>0</v>
      </c>
      <c r="F8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5" s="88">
        <f t="shared" si="9"/>
        <v>0</v>
      </c>
      <c r="H85" s="88" t="str">
        <f>IFERROR(Resource_Rates_Table56[[#This Row],[Year 2 Hours]]/((IF(AND($D$4&gt;12,$D$4&lt;25),$D$4-12,IF($D$4&gt;24,12,"N/A")))*IF(VLOOKUP(Resource_Rates_Table56[[#This Row],[Resource Title]],'Resource Descriptions'!$D$6:$J$112,7,FALSE)="Onshore",$F$4,$F$5)),"N/A")</f>
        <v>N/A</v>
      </c>
      <c r="I85" s="88">
        <f t="shared" si="6"/>
        <v>0</v>
      </c>
      <c r="J85" s="88" t="str">
        <f>IFERROR(Resource_Rates_Table56[[#This Row],[Year 3 Hours]]/((IF(AND($D$4&gt;24,$D$4&lt;37),$D$4-24,IF($D$4&gt;36,12,"N/A")))*IF(VLOOKUP(Resource_Rates_Table56[[#This Row],[Resource Title]],'Resource Descriptions'!$D$6:$J$112,7,FALSE)="Onshore",$F$4,$F$5)),"N/A")</f>
        <v>N/A</v>
      </c>
      <c r="K85" s="88">
        <f t="shared" si="7"/>
        <v>0</v>
      </c>
      <c r="L85" s="88" t="str">
        <f>IFERROR(Resource_Rates_Table56[[#This Row],[Year 4 Hours]]/((IF(AND($D$4&gt;36,$D$4&lt;49),$D$4-36,IF($D$4&gt;48,12,"N/A")))*IF(VLOOKUP(Resource_Rates_Table56[[#This Row],[Resource Title]],'Resource Descriptions'!$D$6:$J$112,7,FALSE)="Onshore",$F$4,$F$5)),"N/A")</f>
        <v>N/A</v>
      </c>
      <c r="M85" s="88">
        <f t="shared" si="8"/>
        <v>0</v>
      </c>
      <c r="N85" s="88" t="str">
        <f>IFERROR(Resource_Rates_Table56[[#This Row],[Year 5 Hours]]/((IF(AND($D$4&gt;48,$D$4&lt;61),$D$4-48,IF($D$4&gt;60,12,"N/A")))*IF(VLOOKUP(Resource_Rates_Table56[[#This Row],[Resource Title]],'Resource Descriptions'!$D$6:$J$112,7,FALSE)="Onshore",$F$4,$F$5)),"N/A")</f>
        <v>N/A</v>
      </c>
      <c r="O85" s="89">
        <v>0</v>
      </c>
      <c r="P85" s="89">
        <v>0</v>
      </c>
      <c r="Q85" s="89">
        <v>0</v>
      </c>
      <c r="R85" s="89">
        <v>0</v>
      </c>
      <c r="S85" s="89">
        <v>0</v>
      </c>
      <c r="T85" s="89">
        <v>0</v>
      </c>
      <c r="U85" s="89">
        <v>0</v>
      </c>
      <c r="V85" s="89">
        <v>0</v>
      </c>
      <c r="W85" s="89">
        <v>0</v>
      </c>
      <c r="X85" s="89">
        <v>0</v>
      </c>
      <c r="Y85" s="89">
        <v>0</v>
      </c>
      <c r="Z85" s="89">
        <v>0</v>
      </c>
      <c r="AA85" s="89">
        <v>0</v>
      </c>
      <c r="AB85" s="89">
        <v>0</v>
      </c>
      <c r="AC85" s="89">
        <v>0</v>
      </c>
      <c r="AD85" s="89">
        <v>0</v>
      </c>
      <c r="AE85" s="89">
        <v>0</v>
      </c>
      <c r="AF85" s="89">
        <v>0</v>
      </c>
      <c r="AG85" s="89">
        <v>0</v>
      </c>
      <c r="AH85" s="89">
        <v>0</v>
      </c>
      <c r="AI85" s="89">
        <v>0</v>
      </c>
      <c r="AJ85" s="89">
        <v>0</v>
      </c>
      <c r="AK85" s="89">
        <v>0</v>
      </c>
      <c r="AL85" s="89">
        <v>0</v>
      </c>
      <c r="AM85" s="89">
        <v>0</v>
      </c>
      <c r="AN85" s="89">
        <v>0</v>
      </c>
      <c r="AO85" s="89">
        <v>0</v>
      </c>
      <c r="AP85" s="89">
        <v>0</v>
      </c>
      <c r="AQ85" s="89">
        <v>0</v>
      </c>
      <c r="AR85" s="89">
        <v>0</v>
      </c>
      <c r="AS85" s="89">
        <v>0</v>
      </c>
      <c r="AT85" s="89">
        <v>0</v>
      </c>
      <c r="AU85" s="89">
        <v>0</v>
      </c>
      <c r="AV85" s="89">
        <v>0</v>
      </c>
      <c r="AW85" s="89">
        <v>0</v>
      </c>
      <c r="AX85" s="89">
        <v>0</v>
      </c>
      <c r="AY85" s="89">
        <v>0</v>
      </c>
      <c r="AZ85" s="89">
        <v>0</v>
      </c>
      <c r="BA85" s="89">
        <v>0</v>
      </c>
      <c r="BB85" s="89">
        <v>0</v>
      </c>
      <c r="BC85" s="89">
        <v>0</v>
      </c>
      <c r="BD85" s="89">
        <v>0</v>
      </c>
      <c r="BE85" s="89">
        <v>0</v>
      </c>
      <c r="BF85" s="89">
        <v>0</v>
      </c>
      <c r="BG85" s="89">
        <v>0</v>
      </c>
      <c r="BH85" s="89">
        <v>0</v>
      </c>
      <c r="BI85" s="89">
        <v>0</v>
      </c>
      <c r="BJ85" s="89">
        <v>0</v>
      </c>
      <c r="BK85" s="89">
        <v>0</v>
      </c>
      <c r="BL85" s="89">
        <v>0</v>
      </c>
      <c r="BM85" s="89">
        <v>0</v>
      </c>
      <c r="BN85" s="89">
        <v>0</v>
      </c>
      <c r="BO85" s="89">
        <v>0</v>
      </c>
      <c r="BP85" s="89">
        <v>0</v>
      </c>
      <c r="BQ85" s="89">
        <v>0</v>
      </c>
      <c r="BR85" s="89">
        <v>0</v>
      </c>
      <c r="BS85" s="89">
        <v>0</v>
      </c>
      <c r="BT85" s="89">
        <v>0</v>
      </c>
      <c r="BU85" s="89">
        <v>0</v>
      </c>
      <c r="BV85" s="89">
        <v>0</v>
      </c>
    </row>
    <row r="86" spans="2:74" ht="15" customHeight="1">
      <c r="B86" s="86" t="s">
        <v>151</v>
      </c>
      <c r="C86" s="23" t="s">
        <v>187</v>
      </c>
      <c r="D86" s="87">
        <f>SUM(Resource_Rates_Table56[[#This Row],[Year 1 Hours]],Resource_Rates_Table56[[#This Row],[Year 2 Hours]],Resource_Rates_Table56[[#This Row],[Year 3 Hours]],Resource_Rates_Table56[[#This Row],[Year 4 Hours]],Resource_Rates_Table56[[#This Row],[Year 5 Hours]])</f>
        <v>0</v>
      </c>
      <c r="E86" s="88">
        <f t="shared" si="5"/>
        <v>0</v>
      </c>
      <c r="F8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6" s="88">
        <f t="shared" si="9"/>
        <v>0</v>
      </c>
      <c r="H86" s="88" t="str">
        <f>IFERROR(Resource_Rates_Table56[[#This Row],[Year 2 Hours]]/((IF(AND($D$4&gt;12,$D$4&lt;25),$D$4-12,IF($D$4&gt;24,12,"N/A")))*IF(VLOOKUP(Resource_Rates_Table56[[#This Row],[Resource Title]],'Resource Descriptions'!$D$6:$J$112,7,FALSE)="Onshore",$F$4,$F$5)),"N/A")</f>
        <v>N/A</v>
      </c>
      <c r="I86" s="88">
        <f t="shared" si="6"/>
        <v>0</v>
      </c>
      <c r="J86" s="88" t="str">
        <f>IFERROR(Resource_Rates_Table56[[#This Row],[Year 3 Hours]]/((IF(AND($D$4&gt;24,$D$4&lt;37),$D$4-24,IF($D$4&gt;36,12,"N/A")))*IF(VLOOKUP(Resource_Rates_Table56[[#This Row],[Resource Title]],'Resource Descriptions'!$D$6:$J$112,7,FALSE)="Onshore",$F$4,$F$5)),"N/A")</f>
        <v>N/A</v>
      </c>
      <c r="K86" s="88">
        <f t="shared" si="7"/>
        <v>0</v>
      </c>
      <c r="L86" s="88" t="str">
        <f>IFERROR(Resource_Rates_Table56[[#This Row],[Year 4 Hours]]/((IF(AND($D$4&gt;36,$D$4&lt;49),$D$4-36,IF($D$4&gt;48,12,"N/A")))*IF(VLOOKUP(Resource_Rates_Table56[[#This Row],[Resource Title]],'Resource Descriptions'!$D$6:$J$112,7,FALSE)="Onshore",$F$4,$F$5)),"N/A")</f>
        <v>N/A</v>
      </c>
      <c r="M86" s="88">
        <f t="shared" si="8"/>
        <v>0</v>
      </c>
      <c r="N86" s="88" t="str">
        <f>IFERROR(Resource_Rates_Table56[[#This Row],[Year 5 Hours]]/((IF(AND($D$4&gt;48,$D$4&lt;61),$D$4-48,IF($D$4&gt;60,12,"N/A")))*IF(VLOOKUP(Resource_Rates_Table56[[#This Row],[Resource Title]],'Resource Descriptions'!$D$6:$J$112,7,FALSE)="Onshore",$F$4,$F$5)),"N/A")</f>
        <v>N/A</v>
      </c>
      <c r="O86" s="89">
        <v>0</v>
      </c>
      <c r="P86" s="89">
        <v>0</v>
      </c>
      <c r="Q86" s="89">
        <v>0</v>
      </c>
      <c r="R86" s="89">
        <v>0</v>
      </c>
      <c r="S86" s="89">
        <v>0</v>
      </c>
      <c r="T86" s="89">
        <v>0</v>
      </c>
      <c r="U86" s="89">
        <v>0</v>
      </c>
      <c r="V86" s="89">
        <v>0</v>
      </c>
      <c r="W86" s="89">
        <v>0</v>
      </c>
      <c r="X86" s="89">
        <v>0</v>
      </c>
      <c r="Y86" s="89">
        <v>0</v>
      </c>
      <c r="Z86" s="89">
        <v>0</v>
      </c>
      <c r="AA86" s="89">
        <v>0</v>
      </c>
      <c r="AB86" s="89">
        <v>0</v>
      </c>
      <c r="AC86" s="89">
        <v>0</v>
      </c>
      <c r="AD86" s="89">
        <v>0</v>
      </c>
      <c r="AE86" s="89">
        <v>0</v>
      </c>
      <c r="AF86" s="89">
        <v>0</v>
      </c>
      <c r="AG86" s="89">
        <v>0</v>
      </c>
      <c r="AH86" s="89">
        <v>0</v>
      </c>
      <c r="AI86" s="89">
        <v>0</v>
      </c>
      <c r="AJ86" s="89">
        <v>0</v>
      </c>
      <c r="AK86" s="89">
        <v>0</v>
      </c>
      <c r="AL86" s="89">
        <v>0</v>
      </c>
      <c r="AM86" s="89">
        <v>0</v>
      </c>
      <c r="AN86" s="89">
        <v>0</v>
      </c>
      <c r="AO86" s="89">
        <v>0</v>
      </c>
      <c r="AP86" s="89">
        <v>0</v>
      </c>
      <c r="AQ86" s="89">
        <v>0</v>
      </c>
      <c r="AR86" s="89">
        <v>0</v>
      </c>
      <c r="AS86" s="89">
        <v>0</v>
      </c>
      <c r="AT86" s="89">
        <v>0</v>
      </c>
      <c r="AU86" s="89">
        <v>0</v>
      </c>
      <c r="AV86" s="89">
        <v>0</v>
      </c>
      <c r="AW86" s="89">
        <v>0</v>
      </c>
      <c r="AX86" s="89">
        <v>0</v>
      </c>
      <c r="AY86" s="89">
        <v>0</v>
      </c>
      <c r="AZ86" s="89">
        <v>0</v>
      </c>
      <c r="BA86" s="89">
        <v>0</v>
      </c>
      <c r="BB86" s="89">
        <v>0</v>
      </c>
      <c r="BC86" s="89">
        <v>0</v>
      </c>
      <c r="BD86" s="89">
        <v>0</v>
      </c>
      <c r="BE86" s="89">
        <v>0</v>
      </c>
      <c r="BF86" s="89">
        <v>0</v>
      </c>
      <c r="BG86" s="89">
        <v>0</v>
      </c>
      <c r="BH86" s="89">
        <v>0</v>
      </c>
      <c r="BI86" s="89">
        <v>0</v>
      </c>
      <c r="BJ86" s="89">
        <v>0</v>
      </c>
      <c r="BK86" s="89">
        <v>0</v>
      </c>
      <c r="BL86" s="89">
        <v>0</v>
      </c>
      <c r="BM86" s="89">
        <v>0</v>
      </c>
      <c r="BN86" s="89">
        <v>0</v>
      </c>
      <c r="BO86" s="89">
        <v>0</v>
      </c>
      <c r="BP86" s="89">
        <v>0</v>
      </c>
      <c r="BQ86" s="89">
        <v>0</v>
      </c>
      <c r="BR86" s="89">
        <v>0</v>
      </c>
      <c r="BS86" s="89">
        <v>0</v>
      </c>
      <c r="BT86" s="89">
        <v>0</v>
      </c>
      <c r="BU86" s="89">
        <v>0</v>
      </c>
      <c r="BV86" s="89">
        <v>0</v>
      </c>
    </row>
    <row r="87" spans="2:74" ht="15" customHeight="1">
      <c r="B87" s="86" t="s">
        <v>151</v>
      </c>
      <c r="C87" s="23" t="s">
        <v>188</v>
      </c>
      <c r="D87" s="87">
        <f>SUM(Resource_Rates_Table56[[#This Row],[Year 1 Hours]],Resource_Rates_Table56[[#This Row],[Year 2 Hours]],Resource_Rates_Table56[[#This Row],[Year 3 Hours]],Resource_Rates_Table56[[#This Row],[Year 4 Hours]],Resource_Rates_Table56[[#This Row],[Year 5 Hours]])</f>
        <v>0</v>
      </c>
      <c r="E87" s="88">
        <f t="shared" si="5"/>
        <v>0</v>
      </c>
      <c r="F8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7" s="88">
        <f t="shared" si="9"/>
        <v>0</v>
      </c>
      <c r="H87" s="88" t="str">
        <f>IFERROR(Resource_Rates_Table56[[#This Row],[Year 2 Hours]]/((IF(AND($D$4&gt;12,$D$4&lt;25),$D$4-12,IF($D$4&gt;24,12,"N/A")))*IF(VLOOKUP(Resource_Rates_Table56[[#This Row],[Resource Title]],'Resource Descriptions'!$D$6:$J$112,7,FALSE)="Onshore",$F$4,$F$5)),"N/A")</f>
        <v>N/A</v>
      </c>
      <c r="I87" s="88">
        <f t="shared" si="6"/>
        <v>0</v>
      </c>
      <c r="J87" s="88" t="str">
        <f>IFERROR(Resource_Rates_Table56[[#This Row],[Year 3 Hours]]/((IF(AND($D$4&gt;24,$D$4&lt;37),$D$4-24,IF($D$4&gt;36,12,"N/A")))*IF(VLOOKUP(Resource_Rates_Table56[[#This Row],[Resource Title]],'Resource Descriptions'!$D$6:$J$112,7,FALSE)="Onshore",$F$4,$F$5)),"N/A")</f>
        <v>N/A</v>
      </c>
      <c r="K87" s="88">
        <f t="shared" si="7"/>
        <v>0</v>
      </c>
      <c r="L87" s="88" t="str">
        <f>IFERROR(Resource_Rates_Table56[[#This Row],[Year 4 Hours]]/((IF(AND($D$4&gt;36,$D$4&lt;49),$D$4-36,IF($D$4&gt;48,12,"N/A")))*IF(VLOOKUP(Resource_Rates_Table56[[#This Row],[Resource Title]],'Resource Descriptions'!$D$6:$J$112,7,FALSE)="Onshore",$F$4,$F$5)),"N/A")</f>
        <v>N/A</v>
      </c>
      <c r="M87" s="88">
        <f t="shared" si="8"/>
        <v>0</v>
      </c>
      <c r="N87" s="88" t="str">
        <f>IFERROR(Resource_Rates_Table56[[#This Row],[Year 5 Hours]]/((IF(AND($D$4&gt;48,$D$4&lt;61),$D$4-48,IF($D$4&gt;60,12,"N/A")))*IF(VLOOKUP(Resource_Rates_Table56[[#This Row],[Resource Title]],'Resource Descriptions'!$D$6:$J$112,7,FALSE)="Onshore",$F$4,$F$5)),"N/A")</f>
        <v>N/A</v>
      </c>
      <c r="O87" s="89">
        <v>0</v>
      </c>
      <c r="P87" s="89">
        <v>0</v>
      </c>
      <c r="Q87" s="89">
        <v>0</v>
      </c>
      <c r="R87" s="89">
        <v>0</v>
      </c>
      <c r="S87" s="89">
        <v>0</v>
      </c>
      <c r="T87" s="89">
        <v>0</v>
      </c>
      <c r="U87" s="89">
        <v>0</v>
      </c>
      <c r="V87" s="89">
        <v>0</v>
      </c>
      <c r="W87" s="89">
        <v>0</v>
      </c>
      <c r="X87" s="89">
        <v>0</v>
      </c>
      <c r="Y87" s="89">
        <v>0</v>
      </c>
      <c r="Z87" s="89">
        <v>0</v>
      </c>
      <c r="AA87" s="89">
        <v>0</v>
      </c>
      <c r="AB87" s="89">
        <v>0</v>
      </c>
      <c r="AC87" s="89">
        <v>0</v>
      </c>
      <c r="AD87" s="89">
        <v>0</v>
      </c>
      <c r="AE87" s="89">
        <v>0</v>
      </c>
      <c r="AF87" s="89">
        <v>0</v>
      </c>
      <c r="AG87" s="89">
        <v>0</v>
      </c>
      <c r="AH87" s="89">
        <v>0</v>
      </c>
      <c r="AI87" s="89">
        <v>0</v>
      </c>
      <c r="AJ87" s="89">
        <v>0</v>
      </c>
      <c r="AK87" s="89">
        <v>0</v>
      </c>
      <c r="AL87" s="89">
        <v>0</v>
      </c>
      <c r="AM87" s="89">
        <v>0</v>
      </c>
      <c r="AN87" s="89">
        <v>0</v>
      </c>
      <c r="AO87" s="89">
        <v>0</v>
      </c>
      <c r="AP87" s="89">
        <v>0</v>
      </c>
      <c r="AQ87" s="89">
        <v>0</v>
      </c>
      <c r="AR87" s="89">
        <v>0</v>
      </c>
      <c r="AS87" s="89">
        <v>0</v>
      </c>
      <c r="AT87" s="89">
        <v>0</v>
      </c>
      <c r="AU87" s="89">
        <v>0</v>
      </c>
      <c r="AV87" s="89">
        <v>0</v>
      </c>
      <c r="AW87" s="89">
        <v>0</v>
      </c>
      <c r="AX87" s="89">
        <v>0</v>
      </c>
      <c r="AY87" s="89">
        <v>0</v>
      </c>
      <c r="AZ87" s="89">
        <v>0</v>
      </c>
      <c r="BA87" s="89">
        <v>0</v>
      </c>
      <c r="BB87" s="89">
        <v>0</v>
      </c>
      <c r="BC87" s="89">
        <v>0</v>
      </c>
      <c r="BD87" s="89">
        <v>0</v>
      </c>
      <c r="BE87" s="89">
        <v>0</v>
      </c>
      <c r="BF87" s="89">
        <v>0</v>
      </c>
      <c r="BG87" s="89">
        <v>0</v>
      </c>
      <c r="BH87" s="89">
        <v>0</v>
      </c>
      <c r="BI87" s="89">
        <v>0</v>
      </c>
      <c r="BJ87" s="89">
        <v>0</v>
      </c>
      <c r="BK87" s="89">
        <v>0</v>
      </c>
      <c r="BL87" s="89">
        <v>0</v>
      </c>
      <c r="BM87" s="89">
        <v>0</v>
      </c>
      <c r="BN87" s="89">
        <v>0</v>
      </c>
      <c r="BO87" s="89">
        <v>0</v>
      </c>
      <c r="BP87" s="89">
        <v>0</v>
      </c>
      <c r="BQ87" s="89">
        <v>0</v>
      </c>
      <c r="BR87" s="89">
        <v>0</v>
      </c>
      <c r="BS87" s="89">
        <v>0</v>
      </c>
      <c r="BT87" s="89">
        <v>0</v>
      </c>
      <c r="BU87" s="89">
        <v>0</v>
      </c>
      <c r="BV87" s="89">
        <v>0</v>
      </c>
    </row>
    <row r="88" spans="2:74" ht="15" customHeight="1">
      <c r="B88" s="86" t="s">
        <v>151</v>
      </c>
      <c r="C88" s="23" t="s">
        <v>189</v>
      </c>
      <c r="D88" s="87">
        <f>SUM(Resource_Rates_Table56[[#This Row],[Year 1 Hours]],Resource_Rates_Table56[[#This Row],[Year 2 Hours]],Resource_Rates_Table56[[#This Row],[Year 3 Hours]],Resource_Rates_Table56[[#This Row],[Year 4 Hours]],Resource_Rates_Table56[[#This Row],[Year 5 Hours]])</f>
        <v>0</v>
      </c>
      <c r="E88" s="88">
        <f t="shared" si="5"/>
        <v>0</v>
      </c>
      <c r="F8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8" s="88">
        <f t="shared" si="9"/>
        <v>0</v>
      </c>
      <c r="H88" s="88" t="str">
        <f>IFERROR(Resource_Rates_Table56[[#This Row],[Year 2 Hours]]/((IF(AND($D$4&gt;12,$D$4&lt;25),$D$4-12,IF($D$4&gt;24,12,"N/A")))*IF(VLOOKUP(Resource_Rates_Table56[[#This Row],[Resource Title]],'Resource Descriptions'!$D$6:$J$112,7,FALSE)="Onshore",$F$4,$F$5)),"N/A")</f>
        <v>N/A</v>
      </c>
      <c r="I88" s="88">
        <f t="shared" si="6"/>
        <v>0</v>
      </c>
      <c r="J88" s="88" t="str">
        <f>IFERROR(Resource_Rates_Table56[[#This Row],[Year 3 Hours]]/((IF(AND($D$4&gt;24,$D$4&lt;37),$D$4-24,IF($D$4&gt;36,12,"N/A")))*IF(VLOOKUP(Resource_Rates_Table56[[#This Row],[Resource Title]],'Resource Descriptions'!$D$6:$J$112,7,FALSE)="Onshore",$F$4,$F$5)),"N/A")</f>
        <v>N/A</v>
      </c>
      <c r="K88" s="88">
        <f t="shared" si="7"/>
        <v>0</v>
      </c>
      <c r="L88" s="88" t="str">
        <f>IFERROR(Resource_Rates_Table56[[#This Row],[Year 4 Hours]]/((IF(AND($D$4&gt;36,$D$4&lt;49),$D$4-36,IF($D$4&gt;48,12,"N/A")))*IF(VLOOKUP(Resource_Rates_Table56[[#This Row],[Resource Title]],'Resource Descriptions'!$D$6:$J$112,7,FALSE)="Onshore",$F$4,$F$5)),"N/A")</f>
        <v>N/A</v>
      </c>
      <c r="M88" s="88">
        <f t="shared" si="8"/>
        <v>0</v>
      </c>
      <c r="N88" s="88" t="str">
        <f>IFERROR(Resource_Rates_Table56[[#This Row],[Year 5 Hours]]/((IF(AND($D$4&gt;48,$D$4&lt;61),$D$4-48,IF($D$4&gt;60,12,"N/A")))*IF(VLOOKUP(Resource_Rates_Table56[[#This Row],[Resource Title]],'Resource Descriptions'!$D$6:$J$112,7,FALSE)="Onshore",$F$4,$F$5)),"N/A")</f>
        <v>N/A</v>
      </c>
      <c r="O88" s="89">
        <v>0</v>
      </c>
      <c r="P88" s="89">
        <v>0</v>
      </c>
      <c r="Q88" s="89">
        <v>0</v>
      </c>
      <c r="R88" s="89">
        <v>0</v>
      </c>
      <c r="S88" s="89">
        <v>0</v>
      </c>
      <c r="T88" s="89">
        <v>0</v>
      </c>
      <c r="U88" s="89">
        <v>0</v>
      </c>
      <c r="V88" s="89">
        <v>0</v>
      </c>
      <c r="W88" s="89">
        <v>0</v>
      </c>
      <c r="X88" s="89">
        <v>0</v>
      </c>
      <c r="Y88" s="89">
        <v>0</v>
      </c>
      <c r="Z88" s="89">
        <v>0</v>
      </c>
      <c r="AA88" s="89">
        <v>0</v>
      </c>
      <c r="AB88" s="89">
        <v>0</v>
      </c>
      <c r="AC88" s="89">
        <v>0</v>
      </c>
      <c r="AD88" s="89">
        <v>0</v>
      </c>
      <c r="AE88" s="89">
        <v>0</v>
      </c>
      <c r="AF88" s="89">
        <v>0</v>
      </c>
      <c r="AG88" s="89">
        <v>0</v>
      </c>
      <c r="AH88" s="89">
        <v>0</v>
      </c>
      <c r="AI88" s="89">
        <v>0</v>
      </c>
      <c r="AJ88" s="89">
        <v>0</v>
      </c>
      <c r="AK88" s="89">
        <v>0</v>
      </c>
      <c r="AL88" s="89">
        <v>0</v>
      </c>
      <c r="AM88" s="89">
        <v>0</v>
      </c>
      <c r="AN88" s="89">
        <v>0</v>
      </c>
      <c r="AO88" s="89">
        <v>0</v>
      </c>
      <c r="AP88" s="89">
        <v>0</v>
      </c>
      <c r="AQ88" s="89">
        <v>0</v>
      </c>
      <c r="AR88" s="89">
        <v>0</v>
      </c>
      <c r="AS88" s="89">
        <v>0</v>
      </c>
      <c r="AT88" s="89">
        <v>0</v>
      </c>
      <c r="AU88" s="89">
        <v>0</v>
      </c>
      <c r="AV88" s="89">
        <v>0</v>
      </c>
      <c r="AW88" s="89">
        <v>0</v>
      </c>
      <c r="AX88" s="89">
        <v>0</v>
      </c>
      <c r="AY88" s="89">
        <v>0</v>
      </c>
      <c r="AZ88" s="89">
        <v>0</v>
      </c>
      <c r="BA88" s="89">
        <v>0</v>
      </c>
      <c r="BB88" s="89">
        <v>0</v>
      </c>
      <c r="BC88" s="89">
        <v>0</v>
      </c>
      <c r="BD88" s="89">
        <v>0</v>
      </c>
      <c r="BE88" s="89">
        <v>0</v>
      </c>
      <c r="BF88" s="89">
        <v>0</v>
      </c>
      <c r="BG88" s="89">
        <v>0</v>
      </c>
      <c r="BH88" s="89">
        <v>0</v>
      </c>
      <c r="BI88" s="89">
        <v>0</v>
      </c>
      <c r="BJ88" s="89">
        <v>0</v>
      </c>
      <c r="BK88" s="89">
        <v>0</v>
      </c>
      <c r="BL88" s="89">
        <v>0</v>
      </c>
      <c r="BM88" s="89">
        <v>0</v>
      </c>
      <c r="BN88" s="89">
        <v>0</v>
      </c>
      <c r="BO88" s="89">
        <v>0</v>
      </c>
      <c r="BP88" s="89">
        <v>0</v>
      </c>
      <c r="BQ88" s="89">
        <v>0</v>
      </c>
      <c r="BR88" s="89">
        <v>0</v>
      </c>
      <c r="BS88" s="89">
        <v>0</v>
      </c>
      <c r="BT88" s="89">
        <v>0</v>
      </c>
      <c r="BU88" s="89">
        <v>0</v>
      </c>
      <c r="BV88" s="89">
        <v>0</v>
      </c>
    </row>
    <row r="89" spans="2:74" ht="15" customHeight="1">
      <c r="B89" s="86" t="s">
        <v>151</v>
      </c>
      <c r="C89" s="23" t="s">
        <v>190</v>
      </c>
      <c r="D89" s="87">
        <f>SUM(Resource_Rates_Table56[[#This Row],[Year 1 Hours]],Resource_Rates_Table56[[#This Row],[Year 2 Hours]],Resource_Rates_Table56[[#This Row],[Year 3 Hours]],Resource_Rates_Table56[[#This Row],[Year 4 Hours]],Resource_Rates_Table56[[#This Row],[Year 5 Hours]])</f>
        <v>0</v>
      </c>
      <c r="E89" s="88">
        <f t="shared" si="5"/>
        <v>0</v>
      </c>
      <c r="F8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9" s="88">
        <f t="shared" si="9"/>
        <v>0</v>
      </c>
      <c r="H89" s="88" t="str">
        <f>IFERROR(Resource_Rates_Table56[[#This Row],[Year 2 Hours]]/((IF(AND($D$4&gt;12,$D$4&lt;25),$D$4-12,IF($D$4&gt;24,12,"N/A")))*IF(VLOOKUP(Resource_Rates_Table56[[#This Row],[Resource Title]],'Resource Descriptions'!$D$6:$J$112,7,FALSE)="Onshore",$F$4,$F$5)),"N/A")</f>
        <v>N/A</v>
      </c>
      <c r="I89" s="88">
        <f t="shared" si="6"/>
        <v>0</v>
      </c>
      <c r="J89" s="88" t="str">
        <f>IFERROR(Resource_Rates_Table56[[#This Row],[Year 3 Hours]]/((IF(AND($D$4&gt;24,$D$4&lt;37),$D$4-24,IF($D$4&gt;36,12,"N/A")))*IF(VLOOKUP(Resource_Rates_Table56[[#This Row],[Resource Title]],'Resource Descriptions'!$D$6:$J$112,7,FALSE)="Onshore",$F$4,$F$5)),"N/A")</f>
        <v>N/A</v>
      </c>
      <c r="K89" s="88">
        <f t="shared" si="7"/>
        <v>0</v>
      </c>
      <c r="L89" s="88" t="str">
        <f>IFERROR(Resource_Rates_Table56[[#This Row],[Year 4 Hours]]/((IF(AND($D$4&gt;36,$D$4&lt;49),$D$4-36,IF($D$4&gt;48,12,"N/A")))*IF(VLOOKUP(Resource_Rates_Table56[[#This Row],[Resource Title]],'Resource Descriptions'!$D$6:$J$112,7,FALSE)="Onshore",$F$4,$F$5)),"N/A")</f>
        <v>N/A</v>
      </c>
      <c r="M89" s="88">
        <f t="shared" si="8"/>
        <v>0</v>
      </c>
      <c r="N89" s="88" t="str">
        <f>IFERROR(Resource_Rates_Table56[[#This Row],[Year 5 Hours]]/((IF(AND($D$4&gt;48,$D$4&lt;61),$D$4-48,IF($D$4&gt;60,12,"N/A")))*IF(VLOOKUP(Resource_Rates_Table56[[#This Row],[Resource Title]],'Resource Descriptions'!$D$6:$J$112,7,FALSE)="Onshore",$F$4,$F$5)),"N/A")</f>
        <v>N/A</v>
      </c>
      <c r="O89" s="89">
        <v>0</v>
      </c>
      <c r="P89" s="89">
        <v>0</v>
      </c>
      <c r="Q89" s="89">
        <v>0</v>
      </c>
      <c r="R89" s="89">
        <v>0</v>
      </c>
      <c r="S89" s="89">
        <v>0</v>
      </c>
      <c r="T89" s="89">
        <v>0</v>
      </c>
      <c r="U89" s="89">
        <v>0</v>
      </c>
      <c r="V89" s="89">
        <v>0</v>
      </c>
      <c r="W89" s="89">
        <v>0</v>
      </c>
      <c r="X89" s="89">
        <v>0</v>
      </c>
      <c r="Y89" s="89">
        <v>0</v>
      </c>
      <c r="Z89" s="89">
        <v>0</v>
      </c>
      <c r="AA89" s="89">
        <v>0</v>
      </c>
      <c r="AB89" s="89">
        <v>0</v>
      </c>
      <c r="AC89" s="89">
        <v>0</v>
      </c>
      <c r="AD89" s="89">
        <v>0</v>
      </c>
      <c r="AE89" s="89">
        <v>0</v>
      </c>
      <c r="AF89" s="89">
        <v>0</v>
      </c>
      <c r="AG89" s="89">
        <v>0</v>
      </c>
      <c r="AH89" s="89">
        <v>0</v>
      </c>
      <c r="AI89" s="89">
        <v>0</v>
      </c>
      <c r="AJ89" s="89">
        <v>0</v>
      </c>
      <c r="AK89" s="89">
        <v>0</v>
      </c>
      <c r="AL89" s="89">
        <v>0</v>
      </c>
      <c r="AM89" s="89">
        <v>0</v>
      </c>
      <c r="AN89" s="89">
        <v>0</v>
      </c>
      <c r="AO89" s="89">
        <v>0</v>
      </c>
      <c r="AP89" s="89">
        <v>0</v>
      </c>
      <c r="AQ89" s="89">
        <v>0</v>
      </c>
      <c r="AR89" s="89">
        <v>0</v>
      </c>
      <c r="AS89" s="89">
        <v>0</v>
      </c>
      <c r="AT89" s="89">
        <v>0</v>
      </c>
      <c r="AU89" s="89">
        <v>0</v>
      </c>
      <c r="AV89" s="89">
        <v>0</v>
      </c>
      <c r="AW89" s="89">
        <v>0</v>
      </c>
      <c r="AX89" s="89">
        <v>0</v>
      </c>
      <c r="AY89" s="89">
        <v>0</v>
      </c>
      <c r="AZ89" s="89">
        <v>0</v>
      </c>
      <c r="BA89" s="89">
        <v>0</v>
      </c>
      <c r="BB89" s="89">
        <v>0</v>
      </c>
      <c r="BC89" s="89">
        <v>0</v>
      </c>
      <c r="BD89" s="89">
        <v>0</v>
      </c>
      <c r="BE89" s="89">
        <v>0</v>
      </c>
      <c r="BF89" s="89">
        <v>0</v>
      </c>
      <c r="BG89" s="89">
        <v>0</v>
      </c>
      <c r="BH89" s="89">
        <v>0</v>
      </c>
      <c r="BI89" s="89">
        <v>0</v>
      </c>
      <c r="BJ89" s="89">
        <v>0</v>
      </c>
      <c r="BK89" s="89">
        <v>0</v>
      </c>
      <c r="BL89" s="89">
        <v>0</v>
      </c>
      <c r="BM89" s="89">
        <v>0</v>
      </c>
      <c r="BN89" s="89">
        <v>0</v>
      </c>
      <c r="BO89" s="89">
        <v>0</v>
      </c>
      <c r="BP89" s="89">
        <v>0</v>
      </c>
      <c r="BQ89" s="89">
        <v>0</v>
      </c>
      <c r="BR89" s="89">
        <v>0</v>
      </c>
      <c r="BS89" s="89">
        <v>0</v>
      </c>
      <c r="BT89" s="89">
        <v>0</v>
      </c>
      <c r="BU89" s="89">
        <v>0</v>
      </c>
      <c r="BV89" s="89">
        <v>0</v>
      </c>
    </row>
    <row r="90" spans="2:74" ht="15" customHeight="1">
      <c r="B90" s="86" t="s">
        <v>191</v>
      </c>
      <c r="C90" s="23" t="s">
        <v>192</v>
      </c>
      <c r="D90" s="87">
        <f>SUM(Resource_Rates_Table56[[#This Row],[Year 1 Hours]],Resource_Rates_Table56[[#This Row],[Year 2 Hours]],Resource_Rates_Table56[[#This Row],[Year 3 Hours]],Resource_Rates_Table56[[#This Row],[Year 4 Hours]],Resource_Rates_Table56[[#This Row],[Year 5 Hours]])</f>
        <v>0</v>
      </c>
      <c r="E90" s="88">
        <f t="shared" si="5"/>
        <v>0</v>
      </c>
      <c r="F9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0" s="88">
        <f t="shared" si="9"/>
        <v>0</v>
      </c>
      <c r="H90" s="88" t="str">
        <f>IFERROR(Resource_Rates_Table56[[#This Row],[Year 2 Hours]]/((IF(AND($D$4&gt;12,$D$4&lt;25),$D$4-12,IF($D$4&gt;24,12,"N/A")))*IF(VLOOKUP(Resource_Rates_Table56[[#This Row],[Resource Title]],'Resource Descriptions'!$D$6:$J$112,7,FALSE)="Onshore",$F$4,$F$5)),"N/A")</f>
        <v>N/A</v>
      </c>
      <c r="I90" s="88">
        <f t="shared" si="6"/>
        <v>0</v>
      </c>
      <c r="J90" s="88" t="str">
        <f>IFERROR(Resource_Rates_Table56[[#This Row],[Year 3 Hours]]/((IF(AND($D$4&gt;24,$D$4&lt;37),$D$4-24,IF($D$4&gt;36,12,"N/A")))*IF(VLOOKUP(Resource_Rates_Table56[[#This Row],[Resource Title]],'Resource Descriptions'!$D$6:$J$112,7,FALSE)="Onshore",$F$4,$F$5)),"N/A")</f>
        <v>N/A</v>
      </c>
      <c r="K90" s="88">
        <f t="shared" si="7"/>
        <v>0</v>
      </c>
      <c r="L90" s="88" t="str">
        <f>IFERROR(Resource_Rates_Table56[[#This Row],[Year 4 Hours]]/((IF(AND($D$4&gt;36,$D$4&lt;49),$D$4-36,IF($D$4&gt;48,12,"N/A")))*IF(VLOOKUP(Resource_Rates_Table56[[#This Row],[Resource Title]],'Resource Descriptions'!$D$6:$J$112,7,FALSE)="Onshore",$F$4,$F$5)),"N/A")</f>
        <v>N/A</v>
      </c>
      <c r="M90" s="88">
        <f t="shared" si="8"/>
        <v>0</v>
      </c>
      <c r="N90" s="88" t="str">
        <f>IFERROR(Resource_Rates_Table56[[#This Row],[Year 5 Hours]]/((IF(AND($D$4&gt;48,$D$4&lt;61),$D$4-48,IF($D$4&gt;60,12,"N/A")))*IF(VLOOKUP(Resource_Rates_Table56[[#This Row],[Resource Title]],'Resource Descriptions'!$D$6:$J$112,7,FALSE)="Onshore",$F$4,$F$5)),"N/A")</f>
        <v>N/A</v>
      </c>
      <c r="O90" s="89">
        <v>0</v>
      </c>
      <c r="P90" s="89">
        <v>0</v>
      </c>
      <c r="Q90" s="89">
        <v>0</v>
      </c>
      <c r="R90" s="89">
        <v>0</v>
      </c>
      <c r="S90" s="89">
        <v>0</v>
      </c>
      <c r="T90" s="89">
        <v>0</v>
      </c>
      <c r="U90" s="89">
        <v>0</v>
      </c>
      <c r="V90" s="89">
        <v>0</v>
      </c>
      <c r="W90" s="89">
        <v>0</v>
      </c>
      <c r="X90" s="89">
        <v>0</v>
      </c>
      <c r="Y90" s="89">
        <v>0</v>
      </c>
      <c r="Z90" s="89">
        <v>0</v>
      </c>
      <c r="AA90" s="89">
        <v>0</v>
      </c>
      <c r="AB90" s="89">
        <v>0</v>
      </c>
      <c r="AC90" s="89">
        <v>0</v>
      </c>
      <c r="AD90" s="89">
        <v>0</v>
      </c>
      <c r="AE90" s="89">
        <v>0</v>
      </c>
      <c r="AF90" s="89">
        <v>0</v>
      </c>
      <c r="AG90" s="89">
        <v>0</v>
      </c>
      <c r="AH90" s="89">
        <v>0</v>
      </c>
      <c r="AI90" s="89">
        <v>0</v>
      </c>
      <c r="AJ90" s="89">
        <v>0</v>
      </c>
      <c r="AK90" s="89">
        <v>0</v>
      </c>
      <c r="AL90" s="89">
        <v>0</v>
      </c>
      <c r="AM90" s="89">
        <v>0</v>
      </c>
      <c r="AN90" s="89">
        <v>0</v>
      </c>
      <c r="AO90" s="89">
        <v>0</v>
      </c>
      <c r="AP90" s="89">
        <v>0</v>
      </c>
      <c r="AQ90" s="89">
        <v>0</v>
      </c>
      <c r="AR90" s="89">
        <v>0</v>
      </c>
      <c r="AS90" s="89">
        <v>0</v>
      </c>
      <c r="AT90" s="89">
        <v>0</v>
      </c>
      <c r="AU90" s="89">
        <v>0</v>
      </c>
      <c r="AV90" s="89">
        <v>0</v>
      </c>
      <c r="AW90" s="89">
        <v>0</v>
      </c>
      <c r="AX90" s="89">
        <v>0</v>
      </c>
      <c r="AY90" s="89">
        <v>0</v>
      </c>
      <c r="AZ90" s="89">
        <v>0</v>
      </c>
      <c r="BA90" s="89">
        <v>0</v>
      </c>
      <c r="BB90" s="89">
        <v>0</v>
      </c>
      <c r="BC90" s="89">
        <v>0</v>
      </c>
      <c r="BD90" s="89">
        <v>0</v>
      </c>
      <c r="BE90" s="89">
        <v>0</v>
      </c>
      <c r="BF90" s="89">
        <v>0</v>
      </c>
      <c r="BG90" s="89">
        <v>0</v>
      </c>
      <c r="BH90" s="89">
        <v>0</v>
      </c>
      <c r="BI90" s="89">
        <v>0</v>
      </c>
      <c r="BJ90" s="89">
        <v>0</v>
      </c>
      <c r="BK90" s="89">
        <v>0</v>
      </c>
      <c r="BL90" s="89">
        <v>0</v>
      </c>
      <c r="BM90" s="89">
        <v>0</v>
      </c>
      <c r="BN90" s="89">
        <v>0</v>
      </c>
      <c r="BO90" s="89">
        <v>0</v>
      </c>
      <c r="BP90" s="89">
        <v>0</v>
      </c>
      <c r="BQ90" s="89">
        <v>0</v>
      </c>
      <c r="BR90" s="89">
        <v>0</v>
      </c>
      <c r="BS90" s="89">
        <v>0</v>
      </c>
      <c r="BT90" s="89">
        <v>0</v>
      </c>
      <c r="BU90" s="89">
        <v>0</v>
      </c>
      <c r="BV90" s="89">
        <v>0</v>
      </c>
    </row>
    <row r="91" spans="2:74" ht="15" customHeight="1">
      <c r="B91" s="86" t="s">
        <v>191</v>
      </c>
      <c r="C91" s="23" t="s">
        <v>193</v>
      </c>
      <c r="D91" s="87">
        <f>SUM(Resource_Rates_Table56[[#This Row],[Year 1 Hours]],Resource_Rates_Table56[[#This Row],[Year 2 Hours]],Resource_Rates_Table56[[#This Row],[Year 3 Hours]],Resource_Rates_Table56[[#This Row],[Year 4 Hours]],Resource_Rates_Table56[[#This Row],[Year 5 Hours]])</f>
        <v>0</v>
      </c>
      <c r="E91" s="88">
        <f t="shared" si="5"/>
        <v>0</v>
      </c>
      <c r="F9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1" s="88">
        <f t="shared" si="9"/>
        <v>0</v>
      </c>
      <c r="H91" s="88" t="str">
        <f>IFERROR(Resource_Rates_Table56[[#This Row],[Year 2 Hours]]/((IF(AND($D$4&gt;12,$D$4&lt;25),$D$4-12,IF($D$4&gt;24,12,"N/A")))*IF(VLOOKUP(Resource_Rates_Table56[[#This Row],[Resource Title]],'Resource Descriptions'!$D$6:$J$112,7,FALSE)="Onshore",$F$4,$F$5)),"N/A")</f>
        <v>N/A</v>
      </c>
      <c r="I91" s="88">
        <f t="shared" si="6"/>
        <v>0</v>
      </c>
      <c r="J91" s="88" t="str">
        <f>IFERROR(Resource_Rates_Table56[[#This Row],[Year 3 Hours]]/((IF(AND($D$4&gt;24,$D$4&lt;37),$D$4-24,IF($D$4&gt;36,12,"N/A")))*IF(VLOOKUP(Resource_Rates_Table56[[#This Row],[Resource Title]],'Resource Descriptions'!$D$6:$J$112,7,FALSE)="Onshore",$F$4,$F$5)),"N/A")</f>
        <v>N/A</v>
      </c>
      <c r="K91" s="88">
        <f t="shared" si="7"/>
        <v>0</v>
      </c>
      <c r="L91" s="88" t="str">
        <f>IFERROR(Resource_Rates_Table56[[#This Row],[Year 4 Hours]]/((IF(AND($D$4&gt;36,$D$4&lt;49),$D$4-36,IF($D$4&gt;48,12,"N/A")))*IF(VLOOKUP(Resource_Rates_Table56[[#This Row],[Resource Title]],'Resource Descriptions'!$D$6:$J$112,7,FALSE)="Onshore",$F$4,$F$5)),"N/A")</f>
        <v>N/A</v>
      </c>
      <c r="M91" s="88">
        <f t="shared" si="8"/>
        <v>0</v>
      </c>
      <c r="N91" s="88" t="str">
        <f>IFERROR(Resource_Rates_Table56[[#This Row],[Year 5 Hours]]/((IF(AND($D$4&gt;48,$D$4&lt;61),$D$4-48,IF($D$4&gt;60,12,"N/A")))*IF(VLOOKUP(Resource_Rates_Table56[[#This Row],[Resource Title]],'Resource Descriptions'!$D$6:$J$112,7,FALSE)="Onshore",$F$4,$F$5)),"N/A")</f>
        <v>N/A</v>
      </c>
      <c r="O91" s="89">
        <v>0</v>
      </c>
      <c r="P91" s="89">
        <v>0</v>
      </c>
      <c r="Q91" s="89">
        <v>0</v>
      </c>
      <c r="R91" s="89">
        <v>0</v>
      </c>
      <c r="S91" s="89">
        <v>0</v>
      </c>
      <c r="T91" s="89">
        <v>0</v>
      </c>
      <c r="U91" s="89">
        <v>0</v>
      </c>
      <c r="V91" s="89">
        <v>0</v>
      </c>
      <c r="W91" s="89">
        <v>0</v>
      </c>
      <c r="X91" s="89">
        <v>0</v>
      </c>
      <c r="Y91" s="89">
        <v>0</v>
      </c>
      <c r="Z91" s="89">
        <v>0</v>
      </c>
      <c r="AA91" s="89">
        <v>0</v>
      </c>
      <c r="AB91" s="89">
        <v>0</v>
      </c>
      <c r="AC91" s="89">
        <v>0</v>
      </c>
      <c r="AD91" s="89">
        <v>0</v>
      </c>
      <c r="AE91" s="89">
        <v>0</v>
      </c>
      <c r="AF91" s="89">
        <v>0</v>
      </c>
      <c r="AG91" s="89">
        <v>0</v>
      </c>
      <c r="AH91" s="89">
        <v>0</v>
      </c>
      <c r="AI91" s="89">
        <v>0</v>
      </c>
      <c r="AJ91" s="89">
        <v>0</v>
      </c>
      <c r="AK91" s="89">
        <v>0</v>
      </c>
      <c r="AL91" s="89">
        <v>0</v>
      </c>
      <c r="AM91" s="89">
        <v>0</v>
      </c>
      <c r="AN91" s="89">
        <v>0</v>
      </c>
      <c r="AO91" s="89">
        <v>0</v>
      </c>
      <c r="AP91" s="89">
        <v>0</v>
      </c>
      <c r="AQ91" s="89">
        <v>0</v>
      </c>
      <c r="AR91" s="89">
        <v>0</v>
      </c>
      <c r="AS91" s="89">
        <v>0</v>
      </c>
      <c r="AT91" s="89">
        <v>0</v>
      </c>
      <c r="AU91" s="89">
        <v>0</v>
      </c>
      <c r="AV91" s="89">
        <v>0</v>
      </c>
      <c r="AW91" s="89">
        <v>0</v>
      </c>
      <c r="AX91" s="89">
        <v>0</v>
      </c>
      <c r="AY91" s="89">
        <v>0</v>
      </c>
      <c r="AZ91" s="89">
        <v>0</v>
      </c>
      <c r="BA91" s="89">
        <v>0</v>
      </c>
      <c r="BB91" s="89">
        <v>0</v>
      </c>
      <c r="BC91" s="89">
        <v>0</v>
      </c>
      <c r="BD91" s="89">
        <v>0</v>
      </c>
      <c r="BE91" s="89">
        <v>0</v>
      </c>
      <c r="BF91" s="89">
        <v>0</v>
      </c>
      <c r="BG91" s="89">
        <v>0</v>
      </c>
      <c r="BH91" s="89">
        <v>0</v>
      </c>
      <c r="BI91" s="89">
        <v>0</v>
      </c>
      <c r="BJ91" s="89">
        <v>0</v>
      </c>
      <c r="BK91" s="89">
        <v>0</v>
      </c>
      <c r="BL91" s="89">
        <v>0</v>
      </c>
      <c r="BM91" s="89">
        <v>0</v>
      </c>
      <c r="BN91" s="89">
        <v>0</v>
      </c>
      <c r="BO91" s="89">
        <v>0</v>
      </c>
      <c r="BP91" s="89">
        <v>0</v>
      </c>
      <c r="BQ91" s="89">
        <v>0</v>
      </c>
      <c r="BR91" s="89">
        <v>0</v>
      </c>
      <c r="BS91" s="89">
        <v>0</v>
      </c>
      <c r="BT91" s="89">
        <v>0</v>
      </c>
      <c r="BU91" s="89">
        <v>0</v>
      </c>
      <c r="BV91" s="89">
        <v>0</v>
      </c>
    </row>
    <row r="92" spans="2:74" ht="15" customHeight="1">
      <c r="B92" s="86" t="s">
        <v>191</v>
      </c>
      <c r="C92" s="23" t="s">
        <v>194</v>
      </c>
      <c r="D92" s="87">
        <f>SUM(Resource_Rates_Table56[[#This Row],[Year 1 Hours]],Resource_Rates_Table56[[#This Row],[Year 2 Hours]],Resource_Rates_Table56[[#This Row],[Year 3 Hours]],Resource_Rates_Table56[[#This Row],[Year 4 Hours]],Resource_Rates_Table56[[#This Row],[Year 5 Hours]])</f>
        <v>0</v>
      </c>
      <c r="E92" s="88">
        <f t="shared" si="5"/>
        <v>0</v>
      </c>
      <c r="F9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2" s="88">
        <f t="shared" si="9"/>
        <v>0</v>
      </c>
      <c r="H92" s="88" t="str">
        <f>IFERROR(Resource_Rates_Table56[[#This Row],[Year 2 Hours]]/((IF(AND($D$4&gt;12,$D$4&lt;25),$D$4-12,IF($D$4&gt;24,12,"N/A")))*IF(VLOOKUP(Resource_Rates_Table56[[#This Row],[Resource Title]],'Resource Descriptions'!$D$6:$J$112,7,FALSE)="Onshore",$F$4,$F$5)),"N/A")</f>
        <v>N/A</v>
      </c>
      <c r="I92" s="88">
        <f t="shared" si="6"/>
        <v>0</v>
      </c>
      <c r="J92" s="88" t="str">
        <f>IFERROR(Resource_Rates_Table56[[#This Row],[Year 3 Hours]]/((IF(AND($D$4&gt;24,$D$4&lt;37),$D$4-24,IF($D$4&gt;36,12,"N/A")))*IF(VLOOKUP(Resource_Rates_Table56[[#This Row],[Resource Title]],'Resource Descriptions'!$D$6:$J$112,7,FALSE)="Onshore",$F$4,$F$5)),"N/A")</f>
        <v>N/A</v>
      </c>
      <c r="K92" s="88">
        <f t="shared" si="7"/>
        <v>0</v>
      </c>
      <c r="L92" s="88" t="str">
        <f>IFERROR(Resource_Rates_Table56[[#This Row],[Year 4 Hours]]/((IF(AND($D$4&gt;36,$D$4&lt;49),$D$4-36,IF($D$4&gt;48,12,"N/A")))*IF(VLOOKUP(Resource_Rates_Table56[[#This Row],[Resource Title]],'Resource Descriptions'!$D$6:$J$112,7,FALSE)="Onshore",$F$4,$F$5)),"N/A")</f>
        <v>N/A</v>
      </c>
      <c r="M92" s="88">
        <f t="shared" si="8"/>
        <v>0</v>
      </c>
      <c r="N92" s="88" t="str">
        <f>IFERROR(Resource_Rates_Table56[[#This Row],[Year 5 Hours]]/((IF(AND($D$4&gt;48,$D$4&lt;61),$D$4-48,IF($D$4&gt;60,12,"N/A")))*IF(VLOOKUP(Resource_Rates_Table56[[#This Row],[Resource Title]],'Resource Descriptions'!$D$6:$J$112,7,FALSE)="Onshore",$F$4,$F$5)),"N/A")</f>
        <v>N/A</v>
      </c>
      <c r="O92" s="89">
        <v>0</v>
      </c>
      <c r="P92" s="89">
        <v>0</v>
      </c>
      <c r="Q92" s="89">
        <v>0</v>
      </c>
      <c r="R92" s="89">
        <v>0</v>
      </c>
      <c r="S92" s="89">
        <v>0</v>
      </c>
      <c r="T92" s="89">
        <v>0</v>
      </c>
      <c r="U92" s="89">
        <v>0</v>
      </c>
      <c r="V92" s="89">
        <v>0</v>
      </c>
      <c r="W92" s="89">
        <v>0</v>
      </c>
      <c r="X92" s="89">
        <v>0</v>
      </c>
      <c r="Y92" s="89">
        <v>0</v>
      </c>
      <c r="Z92" s="89">
        <v>0</v>
      </c>
      <c r="AA92" s="89">
        <v>0</v>
      </c>
      <c r="AB92" s="89">
        <v>0</v>
      </c>
      <c r="AC92" s="89">
        <v>0</v>
      </c>
      <c r="AD92" s="89">
        <v>0</v>
      </c>
      <c r="AE92" s="89">
        <v>0</v>
      </c>
      <c r="AF92" s="89">
        <v>0</v>
      </c>
      <c r="AG92" s="89">
        <v>0</v>
      </c>
      <c r="AH92" s="89">
        <v>0</v>
      </c>
      <c r="AI92" s="89">
        <v>0</v>
      </c>
      <c r="AJ92" s="89">
        <v>0</v>
      </c>
      <c r="AK92" s="89">
        <v>0</v>
      </c>
      <c r="AL92" s="89">
        <v>0</v>
      </c>
      <c r="AM92" s="89">
        <v>0</v>
      </c>
      <c r="AN92" s="89">
        <v>0</v>
      </c>
      <c r="AO92" s="89">
        <v>0</v>
      </c>
      <c r="AP92" s="89">
        <v>0</v>
      </c>
      <c r="AQ92" s="89">
        <v>0</v>
      </c>
      <c r="AR92" s="89">
        <v>0</v>
      </c>
      <c r="AS92" s="89">
        <v>0</v>
      </c>
      <c r="AT92" s="89">
        <v>0</v>
      </c>
      <c r="AU92" s="89">
        <v>0</v>
      </c>
      <c r="AV92" s="89">
        <v>0</v>
      </c>
      <c r="AW92" s="89">
        <v>0</v>
      </c>
      <c r="AX92" s="89">
        <v>0</v>
      </c>
      <c r="AY92" s="89">
        <v>0</v>
      </c>
      <c r="AZ92" s="89">
        <v>0</v>
      </c>
      <c r="BA92" s="89">
        <v>0</v>
      </c>
      <c r="BB92" s="89">
        <v>0</v>
      </c>
      <c r="BC92" s="89">
        <v>0</v>
      </c>
      <c r="BD92" s="89">
        <v>0</v>
      </c>
      <c r="BE92" s="89">
        <v>0</v>
      </c>
      <c r="BF92" s="89">
        <v>0</v>
      </c>
      <c r="BG92" s="89">
        <v>0</v>
      </c>
      <c r="BH92" s="89">
        <v>0</v>
      </c>
      <c r="BI92" s="89">
        <v>0</v>
      </c>
      <c r="BJ92" s="89">
        <v>0</v>
      </c>
      <c r="BK92" s="89">
        <v>0</v>
      </c>
      <c r="BL92" s="89">
        <v>0</v>
      </c>
      <c r="BM92" s="89">
        <v>0</v>
      </c>
      <c r="BN92" s="89">
        <v>0</v>
      </c>
      <c r="BO92" s="89">
        <v>0</v>
      </c>
      <c r="BP92" s="89">
        <v>0</v>
      </c>
      <c r="BQ92" s="89">
        <v>0</v>
      </c>
      <c r="BR92" s="89">
        <v>0</v>
      </c>
      <c r="BS92" s="89">
        <v>0</v>
      </c>
      <c r="BT92" s="89">
        <v>0</v>
      </c>
      <c r="BU92" s="89">
        <v>0</v>
      </c>
      <c r="BV92" s="89">
        <v>0</v>
      </c>
    </row>
    <row r="93" spans="2:74" ht="15" customHeight="1">
      <c r="B93" s="86" t="s">
        <v>195</v>
      </c>
      <c r="C93" s="23" t="s">
        <v>196</v>
      </c>
      <c r="D93" s="87">
        <f>SUM(Resource_Rates_Table56[[#This Row],[Year 1 Hours]],Resource_Rates_Table56[[#This Row],[Year 2 Hours]],Resource_Rates_Table56[[#This Row],[Year 3 Hours]],Resource_Rates_Table56[[#This Row],[Year 4 Hours]],Resource_Rates_Table56[[#This Row],[Year 5 Hours]])</f>
        <v>0</v>
      </c>
      <c r="E93" s="88">
        <f t="shared" si="5"/>
        <v>0</v>
      </c>
      <c r="F9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3" s="88">
        <f t="shared" si="9"/>
        <v>0</v>
      </c>
      <c r="H93" s="88" t="str">
        <f>IFERROR(Resource_Rates_Table56[[#This Row],[Year 2 Hours]]/((IF(AND($D$4&gt;12,$D$4&lt;25),$D$4-12,IF($D$4&gt;24,12,"N/A")))*IF(VLOOKUP(Resource_Rates_Table56[[#This Row],[Resource Title]],'Resource Descriptions'!$D$6:$J$112,7,FALSE)="Onshore",$F$4,$F$5)),"N/A")</f>
        <v>N/A</v>
      </c>
      <c r="I93" s="88">
        <f t="shared" si="6"/>
        <v>0</v>
      </c>
      <c r="J93" s="88" t="str">
        <f>IFERROR(Resource_Rates_Table56[[#This Row],[Year 3 Hours]]/((IF(AND($D$4&gt;24,$D$4&lt;37),$D$4-24,IF($D$4&gt;36,12,"N/A")))*IF(VLOOKUP(Resource_Rates_Table56[[#This Row],[Resource Title]],'Resource Descriptions'!$D$6:$J$112,7,FALSE)="Onshore",$F$4,$F$5)),"N/A")</f>
        <v>N/A</v>
      </c>
      <c r="K93" s="88">
        <f t="shared" si="7"/>
        <v>0</v>
      </c>
      <c r="L93" s="88" t="str">
        <f>IFERROR(Resource_Rates_Table56[[#This Row],[Year 4 Hours]]/((IF(AND($D$4&gt;36,$D$4&lt;49),$D$4-36,IF($D$4&gt;48,12,"N/A")))*IF(VLOOKUP(Resource_Rates_Table56[[#This Row],[Resource Title]],'Resource Descriptions'!$D$6:$J$112,7,FALSE)="Onshore",$F$4,$F$5)),"N/A")</f>
        <v>N/A</v>
      </c>
      <c r="M93" s="88">
        <f t="shared" si="8"/>
        <v>0</v>
      </c>
      <c r="N93" s="88" t="str">
        <f>IFERROR(Resource_Rates_Table56[[#This Row],[Year 5 Hours]]/((IF(AND($D$4&gt;48,$D$4&lt;61),$D$4-48,IF($D$4&gt;60,12,"N/A")))*IF(VLOOKUP(Resource_Rates_Table56[[#This Row],[Resource Title]],'Resource Descriptions'!$D$6:$J$112,7,FALSE)="Onshore",$F$4,$F$5)),"N/A")</f>
        <v>N/A</v>
      </c>
      <c r="O93" s="89">
        <v>0</v>
      </c>
      <c r="P93" s="89">
        <v>0</v>
      </c>
      <c r="Q93" s="89">
        <v>0</v>
      </c>
      <c r="R93" s="89">
        <v>0</v>
      </c>
      <c r="S93" s="89">
        <v>0</v>
      </c>
      <c r="T93" s="89">
        <v>0</v>
      </c>
      <c r="U93" s="89">
        <v>0</v>
      </c>
      <c r="V93" s="89">
        <v>0</v>
      </c>
      <c r="W93" s="89">
        <v>0</v>
      </c>
      <c r="X93" s="89">
        <v>0</v>
      </c>
      <c r="Y93" s="89">
        <v>0</v>
      </c>
      <c r="Z93" s="89">
        <v>0</v>
      </c>
      <c r="AA93" s="89">
        <v>0</v>
      </c>
      <c r="AB93" s="89">
        <v>0</v>
      </c>
      <c r="AC93" s="89">
        <v>0</v>
      </c>
      <c r="AD93" s="89">
        <v>0</v>
      </c>
      <c r="AE93" s="89">
        <v>0</v>
      </c>
      <c r="AF93" s="89">
        <v>0</v>
      </c>
      <c r="AG93" s="89">
        <v>0</v>
      </c>
      <c r="AH93" s="89">
        <v>0</v>
      </c>
      <c r="AI93" s="89">
        <v>0</v>
      </c>
      <c r="AJ93" s="89">
        <v>0</v>
      </c>
      <c r="AK93" s="89">
        <v>0</v>
      </c>
      <c r="AL93" s="89">
        <v>0</v>
      </c>
      <c r="AM93" s="89">
        <v>0</v>
      </c>
      <c r="AN93" s="89">
        <v>0</v>
      </c>
      <c r="AO93" s="89">
        <v>0</v>
      </c>
      <c r="AP93" s="89">
        <v>0</v>
      </c>
      <c r="AQ93" s="89">
        <v>0</v>
      </c>
      <c r="AR93" s="89">
        <v>0</v>
      </c>
      <c r="AS93" s="89">
        <v>0</v>
      </c>
      <c r="AT93" s="89">
        <v>0</v>
      </c>
      <c r="AU93" s="89">
        <v>0</v>
      </c>
      <c r="AV93" s="89">
        <v>0</v>
      </c>
      <c r="AW93" s="89">
        <v>0</v>
      </c>
      <c r="AX93" s="89">
        <v>0</v>
      </c>
      <c r="AY93" s="89">
        <v>0</v>
      </c>
      <c r="AZ93" s="89">
        <v>0</v>
      </c>
      <c r="BA93" s="89">
        <v>0</v>
      </c>
      <c r="BB93" s="89">
        <v>0</v>
      </c>
      <c r="BC93" s="89">
        <v>0</v>
      </c>
      <c r="BD93" s="89">
        <v>0</v>
      </c>
      <c r="BE93" s="89">
        <v>0</v>
      </c>
      <c r="BF93" s="89">
        <v>0</v>
      </c>
      <c r="BG93" s="89">
        <v>0</v>
      </c>
      <c r="BH93" s="89">
        <v>0</v>
      </c>
      <c r="BI93" s="89">
        <v>0</v>
      </c>
      <c r="BJ93" s="89">
        <v>0</v>
      </c>
      <c r="BK93" s="89">
        <v>0</v>
      </c>
      <c r="BL93" s="89">
        <v>0</v>
      </c>
      <c r="BM93" s="89">
        <v>0</v>
      </c>
      <c r="BN93" s="89">
        <v>0</v>
      </c>
      <c r="BO93" s="89">
        <v>0</v>
      </c>
      <c r="BP93" s="89">
        <v>0</v>
      </c>
      <c r="BQ93" s="89">
        <v>0</v>
      </c>
      <c r="BR93" s="89">
        <v>0</v>
      </c>
      <c r="BS93" s="89">
        <v>0</v>
      </c>
      <c r="BT93" s="89">
        <v>0</v>
      </c>
      <c r="BU93" s="89">
        <v>0</v>
      </c>
      <c r="BV93" s="89">
        <v>0</v>
      </c>
    </row>
    <row r="94" spans="2:74" ht="15" customHeight="1">
      <c r="B94" s="86" t="s">
        <v>195</v>
      </c>
      <c r="C94" s="23" t="s">
        <v>197</v>
      </c>
      <c r="D94" s="87">
        <f>SUM(Resource_Rates_Table56[[#This Row],[Year 1 Hours]],Resource_Rates_Table56[[#This Row],[Year 2 Hours]],Resource_Rates_Table56[[#This Row],[Year 3 Hours]],Resource_Rates_Table56[[#This Row],[Year 4 Hours]],Resource_Rates_Table56[[#This Row],[Year 5 Hours]])</f>
        <v>0</v>
      </c>
      <c r="E94" s="88">
        <f t="shared" si="5"/>
        <v>0</v>
      </c>
      <c r="F9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4" s="88">
        <f t="shared" si="9"/>
        <v>0</v>
      </c>
      <c r="H94" s="88" t="str">
        <f>IFERROR(Resource_Rates_Table56[[#This Row],[Year 2 Hours]]/((IF(AND($D$4&gt;12,$D$4&lt;25),$D$4-12,IF($D$4&gt;24,12,"N/A")))*IF(VLOOKUP(Resource_Rates_Table56[[#This Row],[Resource Title]],'Resource Descriptions'!$D$6:$J$112,7,FALSE)="Onshore",$F$4,$F$5)),"N/A")</f>
        <v>N/A</v>
      </c>
      <c r="I94" s="88">
        <f t="shared" si="6"/>
        <v>0</v>
      </c>
      <c r="J94" s="88" t="str">
        <f>IFERROR(Resource_Rates_Table56[[#This Row],[Year 3 Hours]]/((IF(AND($D$4&gt;24,$D$4&lt;37),$D$4-24,IF($D$4&gt;36,12,"N/A")))*IF(VLOOKUP(Resource_Rates_Table56[[#This Row],[Resource Title]],'Resource Descriptions'!$D$6:$J$112,7,FALSE)="Onshore",$F$4,$F$5)),"N/A")</f>
        <v>N/A</v>
      </c>
      <c r="K94" s="88">
        <f t="shared" si="7"/>
        <v>0</v>
      </c>
      <c r="L94" s="88" t="str">
        <f>IFERROR(Resource_Rates_Table56[[#This Row],[Year 4 Hours]]/((IF(AND($D$4&gt;36,$D$4&lt;49),$D$4-36,IF($D$4&gt;48,12,"N/A")))*IF(VLOOKUP(Resource_Rates_Table56[[#This Row],[Resource Title]],'Resource Descriptions'!$D$6:$J$112,7,FALSE)="Onshore",$F$4,$F$5)),"N/A")</f>
        <v>N/A</v>
      </c>
      <c r="M94" s="88">
        <f t="shared" si="8"/>
        <v>0</v>
      </c>
      <c r="N94" s="88" t="str">
        <f>IFERROR(Resource_Rates_Table56[[#This Row],[Year 5 Hours]]/((IF(AND($D$4&gt;48,$D$4&lt;61),$D$4-48,IF($D$4&gt;60,12,"N/A")))*IF(VLOOKUP(Resource_Rates_Table56[[#This Row],[Resource Title]],'Resource Descriptions'!$D$6:$J$112,7,FALSE)="Onshore",$F$4,$F$5)),"N/A")</f>
        <v>N/A</v>
      </c>
      <c r="O94" s="89">
        <v>0</v>
      </c>
      <c r="P94" s="89">
        <v>0</v>
      </c>
      <c r="Q94" s="89">
        <v>0</v>
      </c>
      <c r="R94" s="89">
        <v>0</v>
      </c>
      <c r="S94" s="89">
        <v>0</v>
      </c>
      <c r="T94" s="89">
        <v>0</v>
      </c>
      <c r="U94" s="89">
        <v>0</v>
      </c>
      <c r="V94" s="89">
        <v>0</v>
      </c>
      <c r="W94" s="89">
        <v>0</v>
      </c>
      <c r="X94" s="89">
        <v>0</v>
      </c>
      <c r="Y94" s="89">
        <v>0</v>
      </c>
      <c r="Z94" s="89">
        <v>0</v>
      </c>
      <c r="AA94" s="89">
        <v>0</v>
      </c>
      <c r="AB94" s="89">
        <v>0</v>
      </c>
      <c r="AC94" s="89">
        <v>0</v>
      </c>
      <c r="AD94" s="89">
        <v>0</v>
      </c>
      <c r="AE94" s="89">
        <v>0</v>
      </c>
      <c r="AF94" s="89">
        <v>0</v>
      </c>
      <c r="AG94" s="89">
        <v>0</v>
      </c>
      <c r="AH94" s="89">
        <v>0</v>
      </c>
      <c r="AI94" s="89">
        <v>0</v>
      </c>
      <c r="AJ94" s="89">
        <v>0</v>
      </c>
      <c r="AK94" s="89">
        <v>0</v>
      </c>
      <c r="AL94" s="89">
        <v>0</v>
      </c>
      <c r="AM94" s="89">
        <v>0</v>
      </c>
      <c r="AN94" s="89">
        <v>0</v>
      </c>
      <c r="AO94" s="89">
        <v>0</v>
      </c>
      <c r="AP94" s="89">
        <v>0</v>
      </c>
      <c r="AQ94" s="89">
        <v>0</v>
      </c>
      <c r="AR94" s="89">
        <v>0</v>
      </c>
      <c r="AS94" s="89">
        <v>0</v>
      </c>
      <c r="AT94" s="89">
        <v>0</v>
      </c>
      <c r="AU94" s="89">
        <v>0</v>
      </c>
      <c r="AV94" s="89">
        <v>0</v>
      </c>
      <c r="AW94" s="89">
        <v>0</v>
      </c>
      <c r="AX94" s="89">
        <v>0</v>
      </c>
      <c r="AY94" s="89">
        <v>0</v>
      </c>
      <c r="AZ94" s="89">
        <v>0</v>
      </c>
      <c r="BA94" s="89">
        <v>0</v>
      </c>
      <c r="BB94" s="89">
        <v>0</v>
      </c>
      <c r="BC94" s="89">
        <v>0</v>
      </c>
      <c r="BD94" s="89">
        <v>0</v>
      </c>
      <c r="BE94" s="89">
        <v>0</v>
      </c>
      <c r="BF94" s="89">
        <v>0</v>
      </c>
      <c r="BG94" s="89">
        <v>0</v>
      </c>
      <c r="BH94" s="89">
        <v>0</v>
      </c>
      <c r="BI94" s="89">
        <v>0</v>
      </c>
      <c r="BJ94" s="89">
        <v>0</v>
      </c>
      <c r="BK94" s="89">
        <v>0</v>
      </c>
      <c r="BL94" s="89">
        <v>0</v>
      </c>
      <c r="BM94" s="89">
        <v>0</v>
      </c>
      <c r="BN94" s="89">
        <v>0</v>
      </c>
      <c r="BO94" s="89">
        <v>0</v>
      </c>
      <c r="BP94" s="89">
        <v>0</v>
      </c>
      <c r="BQ94" s="89">
        <v>0</v>
      </c>
      <c r="BR94" s="89">
        <v>0</v>
      </c>
      <c r="BS94" s="89">
        <v>0</v>
      </c>
      <c r="BT94" s="89">
        <v>0</v>
      </c>
      <c r="BU94" s="89">
        <v>0</v>
      </c>
      <c r="BV94" s="89">
        <v>0</v>
      </c>
    </row>
    <row r="95" spans="2:74" ht="15" customHeight="1">
      <c r="B95" s="86" t="s">
        <v>198</v>
      </c>
      <c r="C95" s="23" t="s">
        <v>199</v>
      </c>
      <c r="D95" s="87">
        <f>SUM(Resource_Rates_Table56[[#This Row],[Year 1 Hours]],Resource_Rates_Table56[[#This Row],[Year 2 Hours]],Resource_Rates_Table56[[#This Row],[Year 3 Hours]],Resource_Rates_Table56[[#This Row],[Year 4 Hours]],Resource_Rates_Table56[[#This Row],[Year 5 Hours]])</f>
        <v>0</v>
      </c>
      <c r="E95" s="88">
        <f t="shared" si="5"/>
        <v>0</v>
      </c>
      <c r="F9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5" s="88">
        <f t="shared" si="9"/>
        <v>0</v>
      </c>
      <c r="H95" s="88" t="str">
        <f>IFERROR(Resource_Rates_Table56[[#This Row],[Year 2 Hours]]/((IF(AND($D$4&gt;12,$D$4&lt;25),$D$4-12,IF($D$4&gt;24,12,"N/A")))*IF(VLOOKUP(Resource_Rates_Table56[[#This Row],[Resource Title]],'Resource Descriptions'!$D$6:$J$112,7,FALSE)="Onshore",$F$4,$F$5)),"N/A")</f>
        <v>N/A</v>
      </c>
      <c r="I95" s="88">
        <f t="shared" si="6"/>
        <v>0</v>
      </c>
      <c r="J95" s="88" t="str">
        <f>IFERROR(Resource_Rates_Table56[[#This Row],[Year 3 Hours]]/((IF(AND($D$4&gt;24,$D$4&lt;37),$D$4-24,IF($D$4&gt;36,12,"N/A")))*IF(VLOOKUP(Resource_Rates_Table56[[#This Row],[Resource Title]],'Resource Descriptions'!$D$6:$J$112,7,FALSE)="Onshore",$F$4,$F$5)),"N/A")</f>
        <v>N/A</v>
      </c>
      <c r="K95" s="88">
        <f t="shared" si="7"/>
        <v>0</v>
      </c>
      <c r="L95" s="88" t="str">
        <f>IFERROR(Resource_Rates_Table56[[#This Row],[Year 4 Hours]]/((IF(AND($D$4&gt;36,$D$4&lt;49),$D$4-36,IF($D$4&gt;48,12,"N/A")))*IF(VLOOKUP(Resource_Rates_Table56[[#This Row],[Resource Title]],'Resource Descriptions'!$D$6:$J$112,7,FALSE)="Onshore",$F$4,$F$5)),"N/A")</f>
        <v>N/A</v>
      </c>
      <c r="M95" s="88">
        <f t="shared" si="8"/>
        <v>0</v>
      </c>
      <c r="N95" s="88" t="str">
        <f>IFERROR(Resource_Rates_Table56[[#This Row],[Year 5 Hours]]/((IF(AND($D$4&gt;48,$D$4&lt;61),$D$4-48,IF($D$4&gt;60,12,"N/A")))*IF(VLOOKUP(Resource_Rates_Table56[[#This Row],[Resource Title]],'Resource Descriptions'!$D$6:$J$112,7,FALSE)="Onshore",$F$4,$F$5)),"N/A")</f>
        <v>N/A</v>
      </c>
      <c r="O95" s="89">
        <v>0</v>
      </c>
      <c r="P95" s="89">
        <v>0</v>
      </c>
      <c r="Q95" s="89">
        <v>0</v>
      </c>
      <c r="R95" s="89">
        <v>0</v>
      </c>
      <c r="S95" s="89">
        <v>0</v>
      </c>
      <c r="T95" s="89">
        <v>0</v>
      </c>
      <c r="U95" s="89">
        <v>0</v>
      </c>
      <c r="V95" s="89">
        <v>0</v>
      </c>
      <c r="W95" s="89">
        <v>0</v>
      </c>
      <c r="X95" s="89">
        <v>0</v>
      </c>
      <c r="Y95" s="89">
        <v>0</v>
      </c>
      <c r="Z95" s="89">
        <v>0</v>
      </c>
      <c r="AA95" s="89">
        <v>0</v>
      </c>
      <c r="AB95" s="89">
        <v>0</v>
      </c>
      <c r="AC95" s="89">
        <v>0</v>
      </c>
      <c r="AD95" s="89">
        <v>0</v>
      </c>
      <c r="AE95" s="89">
        <v>0</v>
      </c>
      <c r="AF95" s="89">
        <v>0</v>
      </c>
      <c r="AG95" s="89">
        <v>0</v>
      </c>
      <c r="AH95" s="89">
        <v>0</v>
      </c>
      <c r="AI95" s="89">
        <v>0</v>
      </c>
      <c r="AJ95" s="89">
        <v>0</v>
      </c>
      <c r="AK95" s="89">
        <v>0</v>
      </c>
      <c r="AL95" s="89">
        <v>0</v>
      </c>
      <c r="AM95" s="89">
        <v>0</v>
      </c>
      <c r="AN95" s="89">
        <v>0</v>
      </c>
      <c r="AO95" s="89">
        <v>0</v>
      </c>
      <c r="AP95" s="89">
        <v>0</v>
      </c>
      <c r="AQ95" s="89">
        <v>0</v>
      </c>
      <c r="AR95" s="89">
        <v>0</v>
      </c>
      <c r="AS95" s="89">
        <v>0</v>
      </c>
      <c r="AT95" s="89">
        <v>0</v>
      </c>
      <c r="AU95" s="89">
        <v>0</v>
      </c>
      <c r="AV95" s="89">
        <v>0</v>
      </c>
      <c r="AW95" s="89">
        <v>0</v>
      </c>
      <c r="AX95" s="89">
        <v>0</v>
      </c>
      <c r="AY95" s="89">
        <v>0</v>
      </c>
      <c r="AZ95" s="89">
        <v>0</v>
      </c>
      <c r="BA95" s="89">
        <v>0</v>
      </c>
      <c r="BB95" s="89">
        <v>0</v>
      </c>
      <c r="BC95" s="89">
        <v>0</v>
      </c>
      <c r="BD95" s="89">
        <v>0</v>
      </c>
      <c r="BE95" s="89">
        <v>0</v>
      </c>
      <c r="BF95" s="89">
        <v>0</v>
      </c>
      <c r="BG95" s="89">
        <v>0</v>
      </c>
      <c r="BH95" s="89">
        <v>0</v>
      </c>
      <c r="BI95" s="89">
        <v>0</v>
      </c>
      <c r="BJ95" s="89">
        <v>0</v>
      </c>
      <c r="BK95" s="89">
        <v>0</v>
      </c>
      <c r="BL95" s="89">
        <v>0</v>
      </c>
      <c r="BM95" s="89">
        <v>0</v>
      </c>
      <c r="BN95" s="89">
        <v>0</v>
      </c>
      <c r="BO95" s="89">
        <v>0</v>
      </c>
      <c r="BP95" s="89">
        <v>0</v>
      </c>
      <c r="BQ95" s="89">
        <v>0</v>
      </c>
      <c r="BR95" s="89">
        <v>0</v>
      </c>
      <c r="BS95" s="89">
        <v>0</v>
      </c>
      <c r="BT95" s="89">
        <v>0</v>
      </c>
      <c r="BU95" s="89">
        <v>0</v>
      </c>
      <c r="BV95" s="89">
        <v>0</v>
      </c>
    </row>
    <row r="96" spans="2:74" ht="15" customHeight="1">
      <c r="B96" s="86" t="s">
        <v>198</v>
      </c>
      <c r="C96" s="23" t="s">
        <v>200</v>
      </c>
      <c r="D96" s="87">
        <f>SUM(Resource_Rates_Table56[[#This Row],[Year 1 Hours]],Resource_Rates_Table56[[#This Row],[Year 2 Hours]],Resource_Rates_Table56[[#This Row],[Year 3 Hours]],Resource_Rates_Table56[[#This Row],[Year 4 Hours]],Resource_Rates_Table56[[#This Row],[Year 5 Hours]])</f>
        <v>0</v>
      </c>
      <c r="E96" s="88">
        <f t="shared" si="5"/>
        <v>0</v>
      </c>
      <c r="F9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6" s="88">
        <f t="shared" si="9"/>
        <v>0</v>
      </c>
      <c r="H96" s="88" t="str">
        <f>IFERROR(Resource_Rates_Table56[[#This Row],[Year 2 Hours]]/((IF(AND($D$4&gt;12,$D$4&lt;25),$D$4-12,IF($D$4&gt;24,12,"N/A")))*IF(VLOOKUP(Resource_Rates_Table56[[#This Row],[Resource Title]],'Resource Descriptions'!$D$6:$J$112,7,FALSE)="Onshore",$F$4,$F$5)),"N/A")</f>
        <v>N/A</v>
      </c>
      <c r="I96" s="88">
        <f t="shared" si="6"/>
        <v>0</v>
      </c>
      <c r="J96" s="88" t="str">
        <f>IFERROR(Resource_Rates_Table56[[#This Row],[Year 3 Hours]]/((IF(AND($D$4&gt;24,$D$4&lt;37),$D$4-24,IF($D$4&gt;36,12,"N/A")))*IF(VLOOKUP(Resource_Rates_Table56[[#This Row],[Resource Title]],'Resource Descriptions'!$D$6:$J$112,7,FALSE)="Onshore",$F$4,$F$5)),"N/A")</f>
        <v>N/A</v>
      </c>
      <c r="K96" s="88">
        <f t="shared" si="7"/>
        <v>0</v>
      </c>
      <c r="L96" s="88" t="str">
        <f>IFERROR(Resource_Rates_Table56[[#This Row],[Year 4 Hours]]/((IF(AND($D$4&gt;36,$D$4&lt;49),$D$4-36,IF($D$4&gt;48,12,"N/A")))*IF(VLOOKUP(Resource_Rates_Table56[[#This Row],[Resource Title]],'Resource Descriptions'!$D$6:$J$112,7,FALSE)="Onshore",$F$4,$F$5)),"N/A")</f>
        <v>N/A</v>
      </c>
      <c r="M96" s="88">
        <f t="shared" si="8"/>
        <v>0</v>
      </c>
      <c r="N96" s="88" t="str">
        <f>IFERROR(Resource_Rates_Table56[[#This Row],[Year 5 Hours]]/((IF(AND($D$4&gt;48,$D$4&lt;61),$D$4-48,IF($D$4&gt;60,12,"N/A")))*IF(VLOOKUP(Resource_Rates_Table56[[#This Row],[Resource Title]],'Resource Descriptions'!$D$6:$J$112,7,FALSE)="Onshore",$F$4,$F$5)),"N/A")</f>
        <v>N/A</v>
      </c>
      <c r="O96" s="89">
        <v>0</v>
      </c>
      <c r="P96" s="89">
        <v>0</v>
      </c>
      <c r="Q96" s="89">
        <v>0</v>
      </c>
      <c r="R96" s="89">
        <v>0</v>
      </c>
      <c r="S96" s="89">
        <v>0</v>
      </c>
      <c r="T96" s="89">
        <v>0</v>
      </c>
      <c r="U96" s="89">
        <v>0</v>
      </c>
      <c r="V96" s="89">
        <v>0</v>
      </c>
      <c r="W96" s="89">
        <v>0</v>
      </c>
      <c r="X96" s="89">
        <v>0</v>
      </c>
      <c r="Y96" s="89">
        <v>0</v>
      </c>
      <c r="Z96" s="89">
        <v>0</v>
      </c>
      <c r="AA96" s="89">
        <v>0</v>
      </c>
      <c r="AB96" s="89">
        <v>0</v>
      </c>
      <c r="AC96" s="89">
        <v>0</v>
      </c>
      <c r="AD96" s="89">
        <v>0</v>
      </c>
      <c r="AE96" s="89">
        <v>0</v>
      </c>
      <c r="AF96" s="89">
        <v>0</v>
      </c>
      <c r="AG96" s="89">
        <v>0</v>
      </c>
      <c r="AH96" s="89">
        <v>0</v>
      </c>
      <c r="AI96" s="89">
        <v>0</v>
      </c>
      <c r="AJ96" s="89">
        <v>0</v>
      </c>
      <c r="AK96" s="89">
        <v>0</v>
      </c>
      <c r="AL96" s="89">
        <v>0</v>
      </c>
      <c r="AM96" s="89">
        <v>0</v>
      </c>
      <c r="AN96" s="89">
        <v>0</v>
      </c>
      <c r="AO96" s="89">
        <v>0</v>
      </c>
      <c r="AP96" s="89">
        <v>0</v>
      </c>
      <c r="AQ96" s="89">
        <v>0</v>
      </c>
      <c r="AR96" s="89">
        <v>0</v>
      </c>
      <c r="AS96" s="89">
        <v>0</v>
      </c>
      <c r="AT96" s="89">
        <v>0</v>
      </c>
      <c r="AU96" s="89">
        <v>0</v>
      </c>
      <c r="AV96" s="89">
        <v>0</v>
      </c>
      <c r="AW96" s="89">
        <v>0</v>
      </c>
      <c r="AX96" s="89">
        <v>0</v>
      </c>
      <c r="AY96" s="89">
        <v>0</v>
      </c>
      <c r="AZ96" s="89">
        <v>0</v>
      </c>
      <c r="BA96" s="89">
        <v>0</v>
      </c>
      <c r="BB96" s="89">
        <v>0</v>
      </c>
      <c r="BC96" s="89">
        <v>0</v>
      </c>
      <c r="BD96" s="89">
        <v>0</v>
      </c>
      <c r="BE96" s="89">
        <v>0</v>
      </c>
      <c r="BF96" s="89">
        <v>0</v>
      </c>
      <c r="BG96" s="89">
        <v>0</v>
      </c>
      <c r="BH96" s="89">
        <v>0</v>
      </c>
      <c r="BI96" s="89">
        <v>0</v>
      </c>
      <c r="BJ96" s="89">
        <v>0</v>
      </c>
      <c r="BK96" s="89">
        <v>0</v>
      </c>
      <c r="BL96" s="89">
        <v>0</v>
      </c>
      <c r="BM96" s="89">
        <v>0</v>
      </c>
      <c r="BN96" s="89">
        <v>0</v>
      </c>
      <c r="BO96" s="89">
        <v>0</v>
      </c>
      <c r="BP96" s="89">
        <v>0</v>
      </c>
      <c r="BQ96" s="89">
        <v>0</v>
      </c>
      <c r="BR96" s="89">
        <v>0</v>
      </c>
      <c r="BS96" s="89">
        <v>0</v>
      </c>
      <c r="BT96" s="89">
        <v>0</v>
      </c>
      <c r="BU96" s="89">
        <v>0</v>
      </c>
      <c r="BV96" s="89">
        <v>0</v>
      </c>
    </row>
    <row r="97" spans="2:74" ht="15" customHeight="1">
      <c r="B97" s="86" t="s">
        <v>198</v>
      </c>
      <c r="C97" s="23" t="s">
        <v>201</v>
      </c>
      <c r="D97" s="87">
        <f>SUM(Resource_Rates_Table56[[#This Row],[Year 1 Hours]],Resource_Rates_Table56[[#This Row],[Year 2 Hours]],Resource_Rates_Table56[[#This Row],[Year 3 Hours]],Resource_Rates_Table56[[#This Row],[Year 4 Hours]],Resource_Rates_Table56[[#This Row],[Year 5 Hours]])</f>
        <v>0</v>
      </c>
      <c r="E97" s="88">
        <f t="shared" si="5"/>
        <v>0</v>
      </c>
      <c r="F9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7" s="88">
        <f t="shared" si="9"/>
        <v>0</v>
      </c>
      <c r="H97" s="88" t="str">
        <f>IFERROR(Resource_Rates_Table56[[#This Row],[Year 2 Hours]]/((IF(AND($D$4&gt;12,$D$4&lt;25),$D$4-12,IF($D$4&gt;24,12,"N/A")))*IF(VLOOKUP(Resource_Rates_Table56[[#This Row],[Resource Title]],'Resource Descriptions'!$D$6:$J$112,7,FALSE)="Onshore",$F$4,$F$5)),"N/A")</f>
        <v>N/A</v>
      </c>
      <c r="I97" s="88">
        <f t="shared" si="6"/>
        <v>0</v>
      </c>
      <c r="J97" s="88" t="str">
        <f>IFERROR(Resource_Rates_Table56[[#This Row],[Year 3 Hours]]/((IF(AND($D$4&gt;24,$D$4&lt;37),$D$4-24,IF($D$4&gt;36,12,"N/A")))*IF(VLOOKUP(Resource_Rates_Table56[[#This Row],[Resource Title]],'Resource Descriptions'!$D$6:$J$112,7,FALSE)="Onshore",$F$4,$F$5)),"N/A")</f>
        <v>N/A</v>
      </c>
      <c r="K97" s="88">
        <f t="shared" si="7"/>
        <v>0</v>
      </c>
      <c r="L97" s="88" t="str">
        <f>IFERROR(Resource_Rates_Table56[[#This Row],[Year 4 Hours]]/((IF(AND($D$4&gt;36,$D$4&lt;49),$D$4-36,IF($D$4&gt;48,12,"N/A")))*IF(VLOOKUP(Resource_Rates_Table56[[#This Row],[Resource Title]],'Resource Descriptions'!$D$6:$J$112,7,FALSE)="Onshore",$F$4,$F$5)),"N/A")</f>
        <v>N/A</v>
      </c>
      <c r="M97" s="88">
        <f t="shared" si="8"/>
        <v>0</v>
      </c>
      <c r="N97" s="88" t="str">
        <f>IFERROR(Resource_Rates_Table56[[#This Row],[Year 5 Hours]]/((IF(AND($D$4&gt;48,$D$4&lt;61),$D$4-48,IF($D$4&gt;60,12,"N/A")))*IF(VLOOKUP(Resource_Rates_Table56[[#This Row],[Resource Title]],'Resource Descriptions'!$D$6:$J$112,7,FALSE)="Onshore",$F$4,$F$5)),"N/A")</f>
        <v>N/A</v>
      </c>
      <c r="O97" s="89">
        <v>0</v>
      </c>
      <c r="P97" s="89">
        <v>0</v>
      </c>
      <c r="Q97" s="89">
        <v>0</v>
      </c>
      <c r="R97" s="89">
        <v>0</v>
      </c>
      <c r="S97" s="89">
        <v>0</v>
      </c>
      <c r="T97" s="89">
        <v>0</v>
      </c>
      <c r="U97" s="89">
        <v>0</v>
      </c>
      <c r="V97" s="89">
        <v>0</v>
      </c>
      <c r="W97" s="89">
        <v>0</v>
      </c>
      <c r="X97" s="89">
        <v>0</v>
      </c>
      <c r="Y97" s="89">
        <v>0</v>
      </c>
      <c r="Z97" s="89">
        <v>0</v>
      </c>
      <c r="AA97" s="89">
        <v>0</v>
      </c>
      <c r="AB97" s="89">
        <v>0</v>
      </c>
      <c r="AC97" s="89">
        <v>0</v>
      </c>
      <c r="AD97" s="89">
        <v>0</v>
      </c>
      <c r="AE97" s="89">
        <v>0</v>
      </c>
      <c r="AF97" s="89">
        <v>0</v>
      </c>
      <c r="AG97" s="89">
        <v>0</v>
      </c>
      <c r="AH97" s="89">
        <v>0</v>
      </c>
      <c r="AI97" s="89">
        <v>0</v>
      </c>
      <c r="AJ97" s="89">
        <v>0</v>
      </c>
      <c r="AK97" s="89">
        <v>0</v>
      </c>
      <c r="AL97" s="89">
        <v>0</v>
      </c>
      <c r="AM97" s="89">
        <v>0</v>
      </c>
      <c r="AN97" s="89">
        <v>0</v>
      </c>
      <c r="AO97" s="89">
        <v>0</v>
      </c>
      <c r="AP97" s="89">
        <v>0</v>
      </c>
      <c r="AQ97" s="89">
        <v>0</v>
      </c>
      <c r="AR97" s="89">
        <v>0</v>
      </c>
      <c r="AS97" s="89">
        <v>0</v>
      </c>
      <c r="AT97" s="89">
        <v>0</v>
      </c>
      <c r="AU97" s="89">
        <v>0</v>
      </c>
      <c r="AV97" s="89">
        <v>0</v>
      </c>
      <c r="AW97" s="89">
        <v>0</v>
      </c>
      <c r="AX97" s="89">
        <v>0</v>
      </c>
      <c r="AY97" s="89">
        <v>0</v>
      </c>
      <c r="AZ97" s="89">
        <v>0</v>
      </c>
      <c r="BA97" s="89">
        <v>0</v>
      </c>
      <c r="BB97" s="89">
        <v>0</v>
      </c>
      <c r="BC97" s="89">
        <v>0</v>
      </c>
      <c r="BD97" s="89">
        <v>0</v>
      </c>
      <c r="BE97" s="89">
        <v>0</v>
      </c>
      <c r="BF97" s="89">
        <v>0</v>
      </c>
      <c r="BG97" s="89">
        <v>0</v>
      </c>
      <c r="BH97" s="89">
        <v>0</v>
      </c>
      <c r="BI97" s="89">
        <v>0</v>
      </c>
      <c r="BJ97" s="89">
        <v>0</v>
      </c>
      <c r="BK97" s="89">
        <v>0</v>
      </c>
      <c r="BL97" s="89">
        <v>0</v>
      </c>
      <c r="BM97" s="89">
        <v>0</v>
      </c>
      <c r="BN97" s="89">
        <v>0</v>
      </c>
      <c r="BO97" s="89">
        <v>0</v>
      </c>
      <c r="BP97" s="89">
        <v>0</v>
      </c>
      <c r="BQ97" s="89">
        <v>0</v>
      </c>
      <c r="BR97" s="89">
        <v>0</v>
      </c>
      <c r="BS97" s="89">
        <v>0</v>
      </c>
      <c r="BT97" s="89">
        <v>0</v>
      </c>
      <c r="BU97" s="89">
        <v>0</v>
      </c>
      <c r="BV97" s="89">
        <v>0</v>
      </c>
    </row>
    <row r="98" spans="2:74" ht="15" customHeight="1">
      <c r="B98" s="86" t="s">
        <v>198</v>
      </c>
      <c r="C98" s="23" t="s">
        <v>202</v>
      </c>
      <c r="D98" s="87">
        <f>SUM(Resource_Rates_Table56[[#This Row],[Year 1 Hours]],Resource_Rates_Table56[[#This Row],[Year 2 Hours]],Resource_Rates_Table56[[#This Row],[Year 3 Hours]],Resource_Rates_Table56[[#This Row],[Year 4 Hours]],Resource_Rates_Table56[[#This Row],[Year 5 Hours]])</f>
        <v>0</v>
      </c>
      <c r="E98" s="88">
        <f t="shared" si="5"/>
        <v>0</v>
      </c>
      <c r="F9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8" s="88">
        <f t="shared" si="9"/>
        <v>0</v>
      </c>
      <c r="H98" s="88" t="str">
        <f>IFERROR(Resource_Rates_Table56[[#This Row],[Year 2 Hours]]/((IF(AND($D$4&gt;12,$D$4&lt;25),$D$4-12,IF($D$4&gt;24,12,"N/A")))*IF(VLOOKUP(Resource_Rates_Table56[[#This Row],[Resource Title]],'Resource Descriptions'!$D$6:$J$112,7,FALSE)="Onshore",$F$4,$F$5)),"N/A")</f>
        <v>N/A</v>
      </c>
      <c r="I98" s="88">
        <f t="shared" si="6"/>
        <v>0</v>
      </c>
      <c r="J98" s="88" t="str">
        <f>IFERROR(Resource_Rates_Table56[[#This Row],[Year 3 Hours]]/((IF(AND($D$4&gt;24,$D$4&lt;37),$D$4-24,IF($D$4&gt;36,12,"N/A")))*IF(VLOOKUP(Resource_Rates_Table56[[#This Row],[Resource Title]],'Resource Descriptions'!$D$6:$J$112,7,FALSE)="Onshore",$F$4,$F$5)),"N/A")</f>
        <v>N/A</v>
      </c>
      <c r="K98" s="88">
        <f t="shared" si="7"/>
        <v>0</v>
      </c>
      <c r="L98" s="88" t="str">
        <f>IFERROR(Resource_Rates_Table56[[#This Row],[Year 4 Hours]]/((IF(AND($D$4&gt;36,$D$4&lt;49),$D$4-36,IF($D$4&gt;48,12,"N/A")))*IF(VLOOKUP(Resource_Rates_Table56[[#This Row],[Resource Title]],'Resource Descriptions'!$D$6:$J$112,7,FALSE)="Onshore",$F$4,$F$5)),"N/A")</f>
        <v>N/A</v>
      </c>
      <c r="M98" s="88">
        <f t="shared" si="8"/>
        <v>0</v>
      </c>
      <c r="N98" s="88" t="str">
        <f>IFERROR(Resource_Rates_Table56[[#This Row],[Year 5 Hours]]/((IF(AND($D$4&gt;48,$D$4&lt;61),$D$4-48,IF($D$4&gt;60,12,"N/A")))*IF(VLOOKUP(Resource_Rates_Table56[[#This Row],[Resource Title]],'Resource Descriptions'!$D$6:$J$112,7,FALSE)="Onshore",$F$4,$F$5)),"N/A")</f>
        <v>N/A</v>
      </c>
      <c r="O98" s="89">
        <v>0</v>
      </c>
      <c r="P98" s="89">
        <v>0</v>
      </c>
      <c r="Q98" s="89">
        <v>0</v>
      </c>
      <c r="R98" s="89">
        <v>0</v>
      </c>
      <c r="S98" s="89">
        <v>0</v>
      </c>
      <c r="T98" s="89">
        <v>0</v>
      </c>
      <c r="U98" s="89">
        <v>0</v>
      </c>
      <c r="V98" s="89">
        <v>0</v>
      </c>
      <c r="W98" s="89">
        <v>0</v>
      </c>
      <c r="X98" s="89">
        <v>0</v>
      </c>
      <c r="Y98" s="89">
        <v>0</v>
      </c>
      <c r="Z98" s="89">
        <v>0</v>
      </c>
      <c r="AA98" s="89">
        <v>0</v>
      </c>
      <c r="AB98" s="89">
        <v>0</v>
      </c>
      <c r="AC98" s="89">
        <v>0</v>
      </c>
      <c r="AD98" s="89">
        <v>0</v>
      </c>
      <c r="AE98" s="89">
        <v>0</v>
      </c>
      <c r="AF98" s="89">
        <v>0</v>
      </c>
      <c r="AG98" s="89">
        <v>0</v>
      </c>
      <c r="AH98" s="89">
        <v>0</v>
      </c>
      <c r="AI98" s="89">
        <v>0</v>
      </c>
      <c r="AJ98" s="89">
        <v>0</v>
      </c>
      <c r="AK98" s="89">
        <v>0</v>
      </c>
      <c r="AL98" s="89">
        <v>0</v>
      </c>
      <c r="AM98" s="89">
        <v>0</v>
      </c>
      <c r="AN98" s="89">
        <v>0</v>
      </c>
      <c r="AO98" s="89">
        <v>0</v>
      </c>
      <c r="AP98" s="89">
        <v>0</v>
      </c>
      <c r="AQ98" s="89">
        <v>0</v>
      </c>
      <c r="AR98" s="89">
        <v>0</v>
      </c>
      <c r="AS98" s="89">
        <v>0</v>
      </c>
      <c r="AT98" s="89">
        <v>0</v>
      </c>
      <c r="AU98" s="89">
        <v>0</v>
      </c>
      <c r="AV98" s="89">
        <v>0</v>
      </c>
      <c r="AW98" s="89">
        <v>0</v>
      </c>
      <c r="AX98" s="89">
        <v>0</v>
      </c>
      <c r="AY98" s="89">
        <v>0</v>
      </c>
      <c r="AZ98" s="89">
        <v>0</v>
      </c>
      <c r="BA98" s="89">
        <v>0</v>
      </c>
      <c r="BB98" s="89">
        <v>0</v>
      </c>
      <c r="BC98" s="89">
        <v>0</v>
      </c>
      <c r="BD98" s="89">
        <v>0</v>
      </c>
      <c r="BE98" s="89">
        <v>0</v>
      </c>
      <c r="BF98" s="89">
        <v>0</v>
      </c>
      <c r="BG98" s="89">
        <v>0</v>
      </c>
      <c r="BH98" s="89">
        <v>0</v>
      </c>
      <c r="BI98" s="89">
        <v>0</v>
      </c>
      <c r="BJ98" s="89">
        <v>0</v>
      </c>
      <c r="BK98" s="89">
        <v>0</v>
      </c>
      <c r="BL98" s="89">
        <v>0</v>
      </c>
      <c r="BM98" s="89">
        <v>0</v>
      </c>
      <c r="BN98" s="89">
        <v>0</v>
      </c>
      <c r="BO98" s="89">
        <v>0</v>
      </c>
      <c r="BP98" s="89">
        <v>0</v>
      </c>
      <c r="BQ98" s="89">
        <v>0</v>
      </c>
      <c r="BR98" s="89">
        <v>0</v>
      </c>
      <c r="BS98" s="89">
        <v>0</v>
      </c>
      <c r="BT98" s="89">
        <v>0</v>
      </c>
      <c r="BU98" s="89">
        <v>0</v>
      </c>
      <c r="BV98" s="89">
        <v>0</v>
      </c>
    </row>
    <row r="99" spans="2:74" ht="15" customHeight="1">
      <c r="B99" s="86" t="s">
        <v>198</v>
      </c>
      <c r="C99" s="23" t="s">
        <v>203</v>
      </c>
      <c r="D99" s="87">
        <f>SUM(Resource_Rates_Table56[[#This Row],[Year 1 Hours]],Resource_Rates_Table56[[#This Row],[Year 2 Hours]],Resource_Rates_Table56[[#This Row],[Year 3 Hours]],Resource_Rates_Table56[[#This Row],[Year 4 Hours]],Resource_Rates_Table56[[#This Row],[Year 5 Hours]])</f>
        <v>0</v>
      </c>
      <c r="E99" s="88">
        <f t="shared" si="5"/>
        <v>0</v>
      </c>
      <c r="F9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9" s="88">
        <f t="shared" si="9"/>
        <v>0</v>
      </c>
      <c r="H99" s="88" t="str">
        <f>IFERROR(Resource_Rates_Table56[[#This Row],[Year 2 Hours]]/((IF(AND($D$4&gt;12,$D$4&lt;25),$D$4-12,IF($D$4&gt;24,12,"N/A")))*IF(VLOOKUP(Resource_Rates_Table56[[#This Row],[Resource Title]],'Resource Descriptions'!$D$6:$J$112,7,FALSE)="Onshore",$F$4,$F$5)),"N/A")</f>
        <v>N/A</v>
      </c>
      <c r="I99" s="88">
        <f t="shared" si="6"/>
        <v>0</v>
      </c>
      <c r="J99" s="88" t="str">
        <f>IFERROR(Resource_Rates_Table56[[#This Row],[Year 3 Hours]]/((IF(AND($D$4&gt;24,$D$4&lt;37),$D$4-24,IF($D$4&gt;36,12,"N/A")))*IF(VLOOKUP(Resource_Rates_Table56[[#This Row],[Resource Title]],'Resource Descriptions'!$D$6:$J$112,7,FALSE)="Onshore",$F$4,$F$5)),"N/A")</f>
        <v>N/A</v>
      </c>
      <c r="K99" s="88">
        <f t="shared" si="7"/>
        <v>0</v>
      </c>
      <c r="L99" s="88" t="str">
        <f>IFERROR(Resource_Rates_Table56[[#This Row],[Year 4 Hours]]/((IF(AND($D$4&gt;36,$D$4&lt;49),$D$4-36,IF($D$4&gt;48,12,"N/A")))*IF(VLOOKUP(Resource_Rates_Table56[[#This Row],[Resource Title]],'Resource Descriptions'!$D$6:$J$112,7,FALSE)="Onshore",$F$4,$F$5)),"N/A")</f>
        <v>N/A</v>
      </c>
      <c r="M99" s="88">
        <f t="shared" si="8"/>
        <v>0</v>
      </c>
      <c r="N99" s="88" t="str">
        <f>IFERROR(Resource_Rates_Table56[[#This Row],[Year 5 Hours]]/((IF(AND($D$4&gt;48,$D$4&lt;61),$D$4-48,IF($D$4&gt;60,12,"N/A")))*IF(VLOOKUP(Resource_Rates_Table56[[#This Row],[Resource Title]],'Resource Descriptions'!$D$6:$J$112,7,FALSE)="Onshore",$F$4,$F$5)),"N/A")</f>
        <v>N/A</v>
      </c>
      <c r="O99" s="89">
        <v>0</v>
      </c>
      <c r="P99" s="89">
        <v>0</v>
      </c>
      <c r="Q99" s="89">
        <v>0</v>
      </c>
      <c r="R99" s="89">
        <v>0</v>
      </c>
      <c r="S99" s="89">
        <v>0</v>
      </c>
      <c r="T99" s="89">
        <v>0</v>
      </c>
      <c r="U99" s="89">
        <v>0</v>
      </c>
      <c r="V99" s="89">
        <v>0</v>
      </c>
      <c r="W99" s="89">
        <v>0</v>
      </c>
      <c r="X99" s="89">
        <v>0</v>
      </c>
      <c r="Y99" s="89">
        <v>0</v>
      </c>
      <c r="Z99" s="89">
        <v>0</v>
      </c>
      <c r="AA99" s="89">
        <v>0</v>
      </c>
      <c r="AB99" s="89">
        <v>0</v>
      </c>
      <c r="AC99" s="89">
        <v>0</v>
      </c>
      <c r="AD99" s="89">
        <v>0</v>
      </c>
      <c r="AE99" s="89">
        <v>0</v>
      </c>
      <c r="AF99" s="89">
        <v>0</v>
      </c>
      <c r="AG99" s="89">
        <v>0</v>
      </c>
      <c r="AH99" s="89">
        <v>0</v>
      </c>
      <c r="AI99" s="89">
        <v>0</v>
      </c>
      <c r="AJ99" s="89">
        <v>0</v>
      </c>
      <c r="AK99" s="89">
        <v>0</v>
      </c>
      <c r="AL99" s="89">
        <v>0</v>
      </c>
      <c r="AM99" s="89">
        <v>0</v>
      </c>
      <c r="AN99" s="89">
        <v>0</v>
      </c>
      <c r="AO99" s="89">
        <v>0</v>
      </c>
      <c r="AP99" s="89">
        <v>0</v>
      </c>
      <c r="AQ99" s="89">
        <v>0</v>
      </c>
      <c r="AR99" s="89">
        <v>0</v>
      </c>
      <c r="AS99" s="89">
        <v>0</v>
      </c>
      <c r="AT99" s="89">
        <v>0</v>
      </c>
      <c r="AU99" s="89">
        <v>0</v>
      </c>
      <c r="AV99" s="89">
        <v>0</v>
      </c>
      <c r="AW99" s="89">
        <v>0</v>
      </c>
      <c r="AX99" s="89">
        <v>0</v>
      </c>
      <c r="AY99" s="89">
        <v>0</v>
      </c>
      <c r="AZ99" s="89">
        <v>0</v>
      </c>
      <c r="BA99" s="89">
        <v>0</v>
      </c>
      <c r="BB99" s="89">
        <v>0</v>
      </c>
      <c r="BC99" s="89">
        <v>0</v>
      </c>
      <c r="BD99" s="89">
        <v>0</v>
      </c>
      <c r="BE99" s="89">
        <v>0</v>
      </c>
      <c r="BF99" s="89">
        <v>0</v>
      </c>
      <c r="BG99" s="89">
        <v>0</v>
      </c>
      <c r="BH99" s="89">
        <v>0</v>
      </c>
      <c r="BI99" s="89">
        <v>0</v>
      </c>
      <c r="BJ99" s="89">
        <v>0</v>
      </c>
      <c r="BK99" s="89">
        <v>0</v>
      </c>
      <c r="BL99" s="89">
        <v>0</v>
      </c>
      <c r="BM99" s="89">
        <v>0</v>
      </c>
      <c r="BN99" s="89">
        <v>0</v>
      </c>
      <c r="BO99" s="89">
        <v>0</v>
      </c>
      <c r="BP99" s="89">
        <v>0</v>
      </c>
      <c r="BQ99" s="89">
        <v>0</v>
      </c>
      <c r="BR99" s="89">
        <v>0</v>
      </c>
      <c r="BS99" s="89">
        <v>0</v>
      </c>
      <c r="BT99" s="89">
        <v>0</v>
      </c>
      <c r="BU99" s="89">
        <v>0</v>
      </c>
      <c r="BV99" s="89">
        <v>0</v>
      </c>
    </row>
    <row r="100" spans="2:74" ht="15" customHeight="1">
      <c r="B100" s="86" t="s">
        <v>198</v>
      </c>
      <c r="C100" s="23" t="s">
        <v>204</v>
      </c>
      <c r="D100" s="87">
        <f>SUM(Resource_Rates_Table56[[#This Row],[Year 1 Hours]],Resource_Rates_Table56[[#This Row],[Year 2 Hours]],Resource_Rates_Table56[[#This Row],[Year 3 Hours]],Resource_Rates_Table56[[#This Row],[Year 4 Hours]],Resource_Rates_Table56[[#This Row],[Year 5 Hours]])</f>
        <v>0</v>
      </c>
      <c r="E100" s="88">
        <f t="shared" si="5"/>
        <v>0</v>
      </c>
      <c r="F10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0" s="88">
        <f t="shared" si="9"/>
        <v>0</v>
      </c>
      <c r="H100" s="88" t="str">
        <f>IFERROR(Resource_Rates_Table56[[#This Row],[Year 2 Hours]]/((IF(AND($D$4&gt;12,$D$4&lt;25),$D$4-12,IF($D$4&gt;24,12,"N/A")))*IF(VLOOKUP(Resource_Rates_Table56[[#This Row],[Resource Title]],'Resource Descriptions'!$D$6:$J$112,7,FALSE)="Onshore",$F$4,$F$5)),"N/A")</f>
        <v>N/A</v>
      </c>
      <c r="I100" s="88">
        <f t="shared" si="6"/>
        <v>0</v>
      </c>
      <c r="J100" s="88" t="str">
        <f>IFERROR(Resource_Rates_Table56[[#This Row],[Year 3 Hours]]/((IF(AND($D$4&gt;24,$D$4&lt;37),$D$4-24,IF($D$4&gt;36,12,"N/A")))*IF(VLOOKUP(Resource_Rates_Table56[[#This Row],[Resource Title]],'Resource Descriptions'!$D$6:$J$112,7,FALSE)="Onshore",$F$4,$F$5)),"N/A")</f>
        <v>N/A</v>
      </c>
      <c r="K100" s="88">
        <f t="shared" si="7"/>
        <v>0</v>
      </c>
      <c r="L100" s="88" t="str">
        <f>IFERROR(Resource_Rates_Table56[[#This Row],[Year 4 Hours]]/((IF(AND($D$4&gt;36,$D$4&lt;49),$D$4-36,IF($D$4&gt;48,12,"N/A")))*IF(VLOOKUP(Resource_Rates_Table56[[#This Row],[Resource Title]],'Resource Descriptions'!$D$6:$J$112,7,FALSE)="Onshore",$F$4,$F$5)),"N/A")</f>
        <v>N/A</v>
      </c>
      <c r="M100" s="88">
        <f t="shared" si="8"/>
        <v>0</v>
      </c>
      <c r="N100" s="88" t="str">
        <f>IFERROR(Resource_Rates_Table56[[#This Row],[Year 5 Hours]]/((IF(AND($D$4&gt;48,$D$4&lt;61),$D$4-48,IF($D$4&gt;60,12,"N/A")))*IF(VLOOKUP(Resource_Rates_Table56[[#This Row],[Resource Title]],'Resource Descriptions'!$D$6:$J$112,7,FALSE)="Onshore",$F$4,$F$5)),"N/A")</f>
        <v>N/A</v>
      </c>
      <c r="O100" s="89">
        <v>0</v>
      </c>
      <c r="P100" s="89">
        <v>0</v>
      </c>
      <c r="Q100" s="89">
        <v>0</v>
      </c>
      <c r="R100" s="89">
        <v>0</v>
      </c>
      <c r="S100" s="89">
        <v>0</v>
      </c>
      <c r="T100" s="89">
        <v>0</v>
      </c>
      <c r="U100" s="89">
        <v>0</v>
      </c>
      <c r="V100" s="89">
        <v>0</v>
      </c>
      <c r="W100" s="89">
        <v>0</v>
      </c>
      <c r="X100" s="89">
        <v>0</v>
      </c>
      <c r="Y100" s="89">
        <v>0</v>
      </c>
      <c r="Z100" s="89">
        <v>0</v>
      </c>
      <c r="AA100" s="89">
        <v>0</v>
      </c>
      <c r="AB100" s="89">
        <v>0</v>
      </c>
      <c r="AC100" s="89">
        <v>0</v>
      </c>
      <c r="AD100" s="89">
        <v>0</v>
      </c>
      <c r="AE100" s="89">
        <v>0</v>
      </c>
      <c r="AF100" s="89">
        <v>0</v>
      </c>
      <c r="AG100" s="89">
        <v>0</v>
      </c>
      <c r="AH100" s="89">
        <v>0</v>
      </c>
      <c r="AI100" s="89">
        <v>0</v>
      </c>
      <c r="AJ100" s="89">
        <v>0</v>
      </c>
      <c r="AK100" s="89">
        <v>0</v>
      </c>
      <c r="AL100" s="89">
        <v>0</v>
      </c>
      <c r="AM100" s="89">
        <v>0</v>
      </c>
      <c r="AN100" s="89">
        <v>0</v>
      </c>
      <c r="AO100" s="89">
        <v>0</v>
      </c>
      <c r="AP100" s="89">
        <v>0</v>
      </c>
      <c r="AQ100" s="89">
        <v>0</v>
      </c>
      <c r="AR100" s="89">
        <v>0</v>
      </c>
      <c r="AS100" s="89">
        <v>0</v>
      </c>
      <c r="AT100" s="89">
        <v>0</v>
      </c>
      <c r="AU100" s="89">
        <v>0</v>
      </c>
      <c r="AV100" s="89">
        <v>0</v>
      </c>
      <c r="AW100" s="89">
        <v>0</v>
      </c>
      <c r="AX100" s="89">
        <v>0</v>
      </c>
      <c r="AY100" s="89">
        <v>0</v>
      </c>
      <c r="AZ100" s="89">
        <v>0</v>
      </c>
      <c r="BA100" s="89">
        <v>0</v>
      </c>
      <c r="BB100" s="89">
        <v>0</v>
      </c>
      <c r="BC100" s="89">
        <v>0</v>
      </c>
      <c r="BD100" s="89">
        <v>0</v>
      </c>
      <c r="BE100" s="89">
        <v>0</v>
      </c>
      <c r="BF100" s="89">
        <v>0</v>
      </c>
      <c r="BG100" s="89">
        <v>0</v>
      </c>
      <c r="BH100" s="89">
        <v>0</v>
      </c>
      <c r="BI100" s="89">
        <v>0</v>
      </c>
      <c r="BJ100" s="89">
        <v>0</v>
      </c>
      <c r="BK100" s="89">
        <v>0</v>
      </c>
      <c r="BL100" s="89">
        <v>0</v>
      </c>
      <c r="BM100" s="89">
        <v>0</v>
      </c>
      <c r="BN100" s="89">
        <v>0</v>
      </c>
      <c r="BO100" s="89">
        <v>0</v>
      </c>
      <c r="BP100" s="89">
        <v>0</v>
      </c>
      <c r="BQ100" s="89">
        <v>0</v>
      </c>
      <c r="BR100" s="89">
        <v>0</v>
      </c>
      <c r="BS100" s="89">
        <v>0</v>
      </c>
      <c r="BT100" s="89">
        <v>0</v>
      </c>
      <c r="BU100" s="89">
        <v>0</v>
      </c>
      <c r="BV100" s="89">
        <v>0</v>
      </c>
    </row>
    <row r="101" spans="2:74" ht="15" customHeight="1">
      <c r="B101" s="86" t="s">
        <v>198</v>
      </c>
      <c r="C101" s="23" t="s">
        <v>205</v>
      </c>
      <c r="D101" s="87">
        <f>SUM(Resource_Rates_Table56[[#This Row],[Year 1 Hours]],Resource_Rates_Table56[[#This Row],[Year 2 Hours]],Resource_Rates_Table56[[#This Row],[Year 3 Hours]],Resource_Rates_Table56[[#This Row],[Year 4 Hours]],Resource_Rates_Table56[[#This Row],[Year 5 Hours]])</f>
        <v>0</v>
      </c>
      <c r="E101" s="88">
        <f t="shared" si="5"/>
        <v>0</v>
      </c>
      <c r="F10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1" s="88">
        <f t="shared" si="9"/>
        <v>0</v>
      </c>
      <c r="H101" s="88" t="str">
        <f>IFERROR(Resource_Rates_Table56[[#This Row],[Year 2 Hours]]/((IF(AND($D$4&gt;12,$D$4&lt;25),$D$4-12,IF($D$4&gt;24,12,"N/A")))*IF(VLOOKUP(Resource_Rates_Table56[[#This Row],[Resource Title]],'Resource Descriptions'!$D$6:$J$112,7,FALSE)="Onshore",$F$4,$F$5)),"N/A")</f>
        <v>N/A</v>
      </c>
      <c r="I101" s="88">
        <f t="shared" si="6"/>
        <v>0</v>
      </c>
      <c r="J101" s="88" t="str">
        <f>IFERROR(Resource_Rates_Table56[[#This Row],[Year 3 Hours]]/((IF(AND($D$4&gt;24,$D$4&lt;37),$D$4-24,IF($D$4&gt;36,12,"N/A")))*IF(VLOOKUP(Resource_Rates_Table56[[#This Row],[Resource Title]],'Resource Descriptions'!$D$6:$J$112,7,FALSE)="Onshore",$F$4,$F$5)),"N/A")</f>
        <v>N/A</v>
      </c>
      <c r="K101" s="88">
        <f t="shared" si="7"/>
        <v>0</v>
      </c>
      <c r="L101" s="88" t="str">
        <f>IFERROR(Resource_Rates_Table56[[#This Row],[Year 4 Hours]]/((IF(AND($D$4&gt;36,$D$4&lt;49),$D$4-36,IF($D$4&gt;48,12,"N/A")))*IF(VLOOKUP(Resource_Rates_Table56[[#This Row],[Resource Title]],'Resource Descriptions'!$D$6:$J$112,7,FALSE)="Onshore",$F$4,$F$5)),"N/A")</f>
        <v>N/A</v>
      </c>
      <c r="M101" s="88">
        <f t="shared" si="8"/>
        <v>0</v>
      </c>
      <c r="N101" s="88" t="str">
        <f>IFERROR(Resource_Rates_Table56[[#This Row],[Year 5 Hours]]/((IF(AND($D$4&gt;48,$D$4&lt;61),$D$4-48,IF($D$4&gt;60,12,"N/A")))*IF(VLOOKUP(Resource_Rates_Table56[[#This Row],[Resource Title]],'Resource Descriptions'!$D$6:$J$112,7,FALSE)="Onshore",$F$4,$F$5)),"N/A")</f>
        <v>N/A</v>
      </c>
      <c r="O101" s="89">
        <v>0</v>
      </c>
      <c r="P101" s="89">
        <v>0</v>
      </c>
      <c r="Q101" s="89">
        <v>0</v>
      </c>
      <c r="R101" s="89">
        <v>0</v>
      </c>
      <c r="S101" s="89">
        <v>0</v>
      </c>
      <c r="T101" s="89">
        <v>0</v>
      </c>
      <c r="U101" s="89">
        <v>0</v>
      </c>
      <c r="V101" s="89">
        <v>0</v>
      </c>
      <c r="W101" s="89">
        <v>0</v>
      </c>
      <c r="X101" s="89">
        <v>0</v>
      </c>
      <c r="Y101" s="89">
        <v>0</v>
      </c>
      <c r="Z101" s="89">
        <v>0</v>
      </c>
      <c r="AA101" s="89">
        <v>0</v>
      </c>
      <c r="AB101" s="89">
        <v>0</v>
      </c>
      <c r="AC101" s="89">
        <v>0</v>
      </c>
      <c r="AD101" s="89">
        <v>0</v>
      </c>
      <c r="AE101" s="89">
        <v>0</v>
      </c>
      <c r="AF101" s="89">
        <v>0</v>
      </c>
      <c r="AG101" s="89">
        <v>0</v>
      </c>
      <c r="AH101" s="89">
        <v>0</v>
      </c>
      <c r="AI101" s="89">
        <v>0</v>
      </c>
      <c r="AJ101" s="89">
        <v>0</v>
      </c>
      <c r="AK101" s="89">
        <v>0</v>
      </c>
      <c r="AL101" s="89">
        <v>0</v>
      </c>
      <c r="AM101" s="89">
        <v>0</v>
      </c>
      <c r="AN101" s="89">
        <v>0</v>
      </c>
      <c r="AO101" s="89">
        <v>0</v>
      </c>
      <c r="AP101" s="89">
        <v>0</v>
      </c>
      <c r="AQ101" s="89">
        <v>0</v>
      </c>
      <c r="AR101" s="89">
        <v>0</v>
      </c>
      <c r="AS101" s="89">
        <v>0</v>
      </c>
      <c r="AT101" s="89">
        <v>0</v>
      </c>
      <c r="AU101" s="89">
        <v>0</v>
      </c>
      <c r="AV101" s="89">
        <v>0</v>
      </c>
      <c r="AW101" s="89">
        <v>0</v>
      </c>
      <c r="AX101" s="89">
        <v>0</v>
      </c>
      <c r="AY101" s="89">
        <v>0</v>
      </c>
      <c r="AZ101" s="89">
        <v>0</v>
      </c>
      <c r="BA101" s="89">
        <v>0</v>
      </c>
      <c r="BB101" s="89">
        <v>0</v>
      </c>
      <c r="BC101" s="89">
        <v>0</v>
      </c>
      <c r="BD101" s="89">
        <v>0</v>
      </c>
      <c r="BE101" s="89">
        <v>0</v>
      </c>
      <c r="BF101" s="89">
        <v>0</v>
      </c>
      <c r="BG101" s="89">
        <v>0</v>
      </c>
      <c r="BH101" s="89">
        <v>0</v>
      </c>
      <c r="BI101" s="89">
        <v>0</v>
      </c>
      <c r="BJ101" s="89">
        <v>0</v>
      </c>
      <c r="BK101" s="89">
        <v>0</v>
      </c>
      <c r="BL101" s="89">
        <v>0</v>
      </c>
      <c r="BM101" s="89">
        <v>0</v>
      </c>
      <c r="BN101" s="89">
        <v>0</v>
      </c>
      <c r="BO101" s="89">
        <v>0</v>
      </c>
      <c r="BP101" s="89">
        <v>0</v>
      </c>
      <c r="BQ101" s="89">
        <v>0</v>
      </c>
      <c r="BR101" s="89">
        <v>0</v>
      </c>
      <c r="BS101" s="89">
        <v>0</v>
      </c>
      <c r="BT101" s="89">
        <v>0</v>
      </c>
      <c r="BU101" s="89">
        <v>0</v>
      </c>
      <c r="BV101" s="89">
        <v>0</v>
      </c>
    </row>
    <row r="102" spans="2:74" ht="15" customHeight="1">
      <c r="B102" s="86" t="s">
        <v>198</v>
      </c>
      <c r="C102" s="23" t="s">
        <v>206</v>
      </c>
      <c r="D102" s="87">
        <f>SUM(Resource_Rates_Table56[[#This Row],[Year 1 Hours]],Resource_Rates_Table56[[#This Row],[Year 2 Hours]],Resource_Rates_Table56[[#This Row],[Year 3 Hours]],Resource_Rates_Table56[[#This Row],[Year 4 Hours]],Resource_Rates_Table56[[#This Row],[Year 5 Hours]])</f>
        <v>0</v>
      </c>
      <c r="E102" s="88">
        <f t="shared" si="5"/>
        <v>0</v>
      </c>
      <c r="F10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2" s="88">
        <f t="shared" si="9"/>
        <v>0</v>
      </c>
      <c r="H102" s="88" t="str">
        <f>IFERROR(Resource_Rates_Table56[[#This Row],[Year 2 Hours]]/((IF(AND($D$4&gt;12,$D$4&lt;25),$D$4-12,IF($D$4&gt;24,12,"N/A")))*IF(VLOOKUP(Resource_Rates_Table56[[#This Row],[Resource Title]],'Resource Descriptions'!$D$6:$J$112,7,FALSE)="Onshore",$F$4,$F$5)),"N/A")</f>
        <v>N/A</v>
      </c>
      <c r="I102" s="88">
        <f t="shared" si="6"/>
        <v>0</v>
      </c>
      <c r="J102" s="88" t="str">
        <f>IFERROR(Resource_Rates_Table56[[#This Row],[Year 3 Hours]]/((IF(AND($D$4&gt;24,$D$4&lt;37),$D$4-24,IF($D$4&gt;36,12,"N/A")))*IF(VLOOKUP(Resource_Rates_Table56[[#This Row],[Resource Title]],'Resource Descriptions'!$D$6:$J$112,7,FALSE)="Onshore",$F$4,$F$5)),"N/A")</f>
        <v>N/A</v>
      </c>
      <c r="K102" s="88">
        <f t="shared" si="7"/>
        <v>0</v>
      </c>
      <c r="L102" s="88" t="str">
        <f>IFERROR(Resource_Rates_Table56[[#This Row],[Year 4 Hours]]/((IF(AND($D$4&gt;36,$D$4&lt;49),$D$4-36,IF($D$4&gt;48,12,"N/A")))*IF(VLOOKUP(Resource_Rates_Table56[[#This Row],[Resource Title]],'Resource Descriptions'!$D$6:$J$112,7,FALSE)="Onshore",$F$4,$F$5)),"N/A")</f>
        <v>N/A</v>
      </c>
      <c r="M102" s="88">
        <f t="shared" si="8"/>
        <v>0</v>
      </c>
      <c r="N102" s="88" t="str">
        <f>IFERROR(Resource_Rates_Table56[[#This Row],[Year 5 Hours]]/((IF(AND($D$4&gt;48,$D$4&lt;61),$D$4-48,IF($D$4&gt;60,12,"N/A")))*IF(VLOOKUP(Resource_Rates_Table56[[#This Row],[Resource Title]],'Resource Descriptions'!$D$6:$J$112,7,FALSE)="Onshore",$F$4,$F$5)),"N/A")</f>
        <v>N/A</v>
      </c>
      <c r="O102" s="89">
        <v>0</v>
      </c>
      <c r="P102" s="89">
        <v>0</v>
      </c>
      <c r="Q102" s="89">
        <v>0</v>
      </c>
      <c r="R102" s="89">
        <v>0</v>
      </c>
      <c r="S102" s="89">
        <v>0</v>
      </c>
      <c r="T102" s="89">
        <v>0</v>
      </c>
      <c r="U102" s="89">
        <v>0</v>
      </c>
      <c r="V102" s="89">
        <v>0</v>
      </c>
      <c r="W102" s="89">
        <v>0</v>
      </c>
      <c r="X102" s="89">
        <v>0</v>
      </c>
      <c r="Y102" s="89">
        <v>0</v>
      </c>
      <c r="Z102" s="89">
        <v>0</v>
      </c>
      <c r="AA102" s="89">
        <v>0</v>
      </c>
      <c r="AB102" s="89">
        <v>0</v>
      </c>
      <c r="AC102" s="89">
        <v>0</v>
      </c>
      <c r="AD102" s="89">
        <v>0</v>
      </c>
      <c r="AE102" s="89">
        <v>0</v>
      </c>
      <c r="AF102" s="89">
        <v>0</v>
      </c>
      <c r="AG102" s="89">
        <v>0</v>
      </c>
      <c r="AH102" s="89">
        <v>0</v>
      </c>
      <c r="AI102" s="89">
        <v>0</v>
      </c>
      <c r="AJ102" s="89">
        <v>0</v>
      </c>
      <c r="AK102" s="89">
        <v>0</v>
      </c>
      <c r="AL102" s="89">
        <v>0</v>
      </c>
      <c r="AM102" s="89">
        <v>0</v>
      </c>
      <c r="AN102" s="89">
        <v>0</v>
      </c>
      <c r="AO102" s="89">
        <v>0</v>
      </c>
      <c r="AP102" s="89">
        <v>0</v>
      </c>
      <c r="AQ102" s="89">
        <v>0</v>
      </c>
      <c r="AR102" s="89">
        <v>0</v>
      </c>
      <c r="AS102" s="89">
        <v>0</v>
      </c>
      <c r="AT102" s="89">
        <v>0</v>
      </c>
      <c r="AU102" s="89">
        <v>0</v>
      </c>
      <c r="AV102" s="89">
        <v>0</v>
      </c>
      <c r="AW102" s="89">
        <v>0</v>
      </c>
      <c r="AX102" s="89">
        <v>0</v>
      </c>
      <c r="AY102" s="89">
        <v>0</v>
      </c>
      <c r="AZ102" s="89">
        <v>0</v>
      </c>
      <c r="BA102" s="89">
        <v>0</v>
      </c>
      <c r="BB102" s="89">
        <v>0</v>
      </c>
      <c r="BC102" s="89">
        <v>0</v>
      </c>
      <c r="BD102" s="89">
        <v>0</v>
      </c>
      <c r="BE102" s="89">
        <v>0</v>
      </c>
      <c r="BF102" s="89">
        <v>0</v>
      </c>
      <c r="BG102" s="89">
        <v>0</v>
      </c>
      <c r="BH102" s="89">
        <v>0</v>
      </c>
      <c r="BI102" s="89">
        <v>0</v>
      </c>
      <c r="BJ102" s="89">
        <v>0</v>
      </c>
      <c r="BK102" s="89">
        <v>0</v>
      </c>
      <c r="BL102" s="89">
        <v>0</v>
      </c>
      <c r="BM102" s="89">
        <v>0</v>
      </c>
      <c r="BN102" s="89">
        <v>0</v>
      </c>
      <c r="BO102" s="89">
        <v>0</v>
      </c>
      <c r="BP102" s="89">
        <v>0</v>
      </c>
      <c r="BQ102" s="89">
        <v>0</v>
      </c>
      <c r="BR102" s="89">
        <v>0</v>
      </c>
      <c r="BS102" s="89">
        <v>0</v>
      </c>
      <c r="BT102" s="89">
        <v>0</v>
      </c>
      <c r="BU102" s="89">
        <v>0</v>
      </c>
      <c r="BV102" s="89">
        <v>0</v>
      </c>
    </row>
    <row r="103" spans="2:74" ht="15" customHeight="1">
      <c r="B103" s="86" t="s">
        <v>207</v>
      </c>
      <c r="C103" s="23" t="s">
        <v>208</v>
      </c>
      <c r="D103" s="87">
        <f>SUM(Resource_Rates_Table56[[#This Row],[Year 1 Hours]],Resource_Rates_Table56[[#This Row],[Year 2 Hours]],Resource_Rates_Table56[[#This Row],[Year 3 Hours]],Resource_Rates_Table56[[#This Row],[Year 4 Hours]],Resource_Rates_Table56[[#This Row],[Year 5 Hours]])</f>
        <v>0</v>
      </c>
      <c r="E103" s="88">
        <f t="shared" si="5"/>
        <v>0</v>
      </c>
      <c r="F10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3" s="88">
        <f t="shared" si="9"/>
        <v>0</v>
      </c>
      <c r="H103" s="88" t="str">
        <f>IFERROR(Resource_Rates_Table56[[#This Row],[Year 2 Hours]]/((IF(AND($D$4&gt;12,$D$4&lt;25),$D$4-12,IF($D$4&gt;24,12,"N/A")))*IF(VLOOKUP(Resource_Rates_Table56[[#This Row],[Resource Title]],'Resource Descriptions'!$D$6:$J$112,7,FALSE)="Onshore",$F$4,$F$5)),"N/A")</f>
        <v>N/A</v>
      </c>
      <c r="I103" s="88">
        <f t="shared" si="6"/>
        <v>0</v>
      </c>
      <c r="J103" s="88" t="str">
        <f>IFERROR(Resource_Rates_Table56[[#This Row],[Year 3 Hours]]/((IF(AND($D$4&gt;24,$D$4&lt;37),$D$4-24,IF($D$4&gt;36,12,"N/A")))*IF(VLOOKUP(Resource_Rates_Table56[[#This Row],[Resource Title]],'Resource Descriptions'!$D$6:$J$112,7,FALSE)="Onshore",$F$4,$F$5)),"N/A")</f>
        <v>N/A</v>
      </c>
      <c r="K103" s="88">
        <f t="shared" si="7"/>
        <v>0</v>
      </c>
      <c r="L103" s="88" t="str">
        <f>IFERROR(Resource_Rates_Table56[[#This Row],[Year 4 Hours]]/((IF(AND($D$4&gt;36,$D$4&lt;49),$D$4-36,IF($D$4&gt;48,12,"N/A")))*IF(VLOOKUP(Resource_Rates_Table56[[#This Row],[Resource Title]],'Resource Descriptions'!$D$6:$J$112,7,FALSE)="Onshore",$F$4,$F$5)),"N/A")</f>
        <v>N/A</v>
      </c>
      <c r="M103" s="88">
        <f t="shared" si="8"/>
        <v>0</v>
      </c>
      <c r="N103" s="88" t="str">
        <f>IFERROR(Resource_Rates_Table56[[#This Row],[Year 5 Hours]]/((IF(AND($D$4&gt;48,$D$4&lt;61),$D$4-48,IF($D$4&gt;60,12,"N/A")))*IF(VLOOKUP(Resource_Rates_Table56[[#This Row],[Resource Title]],'Resource Descriptions'!$D$6:$J$112,7,FALSE)="Onshore",$F$4,$F$5)),"N/A")</f>
        <v>N/A</v>
      </c>
      <c r="O103" s="89">
        <v>0</v>
      </c>
      <c r="P103" s="89">
        <v>0</v>
      </c>
      <c r="Q103" s="89">
        <v>0</v>
      </c>
      <c r="R103" s="89">
        <v>0</v>
      </c>
      <c r="S103" s="89">
        <v>0</v>
      </c>
      <c r="T103" s="89">
        <v>0</v>
      </c>
      <c r="U103" s="89">
        <v>0</v>
      </c>
      <c r="V103" s="89">
        <v>0</v>
      </c>
      <c r="W103" s="89">
        <v>0</v>
      </c>
      <c r="X103" s="89">
        <v>0</v>
      </c>
      <c r="Y103" s="89">
        <v>0</v>
      </c>
      <c r="Z103" s="89">
        <v>0</v>
      </c>
      <c r="AA103" s="89">
        <v>0</v>
      </c>
      <c r="AB103" s="89">
        <v>0</v>
      </c>
      <c r="AC103" s="89">
        <v>0</v>
      </c>
      <c r="AD103" s="89">
        <v>0</v>
      </c>
      <c r="AE103" s="89">
        <v>0</v>
      </c>
      <c r="AF103" s="89">
        <v>0</v>
      </c>
      <c r="AG103" s="89">
        <v>0</v>
      </c>
      <c r="AH103" s="89">
        <v>0</v>
      </c>
      <c r="AI103" s="89">
        <v>0</v>
      </c>
      <c r="AJ103" s="89">
        <v>0</v>
      </c>
      <c r="AK103" s="89">
        <v>0</v>
      </c>
      <c r="AL103" s="89">
        <v>0</v>
      </c>
      <c r="AM103" s="89">
        <v>0</v>
      </c>
      <c r="AN103" s="89">
        <v>0</v>
      </c>
      <c r="AO103" s="89">
        <v>0</v>
      </c>
      <c r="AP103" s="89">
        <v>0</v>
      </c>
      <c r="AQ103" s="89">
        <v>0</v>
      </c>
      <c r="AR103" s="89">
        <v>0</v>
      </c>
      <c r="AS103" s="89">
        <v>0</v>
      </c>
      <c r="AT103" s="89">
        <v>0</v>
      </c>
      <c r="AU103" s="89">
        <v>0</v>
      </c>
      <c r="AV103" s="89">
        <v>0</v>
      </c>
      <c r="AW103" s="89">
        <v>0</v>
      </c>
      <c r="AX103" s="89">
        <v>0</v>
      </c>
      <c r="AY103" s="89">
        <v>0</v>
      </c>
      <c r="AZ103" s="89">
        <v>0</v>
      </c>
      <c r="BA103" s="89">
        <v>0</v>
      </c>
      <c r="BB103" s="89">
        <v>0</v>
      </c>
      <c r="BC103" s="89">
        <v>0</v>
      </c>
      <c r="BD103" s="89">
        <v>0</v>
      </c>
      <c r="BE103" s="89">
        <v>0</v>
      </c>
      <c r="BF103" s="89">
        <v>0</v>
      </c>
      <c r="BG103" s="89">
        <v>0</v>
      </c>
      <c r="BH103" s="89">
        <v>0</v>
      </c>
      <c r="BI103" s="89">
        <v>0</v>
      </c>
      <c r="BJ103" s="89">
        <v>0</v>
      </c>
      <c r="BK103" s="89">
        <v>0</v>
      </c>
      <c r="BL103" s="89">
        <v>0</v>
      </c>
      <c r="BM103" s="89">
        <v>0</v>
      </c>
      <c r="BN103" s="89">
        <v>0</v>
      </c>
      <c r="BO103" s="89">
        <v>0</v>
      </c>
      <c r="BP103" s="89">
        <v>0</v>
      </c>
      <c r="BQ103" s="89">
        <v>0</v>
      </c>
      <c r="BR103" s="89">
        <v>0</v>
      </c>
      <c r="BS103" s="89">
        <v>0</v>
      </c>
      <c r="BT103" s="89">
        <v>0</v>
      </c>
      <c r="BU103" s="89">
        <v>0</v>
      </c>
      <c r="BV103" s="89">
        <v>0</v>
      </c>
    </row>
    <row r="104" spans="2:74" ht="15" customHeight="1">
      <c r="B104" s="86" t="s">
        <v>207</v>
      </c>
      <c r="C104" s="23" t="s">
        <v>209</v>
      </c>
      <c r="D104" s="87">
        <f>SUM(Resource_Rates_Table56[[#This Row],[Year 1 Hours]],Resource_Rates_Table56[[#This Row],[Year 2 Hours]],Resource_Rates_Table56[[#This Row],[Year 3 Hours]],Resource_Rates_Table56[[#This Row],[Year 4 Hours]],Resource_Rates_Table56[[#This Row],[Year 5 Hours]])</f>
        <v>0</v>
      </c>
      <c r="E104" s="88">
        <f t="shared" si="5"/>
        <v>0</v>
      </c>
      <c r="F10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4" s="88">
        <f t="shared" si="9"/>
        <v>0</v>
      </c>
      <c r="H104" s="88" t="str">
        <f>IFERROR(Resource_Rates_Table56[[#This Row],[Year 2 Hours]]/((IF(AND($D$4&gt;12,$D$4&lt;25),$D$4-12,IF($D$4&gt;24,12,"N/A")))*IF(VLOOKUP(Resource_Rates_Table56[[#This Row],[Resource Title]],'Resource Descriptions'!$D$6:$J$112,7,FALSE)="Onshore",$F$4,$F$5)),"N/A")</f>
        <v>N/A</v>
      </c>
      <c r="I104" s="88">
        <f t="shared" si="6"/>
        <v>0</v>
      </c>
      <c r="J104" s="88" t="str">
        <f>IFERROR(Resource_Rates_Table56[[#This Row],[Year 3 Hours]]/((IF(AND($D$4&gt;24,$D$4&lt;37),$D$4-24,IF($D$4&gt;36,12,"N/A")))*IF(VLOOKUP(Resource_Rates_Table56[[#This Row],[Resource Title]],'Resource Descriptions'!$D$6:$J$112,7,FALSE)="Onshore",$F$4,$F$5)),"N/A")</f>
        <v>N/A</v>
      </c>
      <c r="K104" s="88">
        <f t="shared" si="7"/>
        <v>0</v>
      </c>
      <c r="L104" s="88" t="str">
        <f>IFERROR(Resource_Rates_Table56[[#This Row],[Year 4 Hours]]/((IF(AND($D$4&gt;36,$D$4&lt;49),$D$4-36,IF($D$4&gt;48,12,"N/A")))*IF(VLOOKUP(Resource_Rates_Table56[[#This Row],[Resource Title]],'Resource Descriptions'!$D$6:$J$112,7,FALSE)="Onshore",$F$4,$F$5)),"N/A")</f>
        <v>N/A</v>
      </c>
      <c r="M104" s="88">
        <f t="shared" si="8"/>
        <v>0</v>
      </c>
      <c r="N104" s="88" t="str">
        <f>IFERROR(Resource_Rates_Table56[[#This Row],[Year 5 Hours]]/((IF(AND($D$4&gt;48,$D$4&lt;61),$D$4-48,IF($D$4&gt;60,12,"N/A")))*IF(VLOOKUP(Resource_Rates_Table56[[#This Row],[Resource Title]],'Resource Descriptions'!$D$6:$J$112,7,FALSE)="Onshore",$F$4,$F$5)),"N/A")</f>
        <v>N/A</v>
      </c>
      <c r="O104" s="89">
        <v>0</v>
      </c>
      <c r="P104" s="89">
        <v>0</v>
      </c>
      <c r="Q104" s="89">
        <v>0</v>
      </c>
      <c r="R104" s="89">
        <v>0</v>
      </c>
      <c r="S104" s="89">
        <v>0</v>
      </c>
      <c r="T104" s="89">
        <v>0</v>
      </c>
      <c r="U104" s="89">
        <v>0</v>
      </c>
      <c r="V104" s="89">
        <v>0</v>
      </c>
      <c r="W104" s="89">
        <v>0</v>
      </c>
      <c r="X104" s="89">
        <v>0</v>
      </c>
      <c r="Y104" s="89">
        <v>0</v>
      </c>
      <c r="Z104" s="89">
        <v>0</v>
      </c>
      <c r="AA104" s="89">
        <v>0</v>
      </c>
      <c r="AB104" s="89">
        <v>0</v>
      </c>
      <c r="AC104" s="89">
        <v>0</v>
      </c>
      <c r="AD104" s="89">
        <v>0</v>
      </c>
      <c r="AE104" s="89">
        <v>0</v>
      </c>
      <c r="AF104" s="89">
        <v>0</v>
      </c>
      <c r="AG104" s="89">
        <v>0</v>
      </c>
      <c r="AH104" s="89">
        <v>0</v>
      </c>
      <c r="AI104" s="89">
        <v>0</v>
      </c>
      <c r="AJ104" s="89">
        <v>0</v>
      </c>
      <c r="AK104" s="89">
        <v>0</v>
      </c>
      <c r="AL104" s="89">
        <v>0</v>
      </c>
      <c r="AM104" s="89">
        <v>0</v>
      </c>
      <c r="AN104" s="89">
        <v>0</v>
      </c>
      <c r="AO104" s="89">
        <v>0</v>
      </c>
      <c r="AP104" s="89">
        <v>0</v>
      </c>
      <c r="AQ104" s="89">
        <v>0</v>
      </c>
      <c r="AR104" s="89">
        <v>0</v>
      </c>
      <c r="AS104" s="89">
        <v>0</v>
      </c>
      <c r="AT104" s="89">
        <v>0</v>
      </c>
      <c r="AU104" s="89">
        <v>0</v>
      </c>
      <c r="AV104" s="89">
        <v>0</v>
      </c>
      <c r="AW104" s="89">
        <v>0</v>
      </c>
      <c r="AX104" s="89">
        <v>0</v>
      </c>
      <c r="AY104" s="89">
        <v>0</v>
      </c>
      <c r="AZ104" s="89">
        <v>0</v>
      </c>
      <c r="BA104" s="89">
        <v>0</v>
      </c>
      <c r="BB104" s="89">
        <v>0</v>
      </c>
      <c r="BC104" s="89">
        <v>0</v>
      </c>
      <c r="BD104" s="89">
        <v>0</v>
      </c>
      <c r="BE104" s="89">
        <v>0</v>
      </c>
      <c r="BF104" s="89">
        <v>0</v>
      </c>
      <c r="BG104" s="89">
        <v>0</v>
      </c>
      <c r="BH104" s="89">
        <v>0</v>
      </c>
      <c r="BI104" s="89">
        <v>0</v>
      </c>
      <c r="BJ104" s="89">
        <v>0</v>
      </c>
      <c r="BK104" s="89">
        <v>0</v>
      </c>
      <c r="BL104" s="89">
        <v>0</v>
      </c>
      <c r="BM104" s="89">
        <v>0</v>
      </c>
      <c r="BN104" s="89">
        <v>0</v>
      </c>
      <c r="BO104" s="89">
        <v>0</v>
      </c>
      <c r="BP104" s="89">
        <v>0</v>
      </c>
      <c r="BQ104" s="89">
        <v>0</v>
      </c>
      <c r="BR104" s="89">
        <v>0</v>
      </c>
      <c r="BS104" s="89">
        <v>0</v>
      </c>
      <c r="BT104" s="89">
        <v>0</v>
      </c>
      <c r="BU104" s="89">
        <v>0</v>
      </c>
      <c r="BV104" s="89">
        <v>0</v>
      </c>
    </row>
    <row r="105" spans="2:74" ht="15" customHeight="1">
      <c r="B105" s="86" t="s">
        <v>207</v>
      </c>
      <c r="C105" s="23" t="s">
        <v>210</v>
      </c>
      <c r="D105" s="87">
        <f>SUM(Resource_Rates_Table56[[#This Row],[Year 1 Hours]],Resource_Rates_Table56[[#This Row],[Year 2 Hours]],Resource_Rates_Table56[[#This Row],[Year 3 Hours]],Resource_Rates_Table56[[#This Row],[Year 4 Hours]],Resource_Rates_Table56[[#This Row],[Year 5 Hours]])</f>
        <v>0</v>
      </c>
      <c r="E105" s="88">
        <f t="shared" si="5"/>
        <v>0</v>
      </c>
      <c r="F10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5" s="88">
        <f t="shared" si="9"/>
        <v>0</v>
      </c>
      <c r="H105" s="88" t="str">
        <f>IFERROR(Resource_Rates_Table56[[#This Row],[Year 2 Hours]]/((IF(AND($D$4&gt;12,$D$4&lt;25),$D$4-12,IF($D$4&gt;24,12,"N/A")))*IF(VLOOKUP(Resource_Rates_Table56[[#This Row],[Resource Title]],'Resource Descriptions'!$D$6:$J$112,7,FALSE)="Onshore",$F$4,$F$5)),"N/A")</f>
        <v>N/A</v>
      </c>
      <c r="I105" s="88">
        <f t="shared" si="6"/>
        <v>0</v>
      </c>
      <c r="J105" s="88" t="str">
        <f>IFERROR(Resource_Rates_Table56[[#This Row],[Year 3 Hours]]/((IF(AND($D$4&gt;24,$D$4&lt;37),$D$4-24,IF($D$4&gt;36,12,"N/A")))*IF(VLOOKUP(Resource_Rates_Table56[[#This Row],[Resource Title]],'Resource Descriptions'!$D$6:$J$112,7,FALSE)="Onshore",$F$4,$F$5)),"N/A")</f>
        <v>N/A</v>
      </c>
      <c r="K105" s="88">
        <f t="shared" si="7"/>
        <v>0</v>
      </c>
      <c r="L105" s="88" t="str">
        <f>IFERROR(Resource_Rates_Table56[[#This Row],[Year 4 Hours]]/((IF(AND($D$4&gt;36,$D$4&lt;49),$D$4-36,IF($D$4&gt;48,12,"N/A")))*IF(VLOOKUP(Resource_Rates_Table56[[#This Row],[Resource Title]],'Resource Descriptions'!$D$6:$J$112,7,FALSE)="Onshore",$F$4,$F$5)),"N/A")</f>
        <v>N/A</v>
      </c>
      <c r="M105" s="88">
        <f t="shared" si="8"/>
        <v>0</v>
      </c>
      <c r="N105" s="88" t="str">
        <f>IFERROR(Resource_Rates_Table56[[#This Row],[Year 5 Hours]]/((IF(AND($D$4&gt;48,$D$4&lt;61),$D$4-48,IF($D$4&gt;60,12,"N/A")))*IF(VLOOKUP(Resource_Rates_Table56[[#This Row],[Resource Title]],'Resource Descriptions'!$D$6:$J$112,7,FALSE)="Onshore",$F$4,$F$5)),"N/A")</f>
        <v>N/A</v>
      </c>
      <c r="O105" s="89">
        <v>0</v>
      </c>
      <c r="P105" s="89">
        <v>0</v>
      </c>
      <c r="Q105" s="89">
        <v>0</v>
      </c>
      <c r="R105" s="89">
        <v>0</v>
      </c>
      <c r="S105" s="89">
        <v>0</v>
      </c>
      <c r="T105" s="89">
        <v>0</v>
      </c>
      <c r="U105" s="89">
        <v>0</v>
      </c>
      <c r="V105" s="89">
        <v>0</v>
      </c>
      <c r="W105" s="89">
        <v>0</v>
      </c>
      <c r="X105" s="89">
        <v>0</v>
      </c>
      <c r="Y105" s="89">
        <v>0</v>
      </c>
      <c r="Z105" s="89">
        <v>0</v>
      </c>
      <c r="AA105" s="89">
        <v>0</v>
      </c>
      <c r="AB105" s="89">
        <v>0</v>
      </c>
      <c r="AC105" s="89">
        <v>0</v>
      </c>
      <c r="AD105" s="89">
        <v>0</v>
      </c>
      <c r="AE105" s="89">
        <v>0</v>
      </c>
      <c r="AF105" s="89">
        <v>0</v>
      </c>
      <c r="AG105" s="89">
        <v>0</v>
      </c>
      <c r="AH105" s="89">
        <v>0</v>
      </c>
      <c r="AI105" s="89">
        <v>0</v>
      </c>
      <c r="AJ105" s="89">
        <v>0</v>
      </c>
      <c r="AK105" s="89">
        <v>0</v>
      </c>
      <c r="AL105" s="89">
        <v>0</v>
      </c>
      <c r="AM105" s="89">
        <v>0</v>
      </c>
      <c r="AN105" s="89">
        <v>0</v>
      </c>
      <c r="AO105" s="89">
        <v>0</v>
      </c>
      <c r="AP105" s="89">
        <v>0</v>
      </c>
      <c r="AQ105" s="89">
        <v>0</v>
      </c>
      <c r="AR105" s="89">
        <v>0</v>
      </c>
      <c r="AS105" s="89">
        <v>0</v>
      </c>
      <c r="AT105" s="89">
        <v>0</v>
      </c>
      <c r="AU105" s="89">
        <v>0</v>
      </c>
      <c r="AV105" s="89">
        <v>0</v>
      </c>
      <c r="AW105" s="89">
        <v>0</v>
      </c>
      <c r="AX105" s="89">
        <v>0</v>
      </c>
      <c r="AY105" s="89">
        <v>0</v>
      </c>
      <c r="AZ105" s="89">
        <v>0</v>
      </c>
      <c r="BA105" s="89">
        <v>0</v>
      </c>
      <c r="BB105" s="89">
        <v>0</v>
      </c>
      <c r="BC105" s="89">
        <v>0</v>
      </c>
      <c r="BD105" s="89">
        <v>0</v>
      </c>
      <c r="BE105" s="89">
        <v>0</v>
      </c>
      <c r="BF105" s="89">
        <v>0</v>
      </c>
      <c r="BG105" s="89">
        <v>0</v>
      </c>
      <c r="BH105" s="89">
        <v>0</v>
      </c>
      <c r="BI105" s="89">
        <v>0</v>
      </c>
      <c r="BJ105" s="89">
        <v>0</v>
      </c>
      <c r="BK105" s="89">
        <v>0</v>
      </c>
      <c r="BL105" s="89">
        <v>0</v>
      </c>
      <c r="BM105" s="89">
        <v>0</v>
      </c>
      <c r="BN105" s="89">
        <v>0</v>
      </c>
      <c r="BO105" s="89">
        <v>0</v>
      </c>
      <c r="BP105" s="89">
        <v>0</v>
      </c>
      <c r="BQ105" s="89">
        <v>0</v>
      </c>
      <c r="BR105" s="89">
        <v>0</v>
      </c>
      <c r="BS105" s="89">
        <v>0</v>
      </c>
      <c r="BT105" s="89">
        <v>0</v>
      </c>
      <c r="BU105" s="89">
        <v>0</v>
      </c>
      <c r="BV105" s="89">
        <v>0</v>
      </c>
    </row>
    <row r="106" spans="2:74" ht="15" customHeight="1">
      <c r="B106" s="86" t="s">
        <v>207</v>
      </c>
      <c r="C106" s="23" t="s">
        <v>211</v>
      </c>
      <c r="D106" s="87">
        <f>SUM(Resource_Rates_Table56[[#This Row],[Year 1 Hours]],Resource_Rates_Table56[[#This Row],[Year 2 Hours]],Resource_Rates_Table56[[#This Row],[Year 3 Hours]],Resource_Rates_Table56[[#This Row],[Year 4 Hours]],Resource_Rates_Table56[[#This Row],[Year 5 Hours]])</f>
        <v>0</v>
      </c>
      <c r="E106" s="88">
        <f t="shared" si="5"/>
        <v>0</v>
      </c>
      <c r="F10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6" s="88">
        <f t="shared" si="9"/>
        <v>0</v>
      </c>
      <c r="H106" s="88" t="str">
        <f>IFERROR(Resource_Rates_Table56[[#This Row],[Year 2 Hours]]/((IF(AND($D$4&gt;12,$D$4&lt;25),$D$4-12,IF($D$4&gt;24,12,"N/A")))*IF(VLOOKUP(Resource_Rates_Table56[[#This Row],[Resource Title]],'Resource Descriptions'!$D$6:$J$112,7,FALSE)="Onshore",$F$4,$F$5)),"N/A")</f>
        <v>N/A</v>
      </c>
      <c r="I106" s="88">
        <f t="shared" si="6"/>
        <v>0</v>
      </c>
      <c r="J106" s="88" t="str">
        <f>IFERROR(Resource_Rates_Table56[[#This Row],[Year 3 Hours]]/((IF(AND($D$4&gt;24,$D$4&lt;37),$D$4-24,IF($D$4&gt;36,12,"N/A")))*IF(VLOOKUP(Resource_Rates_Table56[[#This Row],[Resource Title]],'Resource Descriptions'!$D$6:$J$112,7,FALSE)="Onshore",$F$4,$F$5)),"N/A")</f>
        <v>N/A</v>
      </c>
      <c r="K106" s="88">
        <f t="shared" si="7"/>
        <v>0</v>
      </c>
      <c r="L106" s="88" t="str">
        <f>IFERROR(Resource_Rates_Table56[[#This Row],[Year 4 Hours]]/((IF(AND($D$4&gt;36,$D$4&lt;49),$D$4-36,IF($D$4&gt;48,12,"N/A")))*IF(VLOOKUP(Resource_Rates_Table56[[#This Row],[Resource Title]],'Resource Descriptions'!$D$6:$J$112,7,FALSE)="Onshore",$F$4,$F$5)),"N/A")</f>
        <v>N/A</v>
      </c>
      <c r="M106" s="88">
        <f t="shared" si="8"/>
        <v>0</v>
      </c>
      <c r="N106" s="88" t="str">
        <f>IFERROR(Resource_Rates_Table56[[#This Row],[Year 5 Hours]]/((IF(AND($D$4&gt;48,$D$4&lt;61),$D$4-48,IF($D$4&gt;60,12,"N/A")))*IF(VLOOKUP(Resource_Rates_Table56[[#This Row],[Resource Title]],'Resource Descriptions'!$D$6:$J$112,7,FALSE)="Onshore",$F$4,$F$5)),"N/A")</f>
        <v>N/A</v>
      </c>
      <c r="O106" s="89">
        <v>0</v>
      </c>
      <c r="P106" s="89">
        <v>0</v>
      </c>
      <c r="Q106" s="89">
        <v>0</v>
      </c>
      <c r="R106" s="89">
        <v>0</v>
      </c>
      <c r="S106" s="89">
        <v>0</v>
      </c>
      <c r="T106" s="89">
        <v>0</v>
      </c>
      <c r="U106" s="89">
        <v>0</v>
      </c>
      <c r="V106" s="89">
        <v>0</v>
      </c>
      <c r="W106" s="89">
        <v>0</v>
      </c>
      <c r="X106" s="89">
        <v>0</v>
      </c>
      <c r="Y106" s="89">
        <v>0</v>
      </c>
      <c r="Z106" s="89">
        <v>0</v>
      </c>
      <c r="AA106" s="89">
        <v>0</v>
      </c>
      <c r="AB106" s="89">
        <v>0</v>
      </c>
      <c r="AC106" s="89">
        <v>0</v>
      </c>
      <c r="AD106" s="89">
        <v>0</v>
      </c>
      <c r="AE106" s="89">
        <v>0</v>
      </c>
      <c r="AF106" s="89">
        <v>0</v>
      </c>
      <c r="AG106" s="89">
        <v>0</v>
      </c>
      <c r="AH106" s="89">
        <v>0</v>
      </c>
      <c r="AI106" s="89">
        <v>0</v>
      </c>
      <c r="AJ106" s="89">
        <v>0</v>
      </c>
      <c r="AK106" s="89">
        <v>0</v>
      </c>
      <c r="AL106" s="89">
        <v>0</v>
      </c>
      <c r="AM106" s="89">
        <v>0</v>
      </c>
      <c r="AN106" s="89">
        <v>0</v>
      </c>
      <c r="AO106" s="89">
        <v>0</v>
      </c>
      <c r="AP106" s="89">
        <v>0</v>
      </c>
      <c r="AQ106" s="89">
        <v>0</v>
      </c>
      <c r="AR106" s="89">
        <v>0</v>
      </c>
      <c r="AS106" s="89">
        <v>0</v>
      </c>
      <c r="AT106" s="89">
        <v>0</v>
      </c>
      <c r="AU106" s="89">
        <v>0</v>
      </c>
      <c r="AV106" s="89">
        <v>0</v>
      </c>
      <c r="AW106" s="89">
        <v>0</v>
      </c>
      <c r="AX106" s="89">
        <v>0</v>
      </c>
      <c r="AY106" s="89">
        <v>0</v>
      </c>
      <c r="AZ106" s="89">
        <v>0</v>
      </c>
      <c r="BA106" s="89">
        <v>0</v>
      </c>
      <c r="BB106" s="89">
        <v>0</v>
      </c>
      <c r="BC106" s="89">
        <v>0</v>
      </c>
      <c r="BD106" s="89">
        <v>0</v>
      </c>
      <c r="BE106" s="89">
        <v>0</v>
      </c>
      <c r="BF106" s="89">
        <v>0</v>
      </c>
      <c r="BG106" s="89">
        <v>0</v>
      </c>
      <c r="BH106" s="89">
        <v>0</v>
      </c>
      <c r="BI106" s="89">
        <v>0</v>
      </c>
      <c r="BJ106" s="89">
        <v>0</v>
      </c>
      <c r="BK106" s="89">
        <v>0</v>
      </c>
      <c r="BL106" s="89">
        <v>0</v>
      </c>
      <c r="BM106" s="89">
        <v>0</v>
      </c>
      <c r="BN106" s="89">
        <v>0</v>
      </c>
      <c r="BO106" s="89">
        <v>0</v>
      </c>
      <c r="BP106" s="89">
        <v>0</v>
      </c>
      <c r="BQ106" s="89">
        <v>0</v>
      </c>
      <c r="BR106" s="89">
        <v>0</v>
      </c>
      <c r="BS106" s="89">
        <v>0</v>
      </c>
      <c r="BT106" s="89">
        <v>0</v>
      </c>
      <c r="BU106" s="89">
        <v>0</v>
      </c>
      <c r="BV106" s="89">
        <v>0</v>
      </c>
    </row>
    <row r="107" spans="2:74" ht="15" customHeight="1">
      <c r="B107" s="86" t="s">
        <v>207</v>
      </c>
      <c r="C107" s="23" t="s">
        <v>212</v>
      </c>
      <c r="D107" s="87">
        <f>SUM(Resource_Rates_Table56[[#This Row],[Year 1 Hours]],Resource_Rates_Table56[[#This Row],[Year 2 Hours]],Resource_Rates_Table56[[#This Row],[Year 3 Hours]],Resource_Rates_Table56[[#This Row],[Year 4 Hours]],Resource_Rates_Table56[[#This Row],[Year 5 Hours]])</f>
        <v>0</v>
      </c>
      <c r="E107" s="88">
        <f t="shared" si="5"/>
        <v>0</v>
      </c>
      <c r="F10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7" s="88">
        <f t="shared" si="9"/>
        <v>0</v>
      </c>
      <c r="H107" s="88" t="str">
        <f>IFERROR(Resource_Rates_Table56[[#This Row],[Year 2 Hours]]/((IF(AND($D$4&gt;12,$D$4&lt;25),$D$4-12,IF($D$4&gt;24,12,"N/A")))*IF(VLOOKUP(Resource_Rates_Table56[[#This Row],[Resource Title]],'Resource Descriptions'!$D$6:$J$112,7,FALSE)="Onshore",$F$4,$F$5)),"N/A")</f>
        <v>N/A</v>
      </c>
      <c r="I107" s="88">
        <f t="shared" si="6"/>
        <v>0</v>
      </c>
      <c r="J107" s="88" t="str">
        <f>IFERROR(Resource_Rates_Table56[[#This Row],[Year 3 Hours]]/((IF(AND($D$4&gt;24,$D$4&lt;37),$D$4-24,IF($D$4&gt;36,12,"N/A")))*IF(VLOOKUP(Resource_Rates_Table56[[#This Row],[Resource Title]],'Resource Descriptions'!$D$6:$J$112,7,FALSE)="Onshore",$F$4,$F$5)),"N/A")</f>
        <v>N/A</v>
      </c>
      <c r="K107" s="88">
        <f t="shared" si="7"/>
        <v>0</v>
      </c>
      <c r="L107" s="88" t="str">
        <f>IFERROR(Resource_Rates_Table56[[#This Row],[Year 4 Hours]]/((IF(AND($D$4&gt;36,$D$4&lt;49),$D$4-36,IF($D$4&gt;48,12,"N/A")))*IF(VLOOKUP(Resource_Rates_Table56[[#This Row],[Resource Title]],'Resource Descriptions'!$D$6:$J$112,7,FALSE)="Onshore",$F$4,$F$5)),"N/A")</f>
        <v>N/A</v>
      </c>
      <c r="M107" s="88">
        <f t="shared" si="8"/>
        <v>0</v>
      </c>
      <c r="N107" s="88" t="str">
        <f>IFERROR(Resource_Rates_Table56[[#This Row],[Year 5 Hours]]/((IF(AND($D$4&gt;48,$D$4&lt;61),$D$4-48,IF($D$4&gt;60,12,"N/A")))*IF(VLOOKUP(Resource_Rates_Table56[[#This Row],[Resource Title]],'Resource Descriptions'!$D$6:$J$112,7,FALSE)="Onshore",$F$4,$F$5)),"N/A")</f>
        <v>N/A</v>
      </c>
      <c r="O107" s="89">
        <v>0</v>
      </c>
      <c r="P107" s="89">
        <v>0</v>
      </c>
      <c r="Q107" s="89">
        <v>0</v>
      </c>
      <c r="R107" s="89">
        <v>0</v>
      </c>
      <c r="S107" s="89">
        <v>0</v>
      </c>
      <c r="T107" s="89">
        <v>0</v>
      </c>
      <c r="U107" s="89">
        <v>0</v>
      </c>
      <c r="V107" s="89">
        <v>0</v>
      </c>
      <c r="W107" s="89">
        <v>0</v>
      </c>
      <c r="X107" s="89">
        <v>0</v>
      </c>
      <c r="Y107" s="89">
        <v>0</v>
      </c>
      <c r="Z107" s="89">
        <v>0</v>
      </c>
      <c r="AA107" s="89">
        <v>0</v>
      </c>
      <c r="AB107" s="89">
        <v>0</v>
      </c>
      <c r="AC107" s="89">
        <v>0</v>
      </c>
      <c r="AD107" s="89">
        <v>0</v>
      </c>
      <c r="AE107" s="89">
        <v>0</v>
      </c>
      <c r="AF107" s="89">
        <v>0</v>
      </c>
      <c r="AG107" s="89">
        <v>0</v>
      </c>
      <c r="AH107" s="89">
        <v>0</v>
      </c>
      <c r="AI107" s="89">
        <v>0</v>
      </c>
      <c r="AJ107" s="89">
        <v>0</v>
      </c>
      <c r="AK107" s="89">
        <v>0</v>
      </c>
      <c r="AL107" s="89">
        <v>0</v>
      </c>
      <c r="AM107" s="89">
        <v>0</v>
      </c>
      <c r="AN107" s="89">
        <v>0</v>
      </c>
      <c r="AO107" s="89">
        <v>0</v>
      </c>
      <c r="AP107" s="89">
        <v>0</v>
      </c>
      <c r="AQ107" s="89">
        <v>0</v>
      </c>
      <c r="AR107" s="89">
        <v>0</v>
      </c>
      <c r="AS107" s="89">
        <v>0</v>
      </c>
      <c r="AT107" s="89">
        <v>0</v>
      </c>
      <c r="AU107" s="89">
        <v>0</v>
      </c>
      <c r="AV107" s="89">
        <v>0</v>
      </c>
      <c r="AW107" s="89">
        <v>0</v>
      </c>
      <c r="AX107" s="89">
        <v>0</v>
      </c>
      <c r="AY107" s="89">
        <v>0</v>
      </c>
      <c r="AZ107" s="89">
        <v>0</v>
      </c>
      <c r="BA107" s="89">
        <v>0</v>
      </c>
      <c r="BB107" s="89">
        <v>0</v>
      </c>
      <c r="BC107" s="89">
        <v>0</v>
      </c>
      <c r="BD107" s="89">
        <v>0</v>
      </c>
      <c r="BE107" s="89">
        <v>0</v>
      </c>
      <c r="BF107" s="89">
        <v>0</v>
      </c>
      <c r="BG107" s="89">
        <v>0</v>
      </c>
      <c r="BH107" s="89">
        <v>0</v>
      </c>
      <c r="BI107" s="89">
        <v>0</v>
      </c>
      <c r="BJ107" s="89">
        <v>0</v>
      </c>
      <c r="BK107" s="89">
        <v>0</v>
      </c>
      <c r="BL107" s="89">
        <v>0</v>
      </c>
      <c r="BM107" s="89">
        <v>0</v>
      </c>
      <c r="BN107" s="89">
        <v>0</v>
      </c>
      <c r="BO107" s="89">
        <v>0</v>
      </c>
      <c r="BP107" s="89">
        <v>0</v>
      </c>
      <c r="BQ107" s="89">
        <v>0</v>
      </c>
      <c r="BR107" s="89">
        <v>0</v>
      </c>
      <c r="BS107" s="89">
        <v>0</v>
      </c>
      <c r="BT107" s="89">
        <v>0</v>
      </c>
      <c r="BU107" s="89">
        <v>0</v>
      </c>
      <c r="BV107" s="89">
        <v>0</v>
      </c>
    </row>
    <row r="108" spans="2:74" ht="15" customHeight="1">
      <c r="B108" s="86" t="s">
        <v>207</v>
      </c>
      <c r="C108" s="23" t="s">
        <v>213</v>
      </c>
      <c r="D108" s="87">
        <f>SUM(Resource_Rates_Table56[[#This Row],[Year 1 Hours]],Resource_Rates_Table56[[#This Row],[Year 2 Hours]],Resource_Rates_Table56[[#This Row],[Year 3 Hours]],Resource_Rates_Table56[[#This Row],[Year 4 Hours]],Resource_Rates_Table56[[#This Row],[Year 5 Hours]])</f>
        <v>0</v>
      </c>
      <c r="E108" s="88">
        <f t="shared" si="5"/>
        <v>0</v>
      </c>
      <c r="F10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8" s="88">
        <f t="shared" si="9"/>
        <v>0</v>
      </c>
      <c r="H108" s="88" t="str">
        <f>IFERROR(Resource_Rates_Table56[[#This Row],[Year 2 Hours]]/((IF(AND($D$4&gt;12,$D$4&lt;25),$D$4-12,IF($D$4&gt;24,12,"N/A")))*IF(VLOOKUP(Resource_Rates_Table56[[#This Row],[Resource Title]],'Resource Descriptions'!$D$6:$J$112,7,FALSE)="Onshore",$F$4,$F$5)),"N/A")</f>
        <v>N/A</v>
      </c>
      <c r="I108" s="88">
        <f t="shared" si="6"/>
        <v>0</v>
      </c>
      <c r="J108" s="88" t="str">
        <f>IFERROR(Resource_Rates_Table56[[#This Row],[Year 3 Hours]]/((IF(AND($D$4&gt;24,$D$4&lt;37),$D$4-24,IF($D$4&gt;36,12,"N/A")))*IF(VLOOKUP(Resource_Rates_Table56[[#This Row],[Resource Title]],'Resource Descriptions'!$D$6:$J$112,7,FALSE)="Onshore",$F$4,$F$5)),"N/A")</f>
        <v>N/A</v>
      </c>
      <c r="K108" s="88">
        <f t="shared" si="7"/>
        <v>0</v>
      </c>
      <c r="L108" s="88" t="str">
        <f>IFERROR(Resource_Rates_Table56[[#This Row],[Year 4 Hours]]/((IF(AND($D$4&gt;36,$D$4&lt;49),$D$4-36,IF($D$4&gt;48,12,"N/A")))*IF(VLOOKUP(Resource_Rates_Table56[[#This Row],[Resource Title]],'Resource Descriptions'!$D$6:$J$112,7,FALSE)="Onshore",$F$4,$F$5)),"N/A")</f>
        <v>N/A</v>
      </c>
      <c r="M108" s="88">
        <f t="shared" si="8"/>
        <v>0</v>
      </c>
      <c r="N108" s="88" t="str">
        <f>IFERROR(Resource_Rates_Table56[[#This Row],[Year 5 Hours]]/((IF(AND($D$4&gt;48,$D$4&lt;61),$D$4-48,IF($D$4&gt;60,12,"N/A")))*IF(VLOOKUP(Resource_Rates_Table56[[#This Row],[Resource Title]],'Resource Descriptions'!$D$6:$J$112,7,FALSE)="Onshore",$F$4,$F$5)),"N/A")</f>
        <v>N/A</v>
      </c>
      <c r="O108" s="89">
        <v>0</v>
      </c>
      <c r="P108" s="89">
        <v>0</v>
      </c>
      <c r="Q108" s="89">
        <v>0</v>
      </c>
      <c r="R108" s="89">
        <v>0</v>
      </c>
      <c r="S108" s="89">
        <v>0</v>
      </c>
      <c r="T108" s="89">
        <v>0</v>
      </c>
      <c r="U108" s="89">
        <v>0</v>
      </c>
      <c r="V108" s="89">
        <v>0</v>
      </c>
      <c r="W108" s="89">
        <v>0</v>
      </c>
      <c r="X108" s="89">
        <v>0</v>
      </c>
      <c r="Y108" s="89">
        <v>0</v>
      </c>
      <c r="Z108" s="89">
        <v>0</v>
      </c>
      <c r="AA108" s="89">
        <v>0</v>
      </c>
      <c r="AB108" s="89">
        <v>0</v>
      </c>
      <c r="AC108" s="89">
        <v>0</v>
      </c>
      <c r="AD108" s="89">
        <v>0</v>
      </c>
      <c r="AE108" s="89">
        <v>0</v>
      </c>
      <c r="AF108" s="89">
        <v>0</v>
      </c>
      <c r="AG108" s="89">
        <v>0</v>
      </c>
      <c r="AH108" s="89">
        <v>0</v>
      </c>
      <c r="AI108" s="89">
        <v>0</v>
      </c>
      <c r="AJ108" s="89">
        <v>0</v>
      </c>
      <c r="AK108" s="89">
        <v>0</v>
      </c>
      <c r="AL108" s="89">
        <v>0</v>
      </c>
      <c r="AM108" s="89">
        <v>0</v>
      </c>
      <c r="AN108" s="89">
        <v>0</v>
      </c>
      <c r="AO108" s="89">
        <v>0</v>
      </c>
      <c r="AP108" s="89">
        <v>0</v>
      </c>
      <c r="AQ108" s="89">
        <v>0</v>
      </c>
      <c r="AR108" s="89">
        <v>0</v>
      </c>
      <c r="AS108" s="89">
        <v>0</v>
      </c>
      <c r="AT108" s="89">
        <v>0</v>
      </c>
      <c r="AU108" s="89">
        <v>0</v>
      </c>
      <c r="AV108" s="89">
        <v>0</v>
      </c>
      <c r="AW108" s="89">
        <v>0</v>
      </c>
      <c r="AX108" s="89">
        <v>0</v>
      </c>
      <c r="AY108" s="89">
        <v>0</v>
      </c>
      <c r="AZ108" s="89">
        <v>0</v>
      </c>
      <c r="BA108" s="89">
        <v>0</v>
      </c>
      <c r="BB108" s="89">
        <v>0</v>
      </c>
      <c r="BC108" s="89">
        <v>0</v>
      </c>
      <c r="BD108" s="89">
        <v>0</v>
      </c>
      <c r="BE108" s="89">
        <v>0</v>
      </c>
      <c r="BF108" s="89">
        <v>0</v>
      </c>
      <c r="BG108" s="89">
        <v>0</v>
      </c>
      <c r="BH108" s="89">
        <v>0</v>
      </c>
      <c r="BI108" s="89">
        <v>0</v>
      </c>
      <c r="BJ108" s="89">
        <v>0</v>
      </c>
      <c r="BK108" s="89">
        <v>0</v>
      </c>
      <c r="BL108" s="89">
        <v>0</v>
      </c>
      <c r="BM108" s="89">
        <v>0</v>
      </c>
      <c r="BN108" s="89">
        <v>0</v>
      </c>
      <c r="BO108" s="89">
        <v>0</v>
      </c>
      <c r="BP108" s="89">
        <v>0</v>
      </c>
      <c r="BQ108" s="89">
        <v>0</v>
      </c>
      <c r="BR108" s="89">
        <v>0</v>
      </c>
      <c r="BS108" s="89">
        <v>0</v>
      </c>
      <c r="BT108" s="89">
        <v>0</v>
      </c>
      <c r="BU108" s="89">
        <v>0</v>
      </c>
      <c r="BV108" s="89">
        <v>0</v>
      </c>
    </row>
    <row r="109" spans="2:74" ht="15" customHeight="1">
      <c r="B109" s="86" t="s">
        <v>207</v>
      </c>
      <c r="C109" s="99" t="s">
        <v>214</v>
      </c>
      <c r="D109" s="100">
        <f>SUM(Resource_Rates_Table56[[#This Row],[Year 1 Hours]],Resource_Rates_Table56[[#This Row],[Year 2 Hours]],Resource_Rates_Table56[[#This Row],[Year 3 Hours]],Resource_Rates_Table56[[#This Row],[Year 4 Hours]],Resource_Rates_Table56[[#This Row],[Year 5 Hours]])</f>
        <v>0</v>
      </c>
      <c r="E109" s="101">
        <f t="shared" ref="E109:E114" si="15">SUM(O109:Z109)</f>
        <v>0</v>
      </c>
      <c r="F109"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9" s="101">
        <f t="shared" ref="G109:G114" si="16">SUM(AA109:AL109)</f>
        <v>0</v>
      </c>
      <c r="H109" s="101" t="str">
        <f>IFERROR(Resource_Rates_Table56[[#This Row],[Year 2 Hours]]/((IF(AND($D$4&gt;12,$D$4&lt;25),$D$4-12,IF($D$4&gt;24,12,"N/A")))*IF(VLOOKUP(Resource_Rates_Table56[[#This Row],[Resource Title]],'Resource Descriptions'!$D$6:$J$112,7,FALSE)="Onshore",$F$4,$F$5)),"N/A")</f>
        <v>N/A</v>
      </c>
      <c r="I109" s="101">
        <f t="shared" ref="I109:I114" si="17">SUM(AM109:AX109)</f>
        <v>0</v>
      </c>
      <c r="J109" s="101" t="str">
        <f>IFERROR(Resource_Rates_Table56[[#This Row],[Year 3 Hours]]/((IF(AND($D$4&gt;24,$D$4&lt;37),$D$4-24,IF($D$4&gt;36,12,"N/A")))*IF(VLOOKUP(Resource_Rates_Table56[[#This Row],[Resource Title]],'Resource Descriptions'!$D$6:$J$112,7,FALSE)="Onshore",$F$4,$F$5)),"N/A")</f>
        <v>N/A</v>
      </c>
      <c r="K109" s="101">
        <f t="shared" ref="K109:K114" si="18">SUM(AY109:BJ109)</f>
        <v>0</v>
      </c>
      <c r="L109" s="101" t="str">
        <f>IFERROR(Resource_Rates_Table56[[#This Row],[Year 4 Hours]]/((IF(AND($D$4&gt;36,$D$4&lt;49),$D$4-36,IF($D$4&gt;48,12,"N/A")))*IF(VLOOKUP(Resource_Rates_Table56[[#This Row],[Resource Title]],'Resource Descriptions'!$D$6:$J$112,7,FALSE)="Onshore",$F$4,$F$5)),"N/A")</f>
        <v>N/A</v>
      </c>
      <c r="M109" s="101">
        <f t="shared" ref="M109:M114" si="19">SUM(BK109:BV109)</f>
        <v>0</v>
      </c>
      <c r="N109" s="101" t="str">
        <f>IFERROR(Resource_Rates_Table56[[#This Row],[Year 5 Hours]]/((IF(AND($D$4&gt;48,$D$4&lt;61),$D$4-48,IF($D$4&gt;60,12,"N/A")))*IF(VLOOKUP(Resource_Rates_Table56[[#This Row],[Resource Title]],'Resource Descriptions'!$D$6:$J$112,7,FALSE)="Onshore",$F$4,$F$5)),"N/A")</f>
        <v>N/A</v>
      </c>
      <c r="O109" s="89">
        <v>0</v>
      </c>
      <c r="P109" s="89">
        <v>0</v>
      </c>
      <c r="Q109" s="89">
        <v>0</v>
      </c>
      <c r="R109" s="89">
        <v>0</v>
      </c>
      <c r="S109" s="89">
        <v>0</v>
      </c>
      <c r="T109" s="89">
        <v>0</v>
      </c>
      <c r="U109" s="89">
        <v>0</v>
      </c>
      <c r="V109" s="89">
        <v>0</v>
      </c>
      <c r="W109" s="89">
        <v>0</v>
      </c>
      <c r="X109" s="89">
        <v>0</v>
      </c>
      <c r="Y109" s="89">
        <v>0</v>
      </c>
      <c r="Z109" s="89">
        <v>0</v>
      </c>
      <c r="AA109" s="89">
        <v>0</v>
      </c>
      <c r="AB109" s="89">
        <v>0</v>
      </c>
      <c r="AC109" s="89">
        <v>0</v>
      </c>
      <c r="AD109" s="89">
        <v>0</v>
      </c>
      <c r="AE109" s="89">
        <v>0</v>
      </c>
      <c r="AF109" s="89">
        <v>0</v>
      </c>
      <c r="AG109" s="89">
        <v>0</v>
      </c>
      <c r="AH109" s="89">
        <v>0</v>
      </c>
      <c r="AI109" s="89">
        <v>0</v>
      </c>
      <c r="AJ109" s="89">
        <v>0</v>
      </c>
      <c r="AK109" s="89">
        <v>0</v>
      </c>
      <c r="AL109" s="89">
        <v>0</v>
      </c>
      <c r="AM109" s="89">
        <v>0</v>
      </c>
      <c r="AN109" s="89">
        <v>0</v>
      </c>
      <c r="AO109" s="89">
        <v>0</v>
      </c>
      <c r="AP109" s="89">
        <v>0</v>
      </c>
      <c r="AQ109" s="89">
        <v>0</v>
      </c>
      <c r="AR109" s="89">
        <v>0</v>
      </c>
      <c r="AS109" s="89">
        <v>0</v>
      </c>
      <c r="AT109" s="89">
        <v>0</v>
      </c>
      <c r="AU109" s="89">
        <v>0</v>
      </c>
      <c r="AV109" s="89">
        <v>0</v>
      </c>
      <c r="AW109" s="89">
        <v>0</v>
      </c>
      <c r="AX109" s="89">
        <v>0</v>
      </c>
      <c r="AY109" s="89">
        <v>0</v>
      </c>
      <c r="AZ109" s="89">
        <v>0</v>
      </c>
      <c r="BA109" s="89">
        <v>0</v>
      </c>
      <c r="BB109" s="89">
        <v>0</v>
      </c>
      <c r="BC109" s="89">
        <v>0</v>
      </c>
      <c r="BD109" s="89">
        <v>0</v>
      </c>
      <c r="BE109" s="89">
        <v>0</v>
      </c>
      <c r="BF109" s="89">
        <v>0</v>
      </c>
      <c r="BG109" s="89">
        <v>0</v>
      </c>
      <c r="BH109" s="89">
        <v>0</v>
      </c>
      <c r="BI109" s="89">
        <v>0</v>
      </c>
      <c r="BJ109" s="89">
        <v>0</v>
      </c>
      <c r="BK109" s="89">
        <v>0</v>
      </c>
      <c r="BL109" s="89">
        <v>0</v>
      </c>
      <c r="BM109" s="89">
        <v>0</v>
      </c>
      <c r="BN109" s="89">
        <v>0</v>
      </c>
      <c r="BO109" s="89">
        <v>0</v>
      </c>
      <c r="BP109" s="89">
        <v>0</v>
      </c>
      <c r="BQ109" s="89">
        <v>0</v>
      </c>
      <c r="BR109" s="89">
        <v>0</v>
      </c>
      <c r="BS109" s="89">
        <v>0</v>
      </c>
      <c r="BT109" s="89">
        <v>0</v>
      </c>
      <c r="BU109" s="89">
        <v>0</v>
      </c>
      <c r="BV109" s="89">
        <v>0</v>
      </c>
    </row>
    <row r="110" spans="2:74" ht="15" customHeight="1">
      <c r="B110" s="86" t="s">
        <v>207</v>
      </c>
      <c r="C110" s="99" t="s">
        <v>215</v>
      </c>
      <c r="D110" s="100">
        <f>SUM(Resource_Rates_Table56[[#This Row],[Year 1 Hours]],Resource_Rates_Table56[[#This Row],[Year 2 Hours]],Resource_Rates_Table56[[#This Row],[Year 3 Hours]],Resource_Rates_Table56[[#This Row],[Year 4 Hours]],Resource_Rates_Table56[[#This Row],[Year 5 Hours]])</f>
        <v>0</v>
      </c>
      <c r="E110" s="101">
        <f t="shared" si="15"/>
        <v>0</v>
      </c>
      <c r="F110"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0" s="101">
        <f t="shared" si="16"/>
        <v>0</v>
      </c>
      <c r="H110" s="101" t="str">
        <f>IFERROR(Resource_Rates_Table56[[#This Row],[Year 2 Hours]]/((IF(AND($D$4&gt;12,$D$4&lt;25),$D$4-12,IF($D$4&gt;24,12,"N/A")))*IF(VLOOKUP(Resource_Rates_Table56[[#This Row],[Resource Title]],'Resource Descriptions'!$D$6:$J$112,7,FALSE)="Onshore",$F$4,$F$5)),"N/A")</f>
        <v>N/A</v>
      </c>
      <c r="I110" s="101">
        <f t="shared" si="17"/>
        <v>0</v>
      </c>
      <c r="J110" s="101" t="str">
        <f>IFERROR(Resource_Rates_Table56[[#This Row],[Year 3 Hours]]/((IF(AND($D$4&gt;24,$D$4&lt;37),$D$4-24,IF($D$4&gt;36,12,"N/A")))*IF(VLOOKUP(Resource_Rates_Table56[[#This Row],[Resource Title]],'Resource Descriptions'!$D$6:$J$112,7,FALSE)="Onshore",$F$4,$F$5)),"N/A")</f>
        <v>N/A</v>
      </c>
      <c r="K110" s="101">
        <f t="shared" si="18"/>
        <v>0</v>
      </c>
      <c r="L110" s="101" t="str">
        <f>IFERROR(Resource_Rates_Table56[[#This Row],[Year 4 Hours]]/((IF(AND($D$4&gt;36,$D$4&lt;49),$D$4-36,IF($D$4&gt;48,12,"N/A")))*IF(VLOOKUP(Resource_Rates_Table56[[#This Row],[Resource Title]],'Resource Descriptions'!$D$6:$J$112,7,FALSE)="Onshore",$F$4,$F$5)),"N/A")</f>
        <v>N/A</v>
      </c>
      <c r="M110" s="101">
        <f t="shared" si="19"/>
        <v>0</v>
      </c>
      <c r="N110" s="101" t="str">
        <f>IFERROR(Resource_Rates_Table56[[#This Row],[Year 5 Hours]]/((IF(AND($D$4&gt;48,$D$4&lt;61),$D$4-48,IF($D$4&gt;60,12,"N/A")))*IF(VLOOKUP(Resource_Rates_Table56[[#This Row],[Resource Title]],'Resource Descriptions'!$D$6:$J$112,7,FALSE)="Onshore",$F$4,$F$5)),"N/A")</f>
        <v>N/A</v>
      </c>
      <c r="O110" s="89">
        <v>0</v>
      </c>
      <c r="P110" s="89">
        <v>0</v>
      </c>
      <c r="Q110" s="89">
        <v>0</v>
      </c>
      <c r="R110" s="89">
        <v>0</v>
      </c>
      <c r="S110" s="89">
        <v>0</v>
      </c>
      <c r="T110" s="89">
        <v>0</v>
      </c>
      <c r="U110" s="89">
        <v>0</v>
      </c>
      <c r="V110" s="89">
        <v>0</v>
      </c>
      <c r="W110" s="89">
        <v>0</v>
      </c>
      <c r="X110" s="89">
        <v>0</v>
      </c>
      <c r="Y110" s="89">
        <v>0</v>
      </c>
      <c r="Z110" s="89">
        <v>0</v>
      </c>
      <c r="AA110" s="89">
        <v>0</v>
      </c>
      <c r="AB110" s="89">
        <v>0</v>
      </c>
      <c r="AC110" s="89">
        <v>0</v>
      </c>
      <c r="AD110" s="89">
        <v>0</v>
      </c>
      <c r="AE110" s="89">
        <v>0</v>
      </c>
      <c r="AF110" s="89">
        <v>0</v>
      </c>
      <c r="AG110" s="89">
        <v>0</v>
      </c>
      <c r="AH110" s="89">
        <v>0</v>
      </c>
      <c r="AI110" s="89">
        <v>0</v>
      </c>
      <c r="AJ110" s="89">
        <v>0</v>
      </c>
      <c r="AK110" s="89">
        <v>0</v>
      </c>
      <c r="AL110" s="89">
        <v>0</v>
      </c>
      <c r="AM110" s="89">
        <v>0</v>
      </c>
      <c r="AN110" s="89">
        <v>0</v>
      </c>
      <c r="AO110" s="89">
        <v>0</v>
      </c>
      <c r="AP110" s="89">
        <v>0</v>
      </c>
      <c r="AQ110" s="89">
        <v>0</v>
      </c>
      <c r="AR110" s="89">
        <v>0</v>
      </c>
      <c r="AS110" s="89">
        <v>0</v>
      </c>
      <c r="AT110" s="89">
        <v>0</v>
      </c>
      <c r="AU110" s="89">
        <v>0</v>
      </c>
      <c r="AV110" s="89">
        <v>0</v>
      </c>
      <c r="AW110" s="89">
        <v>0</v>
      </c>
      <c r="AX110" s="89">
        <v>0</v>
      </c>
      <c r="AY110" s="89">
        <v>0</v>
      </c>
      <c r="AZ110" s="89">
        <v>0</v>
      </c>
      <c r="BA110" s="89">
        <v>0</v>
      </c>
      <c r="BB110" s="89">
        <v>0</v>
      </c>
      <c r="BC110" s="89">
        <v>0</v>
      </c>
      <c r="BD110" s="89">
        <v>0</v>
      </c>
      <c r="BE110" s="89">
        <v>0</v>
      </c>
      <c r="BF110" s="89">
        <v>0</v>
      </c>
      <c r="BG110" s="89">
        <v>0</v>
      </c>
      <c r="BH110" s="89">
        <v>0</v>
      </c>
      <c r="BI110" s="89">
        <v>0</v>
      </c>
      <c r="BJ110" s="89">
        <v>0</v>
      </c>
      <c r="BK110" s="89">
        <v>0</v>
      </c>
      <c r="BL110" s="89">
        <v>0</v>
      </c>
      <c r="BM110" s="89">
        <v>0</v>
      </c>
      <c r="BN110" s="89">
        <v>0</v>
      </c>
      <c r="BO110" s="89">
        <v>0</v>
      </c>
      <c r="BP110" s="89">
        <v>0</v>
      </c>
      <c r="BQ110" s="89">
        <v>0</v>
      </c>
      <c r="BR110" s="89">
        <v>0</v>
      </c>
      <c r="BS110" s="89">
        <v>0</v>
      </c>
      <c r="BT110" s="89">
        <v>0</v>
      </c>
      <c r="BU110" s="89">
        <v>0</v>
      </c>
      <c r="BV110" s="89">
        <v>0</v>
      </c>
    </row>
    <row r="111" spans="2:74" ht="15" customHeight="1">
      <c r="B111" s="86" t="s">
        <v>207</v>
      </c>
      <c r="C111" s="99" t="s">
        <v>216</v>
      </c>
      <c r="D111" s="100">
        <f>SUM(Resource_Rates_Table56[[#This Row],[Year 1 Hours]],Resource_Rates_Table56[[#This Row],[Year 2 Hours]],Resource_Rates_Table56[[#This Row],[Year 3 Hours]],Resource_Rates_Table56[[#This Row],[Year 4 Hours]],Resource_Rates_Table56[[#This Row],[Year 5 Hours]])</f>
        <v>0</v>
      </c>
      <c r="E111" s="101">
        <f t="shared" si="15"/>
        <v>0</v>
      </c>
      <c r="F111"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1" s="101">
        <f t="shared" si="16"/>
        <v>0</v>
      </c>
      <c r="H111" s="101" t="str">
        <f>IFERROR(Resource_Rates_Table56[[#This Row],[Year 2 Hours]]/((IF(AND($D$4&gt;12,$D$4&lt;25),$D$4-12,IF($D$4&gt;24,12,"N/A")))*IF(VLOOKUP(Resource_Rates_Table56[[#This Row],[Resource Title]],'Resource Descriptions'!$D$6:$J$112,7,FALSE)="Onshore",$F$4,$F$5)),"N/A")</f>
        <v>N/A</v>
      </c>
      <c r="I111" s="101">
        <f t="shared" si="17"/>
        <v>0</v>
      </c>
      <c r="J111" s="101" t="str">
        <f>IFERROR(Resource_Rates_Table56[[#This Row],[Year 3 Hours]]/((IF(AND($D$4&gt;24,$D$4&lt;37),$D$4-24,IF($D$4&gt;36,12,"N/A")))*IF(VLOOKUP(Resource_Rates_Table56[[#This Row],[Resource Title]],'Resource Descriptions'!$D$6:$J$112,7,FALSE)="Onshore",$F$4,$F$5)),"N/A")</f>
        <v>N/A</v>
      </c>
      <c r="K111" s="101">
        <f t="shared" si="18"/>
        <v>0</v>
      </c>
      <c r="L111" s="101" t="str">
        <f>IFERROR(Resource_Rates_Table56[[#This Row],[Year 4 Hours]]/((IF(AND($D$4&gt;36,$D$4&lt;49),$D$4-36,IF($D$4&gt;48,12,"N/A")))*IF(VLOOKUP(Resource_Rates_Table56[[#This Row],[Resource Title]],'Resource Descriptions'!$D$6:$J$112,7,FALSE)="Onshore",$F$4,$F$5)),"N/A")</f>
        <v>N/A</v>
      </c>
      <c r="M111" s="101">
        <f t="shared" si="19"/>
        <v>0</v>
      </c>
      <c r="N111" s="101" t="str">
        <f>IFERROR(Resource_Rates_Table56[[#This Row],[Year 5 Hours]]/((IF(AND($D$4&gt;48,$D$4&lt;61),$D$4-48,IF($D$4&gt;60,12,"N/A")))*IF(VLOOKUP(Resource_Rates_Table56[[#This Row],[Resource Title]],'Resource Descriptions'!$D$6:$J$112,7,FALSE)="Onshore",$F$4,$F$5)),"N/A")</f>
        <v>N/A</v>
      </c>
      <c r="O111" s="89">
        <v>0</v>
      </c>
      <c r="P111" s="89">
        <v>0</v>
      </c>
      <c r="Q111" s="89">
        <v>0</v>
      </c>
      <c r="R111" s="89">
        <v>0</v>
      </c>
      <c r="S111" s="89">
        <v>0</v>
      </c>
      <c r="T111" s="89">
        <v>0</v>
      </c>
      <c r="U111" s="89">
        <v>0</v>
      </c>
      <c r="V111" s="89">
        <v>0</v>
      </c>
      <c r="W111" s="89">
        <v>0</v>
      </c>
      <c r="X111" s="89">
        <v>0</v>
      </c>
      <c r="Y111" s="89">
        <v>0</v>
      </c>
      <c r="Z111" s="89">
        <v>0</v>
      </c>
      <c r="AA111" s="89">
        <v>0</v>
      </c>
      <c r="AB111" s="89">
        <v>0</v>
      </c>
      <c r="AC111" s="89">
        <v>0</v>
      </c>
      <c r="AD111" s="89">
        <v>0</v>
      </c>
      <c r="AE111" s="89">
        <v>0</v>
      </c>
      <c r="AF111" s="89">
        <v>0</v>
      </c>
      <c r="AG111" s="89">
        <v>0</v>
      </c>
      <c r="AH111" s="89">
        <v>0</v>
      </c>
      <c r="AI111" s="89">
        <v>0</v>
      </c>
      <c r="AJ111" s="89">
        <v>0</v>
      </c>
      <c r="AK111" s="89">
        <v>0</v>
      </c>
      <c r="AL111" s="89">
        <v>0</v>
      </c>
      <c r="AM111" s="89">
        <v>0</v>
      </c>
      <c r="AN111" s="89">
        <v>0</v>
      </c>
      <c r="AO111" s="89">
        <v>0</v>
      </c>
      <c r="AP111" s="89">
        <v>0</v>
      </c>
      <c r="AQ111" s="89">
        <v>0</v>
      </c>
      <c r="AR111" s="89">
        <v>0</v>
      </c>
      <c r="AS111" s="89">
        <v>0</v>
      </c>
      <c r="AT111" s="89">
        <v>0</v>
      </c>
      <c r="AU111" s="89">
        <v>0</v>
      </c>
      <c r="AV111" s="89">
        <v>0</v>
      </c>
      <c r="AW111" s="89">
        <v>0</v>
      </c>
      <c r="AX111" s="89">
        <v>0</v>
      </c>
      <c r="AY111" s="89">
        <v>0</v>
      </c>
      <c r="AZ111" s="89">
        <v>0</v>
      </c>
      <c r="BA111" s="89">
        <v>0</v>
      </c>
      <c r="BB111" s="89">
        <v>0</v>
      </c>
      <c r="BC111" s="89">
        <v>0</v>
      </c>
      <c r="BD111" s="89">
        <v>0</v>
      </c>
      <c r="BE111" s="89">
        <v>0</v>
      </c>
      <c r="BF111" s="89">
        <v>0</v>
      </c>
      <c r="BG111" s="89">
        <v>0</v>
      </c>
      <c r="BH111" s="89">
        <v>0</v>
      </c>
      <c r="BI111" s="89">
        <v>0</v>
      </c>
      <c r="BJ111" s="89">
        <v>0</v>
      </c>
      <c r="BK111" s="89">
        <v>0</v>
      </c>
      <c r="BL111" s="89">
        <v>0</v>
      </c>
      <c r="BM111" s="89">
        <v>0</v>
      </c>
      <c r="BN111" s="89">
        <v>0</v>
      </c>
      <c r="BO111" s="89">
        <v>0</v>
      </c>
      <c r="BP111" s="89">
        <v>0</v>
      </c>
      <c r="BQ111" s="89">
        <v>0</v>
      </c>
      <c r="BR111" s="89">
        <v>0</v>
      </c>
      <c r="BS111" s="89">
        <v>0</v>
      </c>
      <c r="BT111" s="89">
        <v>0</v>
      </c>
      <c r="BU111" s="89">
        <v>0</v>
      </c>
      <c r="BV111" s="89">
        <v>0</v>
      </c>
    </row>
    <row r="112" spans="2:74" ht="15" customHeight="1">
      <c r="B112" s="86" t="s">
        <v>207</v>
      </c>
      <c r="C112" s="99" t="s">
        <v>217</v>
      </c>
      <c r="D112" s="100">
        <f>SUM(Resource_Rates_Table56[[#This Row],[Year 1 Hours]],Resource_Rates_Table56[[#This Row],[Year 2 Hours]],Resource_Rates_Table56[[#This Row],[Year 3 Hours]],Resource_Rates_Table56[[#This Row],[Year 4 Hours]],Resource_Rates_Table56[[#This Row],[Year 5 Hours]])</f>
        <v>0</v>
      </c>
      <c r="E112" s="101">
        <f t="shared" si="15"/>
        <v>0</v>
      </c>
      <c r="F112"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2" s="101">
        <f t="shared" si="16"/>
        <v>0</v>
      </c>
      <c r="H112" s="101" t="str">
        <f>IFERROR(Resource_Rates_Table56[[#This Row],[Year 2 Hours]]/((IF(AND($D$4&gt;12,$D$4&lt;25),$D$4-12,IF($D$4&gt;24,12,"N/A")))*IF(VLOOKUP(Resource_Rates_Table56[[#This Row],[Resource Title]],'Resource Descriptions'!$D$6:$J$112,7,FALSE)="Onshore",$F$4,$F$5)),"N/A")</f>
        <v>N/A</v>
      </c>
      <c r="I112" s="101">
        <f t="shared" si="17"/>
        <v>0</v>
      </c>
      <c r="J112" s="101" t="str">
        <f>IFERROR(Resource_Rates_Table56[[#This Row],[Year 3 Hours]]/((IF(AND($D$4&gt;24,$D$4&lt;37),$D$4-24,IF($D$4&gt;36,12,"N/A")))*IF(VLOOKUP(Resource_Rates_Table56[[#This Row],[Resource Title]],'Resource Descriptions'!$D$6:$J$112,7,FALSE)="Onshore",$F$4,$F$5)),"N/A")</f>
        <v>N/A</v>
      </c>
      <c r="K112" s="101">
        <f t="shared" si="18"/>
        <v>0</v>
      </c>
      <c r="L112" s="101" t="str">
        <f>IFERROR(Resource_Rates_Table56[[#This Row],[Year 4 Hours]]/((IF(AND($D$4&gt;36,$D$4&lt;49),$D$4-36,IF($D$4&gt;48,12,"N/A")))*IF(VLOOKUP(Resource_Rates_Table56[[#This Row],[Resource Title]],'Resource Descriptions'!$D$6:$J$112,7,FALSE)="Onshore",$F$4,$F$5)),"N/A")</f>
        <v>N/A</v>
      </c>
      <c r="M112" s="101">
        <f t="shared" si="19"/>
        <v>0</v>
      </c>
      <c r="N112" s="101" t="str">
        <f>IFERROR(Resource_Rates_Table56[[#This Row],[Year 5 Hours]]/((IF(AND($D$4&gt;48,$D$4&lt;61),$D$4-48,IF($D$4&gt;60,12,"N/A")))*IF(VLOOKUP(Resource_Rates_Table56[[#This Row],[Resource Title]],'Resource Descriptions'!$D$6:$J$112,7,FALSE)="Onshore",$F$4,$F$5)),"N/A")</f>
        <v>N/A</v>
      </c>
      <c r="O112" s="89">
        <v>0</v>
      </c>
      <c r="P112" s="89">
        <v>0</v>
      </c>
      <c r="Q112" s="89">
        <v>0</v>
      </c>
      <c r="R112" s="89">
        <v>0</v>
      </c>
      <c r="S112" s="89">
        <v>0</v>
      </c>
      <c r="T112" s="89">
        <v>0</v>
      </c>
      <c r="U112" s="89">
        <v>0</v>
      </c>
      <c r="V112" s="89">
        <v>0</v>
      </c>
      <c r="W112" s="89">
        <v>0</v>
      </c>
      <c r="X112" s="89">
        <v>0</v>
      </c>
      <c r="Y112" s="89">
        <v>0</v>
      </c>
      <c r="Z112" s="89">
        <v>0</v>
      </c>
      <c r="AA112" s="89">
        <v>0</v>
      </c>
      <c r="AB112" s="89">
        <v>0</v>
      </c>
      <c r="AC112" s="89">
        <v>0</v>
      </c>
      <c r="AD112" s="89">
        <v>0</v>
      </c>
      <c r="AE112" s="89">
        <v>0</v>
      </c>
      <c r="AF112" s="89">
        <v>0</v>
      </c>
      <c r="AG112" s="89">
        <v>0</v>
      </c>
      <c r="AH112" s="89">
        <v>0</v>
      </c>
      <c r="AI112" s="89">
        <v>0</v>
      </c>
      <c r="AJ112" s="89">
        <v>0</v>
      </c>
      <c r="AK112" s="89">
        <v>0</v>
      </c>
      <c r="AL112" s="89">
        <v>0</v>
      </c>
      <c r="AM112" s="89">
        <v>0</v>
      </c>
      <c r="AN112" s="89">
        <v>0</v>
      </c>
      <c r="AO112" s="89">
        <v>0</v>
      </c>
      <c r="AP112" s="89">
        <v>0</v>
      </c>
      <c r="AQ112" s="89">
        <v>0</v>
      </c>
      <c r="AR112" s="89">
        <v>0</v>
      </c>
      <c r="AS112" s="89">
        <v>0</v>
      </c>
      <c r="AT112" s="89">
        <v>0</v>
      </c>
      <c r="AU112" s="89">
        <v>0</v>
      </c>
      <c r="AV112" s="89">
        <v>0</v>
      </c>
      <c r="AW112" s="89">
        <v>0</v>
      </c>
      <c r="AX112" s="89">
        <v>0</v>
      </c>
      <c r="AY112" s="89">
        <v>0</v>
      </c>
      <c r="AZ112" s="89">
        <v>0</v>
      </c>
      <c r="BA112" s="89">
        <v>0</v>
      </c>
      <c r="BB112" s="89">
        <v>0</v>
      </c>
      <c r="BC112" s="89">
        <v>0</v>
      </c>
      <c r="BD112" s="89">
        <v>0</v>
      </c>
      <c r="BE112" s="89">
        <v>0</v>
      </c>
      <c r="BF112" s="89">
        <v>0</v>
      </c>
      <c r="BG112" s="89">
        <v>0</v>
      </c>
      <c r="BH112" s="89">
        <v>0</v>
      </c>
      <c r="BI112" s="89">
        <v>0</v>
      </c>
      <c r="BJ112" s="89">
        <v>0</v>
      </c>
      <c r="BK112" s="89">
        <v>0</v>
      </c>
      <c r="BL112" s="89">
        <v>0</v>
      </c>
      <c r="BM112" s="89">
        <v>0</v>
      </c>
      <c r="BN112" s="89">
        <v>0</v>
      </c>
      <c r="BO112" s="89">
        <v>0</v>
      </c>
      <c r="BP112" s="89">
        <v>0</v>
      </c>
      <c r="BQ112" s="89">
        <v>0</v>
      </c>
      <c r="BR112" s="89">
        <v>0</v>
      </c>
      <c r="BS112" s="89">
        <v>0</v>
      </c>
      <c r="BT112" s="89">
        <v>0</v>
      </c>
      <c r="BU112" s="89">
        <v>0</v>
      </c>
      <c r="BV112" s="89">
        <v>0</v>
      </c>
    </row>
    <row r="113" spans="2:74" ht="15" customHeight="1">
      <c r="B113" s="86" t="s">
        <v>207</v>
      </c>
      <c r="C113" s="99" t="s">
        <v>218</v>
      </c>
      <c r="D113" s="100">
        <f>SUM(Resource_Rates_Table56[[#This Row],[Year 1 Hours]],Resource_Rates_Table56[[#This Row],[Year 2 Hours]],Resource_Rates_Table56[[#This Row],[Year 3 Hours]],Resource_Rates_Table56[[#This Row],[Year 4 Hours]],Resource_Rates_Table56[[#This Row],[Year 5 Hours]])</f>
        <v>0</v>
      </c>
      <c r="E113" s="101">
        <f t="shared" si="15"/>
        <v>0</v>
      </c>
      <c r="F113"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3" s="101">
        <f t="shared" si="16"/>
        <v>0</v>
      </c>
      <c r="H113" s="101" t="str">
        <f>IFERROR(Resource_Rates_Table56[[#This Row],[Year 2 Hours]]/((IF(AND($D$4&gt;12,$D$4&lt;25),$D$4-12,IF($D$4&gt;24,12,"N/A")))*IF(VLOOKUP(Resource_Rates_Table56[[#This Row],[Resource Title]],'Resource Descriptions'!$D$6:$J$112,7,FALSE)="Onshore",$F$4,$F$5)),"N/A")</f>
        <v>N/A</v>
      </c>
      <c r="I113" s="101">
        <f t="shared" si="17"/>
        <v>0</v>
      </c>
      <c r="J113" s="101" t="str">
        <f>IFERROR(Resource_Rates_Table56[[#This Row],[Year 3 Hours]]/((IF(AND($D$4&gt;24,$D$4&lt;37),$D$4-24,IF($D$4&gt;36,12,"N/A")))*IF(VLOOKUP(Resource_Rates_Table56[[#This Row],[Resource Title]],'Resource Descriptions'!$D$6:$J$112,7,FALSE)="Onshore",$F$4,$F$5)),"N/A")</f>
        <v>N/A</v>
      </c>
      <c r="K113" s="101">
        <f t="shared" si="18"/>
        <v>0</v>
      </c>
      <c r="L113" s="101" t="str">
        <f>IFERROR(Resource_Rates_Table56[[#This Row],[Year 4 Hours]]/((IF(AND($D$4&gt;36,$D$4&lt;49),$D$4-36,IF($D$4&gt;48,12,"N/A")))*IF(VLOOKUP(Resource_Rates_Table56[[#This Row],[Resource Title]],'Resource Descriptions'!$D$6:$J$112,7,FALSE)="Onshore",$F$4,$F$5)),"N/A")</f>
        <v>N/A</v>
      </c>
      <c r="M113" s="101">
        <f t="shared" si="19"/>
        <v>0</v>
      </c>
      <c r="N113" s="101" t="str">
        <f>IFERROR(Resource_Rates_Table56[[#This Row],[Year 5 Hours]]/((IF(AND($D$4&gt;48,$D$4&lt;61),$D$4-48,IF($D$4&gt;60,12,"N/A")))*IF(VLOOKUP(Resource_Rates_Table56[[#This Row],[Resource Title]],'Resource Descriptions'!$D$6:$J$112,7,FALSE)="Onshore",$F$4,$F$5)),"N/A")</f>
        <v>N/A</v>
      </c>
      <c r="O113" s="89">
        <v>0</v>
      </c>
      <c r="P113" s="89">
        <v>0</v>
      </c>
      <c r="Q113" s="89">
        <v>0</v>
      </c>
      <c r="R113" s="89">
        <v>0</v>
      </c>
      <c r="S113" s="89">
        <v>0</v>
      </c>
      <c r="T113" s="89">
        <v>0</v>
      </c>
      <c r="U113" s="89">
        <v>0</v>
      </c>
      <c r="V113" s="89">
        <v>0</v>
      </c>
      <c r="W113" s="89">
        <v>0</v>
      </c>
      <c r="X113" s="89">
        <v>0</v>
      </c>
      <c r="Y113" s="89">
        <v>0</v>
      </c>
      <c r="Z113" s="89">
        <v>0</v>
      </c>
      <c r="AA113" s="89">
        <v>0</v>
      </c>
      <c r="AB113" s="89">
        <v>0</v>
      </c>
      <c r="AC113" s="89">
        <v>0</v>
      </c>
      <c r="AD113" s="89">
        <v>0</v>
      </c>
      <c r="AE113" s="89">
        <v>0</v>
      </c>
      <c r="AF113" s="89">
        <v>0</v>
      </c>
      <c r="AG113" s="89">
        <v>0</v>
      </c>
      <c r="AH113" s="89">
        <v>0</v>
      </c>
      <c r="AI113" s="89">
        <v>0</v>
      </c>
      <c r="AJ113" s="89">
        <v>0</v>
      </c>
      <c r="AK113" s="89">
        <v>0</v>
      </c>
      <c r="AL113" s="89">
        <v>0</v>
      </c>
      <c r="AM113" s="89">
        <v>0</v>
      </c>
      <c r="AN113" s="89">
        <v>0</v>
      </c>
      <c r="AO113" s="89">
        <v>0</v>
      </c>
      <c r="AP113" s="89">
        <v>0</v>
      </c>
      <c r="AQ113" s="89">
        <v>0</v>
      </c>
      <c r="AR113" s="89">
        <v>0</v>
      </c>
      <c r="AS113" s="89">
        <v>0</v>
      </c>
      <c r="AT113" s="89">
        <v>0</v>
      </c>
      <c r="AU113" s="89">
        <v>0</v>
      </c>
      <c r="AV113" s="89">
        <v>0</v>
      </c>
      <c r="AW113" s="89">
        <v>0</v>
      </c>
      <c r="AX113" s="89">
        <v>0</v>
      </c>
      <c r="AY113" s="89">
        <v>0</v>
      </c>
      <c r="AZ113" s="89">
        <v>0</v>
      </c>
      <c r="BA113" s="89">
        <v>0</v>
      </c>
      <c r="BB113" s="89">
        <v>0</v>
      </c>
      <c r="BC113" s="89">
        <v>0</v>
      </c>
      <c r="BD113" s="89">
        <v>0</v>
      </c>
      <c r="BE113" s="89">
        <v>0</v>
      </c>
      <c r="BF113" s="89">
        <v>0</v>
      </c>
      <c r="BG113" s="89">
        <v>0</v>
      </c>
      <c r="BH113" s="89">
        <v>0</v>
      </c>
      <c r="BI113" s="89">
        <v>0</v>
      </c>
      <c r="BJ113" s="89">
        <v>0</v>
      </c>
      <c r="BK113" s="89">
        <v>0</v>
      </c>
      <c r="BL113" s="89">
        <v>0</v>
      </c>
      <c r="BM113" s="89">
        <v>0</v>
      </c>
      <c r="BN113" s="89">
        <v>0</v>
      </c>
      <c r="BO113" s="89">
        <v>0</v>
      </c>
      <c r="BP113" s="89">
        <v>0</v>
      </c>
      <c r="BQ113" s="89">
        <v>0</v>
      </c>
      <c r="BR113" s="89">
        <v>0</v>
      </c>
      <c r="BS113" s="89">
        <v>0</v>
      </c>
      <c r="BT113" s="89">
        <v>0</v>
      </c>
      <c r="BU113" s="89">
        <v>0</v>
      </c>
      <c r="BV113" s="89">
        <v>0</v>
      </c>
    </row>
    <row r="114" spans="2:74" ht="15" customHeight="1">
      <c r="B114" s="86" t="s">
        <v>207</v>
      </c>
      <c r="C114" s="99" t="s">
        <v>219</v>
      </c>
      <c r="D114" s="100">
        <f>SUM(Resource_Rates_Table56[[#This Row],[Year 1 Hours]],Resource_Rates_Table56[[#This Row],[Year 2 Hours]],Resource_Rates_Table56[[#This Row],[Year 3 Hours]],Resource_Rates_Table56[[#This Row],[Year 4 Hours]],Resource_Rates_Table56[[#This Row],[Year 5 Hours]])</f>
        <v>0</v>
      </c>
      <c r="E114" s="101">
        <f t="shared" si="15"/>
        <v>0</v>
      </c>
      <c r="F114"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4" s="101">
        <f t="shared" si="16"/>
        <v>0</v>
      </c>
      <c r="H114" s="101" t="str">
        <f>IFERROR(Resource_Rates_Table56[[#This Row],[Year 2 Hours]]/((IF(AND($D$4&gt;12,$D$4&lt;25),$D$4-12,IF($D$4&gt;24,12,"N/A")))*IF(VLOOKUP(Resource_Rates_Table56[[#This Row],[Resource Title]],'Resource Descriptions'!$D$6:$J$112,7,FALSE)="Onshore",$F$4,$F$5)),"N/A")</f>
        <v>N/A</v>
      </c>
      <c r="I114" s="101">
        <f t="shared" si="17"/>
        <v>0</v>
      </c>
      <c r="J114" s="101" t="str">
        <f>IFERROR(Resource_Rates_Table56[[#This Row],[Year 3 Hours]]/((IF(AND($D$4&gt;24,$D$4&lt;37),$D$4-24,IF($D$4&gt;36,12,"N/A")))*IF(VLOOKUP(Resource_Rates_Table56[[#This Row],[Resource Title]],'Resource Descriptions'!$D$6:$J$112,7,FALSE)="Onshore",$F$4,$F$5)),"N/A")</f>
        <v>N/A</v>
      </c>
      <c r="K114" s="101">
        <f t="shared" si="18"/>
        <v>0</v>
      </c>
      <c r="L114" s="101" t="str">
        <f>IFERROR(Resource_Rates_Table56[[#This Row],[Year 4 Hours]]/((IF(AND($D$4&gt;36,$D$4&lt;49),$D$4-36,IF($D$4&gt;48,12,"N/A")))*IF(VLOOKUP(Resource_Rates_Table56[[#This Row],[Resource Title]],'Resource Descriptions'!$D$6:$J$112,7,FALSE)="Onshore",$F$4,$F$5)),"N/A")</f>
        <v>N/A</v>
      </c>
      <c r="M114" s="101">
        <f t="shared" si="19"/>
        <v>0</v>
      </c>
      <c r="N114" s="101" t="str">
        <f>IFERROR(Resource_Rates_Table56[[#This Row],[Year 5 Hours]]/((IF(AND($D$4&gt;48,$D$4&lt;61),$D$4-48,IF($D$4&gt;60,12,"N/A")))*IF(VLOOKUP(Resource_Rates_Table56[[#This Row],[Resource Title]],'Resource Descriptions'!$D$6:$J$112,7,FALSE)="Onshore",$F$4,$F$5)),"N/A")</f>
        <v>N/A</v>
      </c>
      <c r="O114" s="89">
        <v>0</v>
      </c>
      <c r="P114" s="89">
        <v>0</v>
      </c>
      <c r="Q114" s="89">
        <v>0</v>
      </c>
      <c r="R114" s="89">
        <v>0</v>
      </c>
      <c r="S114" s="89">
        <v>0</v>
      </c>
      <c r="T114" s="89">
        <v>0</v>
      </c>
      <c r="U114" s="89">
        <v>0</v>
      </c>
      <c r="V114" s="89">
        <v>0</v>
      </c>
      <c r="W114" s="89">
        <v>0</v>
      </c>
      <c r="X114" s="89">
        <v>0</v>
      </c>
      <c r="Y114" s="89">
        <v>0</v>
      </c>
      <c r="Z114" s="89">
        <v>0</v>
      </c>
      <c r="AA114" s="89">
        <v>0</v>
      </c>
      <c r="AB114" s="89">
        <v>0</v>
      </c>
      <c r="AC114" s="89">
        <v>0</v>
      </c>
      <c r="AD114" s="89">
        <v>0</v>
      </c>
      <c r="AE114" s="89">
        <v>0</v>
      </c>
      <c r="AF114" s="89">
        <v>0</v>
      </c>
      <c r="AG114" s="89">
        <v>0</v>
      </c>
      <c r="AH114" s="89">
        <v>0</v>
      </c>
      <c r="AI114" s="89">
        <v>0</v>
      </c>
      <c r="AJ114" s="89">
        <v>0</v>
      </c>
      <c r="AK114" s="89">
        <v>0</v>
      </c>
      <c r="AL114" s="89">
        <v>0</v>
      </c>
      <c r="AM114" s="89">
        <v>0</v>
      </c>
      <c r="AN114" s="89">
        <v>0</v>
      </c>
      <c r="AO114" s="89">
        <v>0</v>
      </c>
      <c r="AP114" s="89">
        <v>0</v>
      </c>
      <c r="AQ114" s="89">
        <v>0</v>
      </c>
      <c r="AR114" s="89">
        <v>0</v>
      </c>
      <c r="AS114" s="89">
        <v>0</v>
      </c>
      <c r="AT114" s="89">
        <v>0</v>
      </c>
      <c r="AU114" s="89">
        <v>0</v>
      </c>
      <c r="AV114" s="89">
        <v>0</v>
      </c>
      <c r="AW114" s="89">
        <v>0</v>
      </c>
      <c r="AX114" s="89">
        <v>0</v>
      </c>
      <c r="AY114" s="89">
        <v>0</v>
      </c>
      <c r="AZ114" s="89">
        <v>0</v>
      </c>
      <c r="BA114" s="89">
        <v>0</v>
      </c>
      <c r="BB114" s="89">
        <v>0</v>
      </c>
      <c r="BC114" s="89">
        <v>0</v>
      </c>
      <c r="BD114" s="89">
        <v>0</v>
      </c>
      <c r="BE114" s="89">
        <v>0</v>
      </c>
      <c r="BF114" s="89">
        <v>0</v>
      </c>
      <c r="BG114" s="89">
        <v>0</v>
      </c>
      <c r="BH114" s="89">
        <v>0</v>
      </c>
      <c r="BI114" s="89">
        <v>0</v>
      </c>
      <c r="BJ114" s="89">
        <v>0</v>
      </c>
      <c r="BK114" s="89">
        <v>0</v>
      </c>
      <c r="BL114" s="89">
        <v>0</v>
      </c>
      <c r="BM114" s="89">
        <v>0</v>
      </c>
      <c r="BN114" s="89">
        <v>0</v>
      </c>
      <c r="BO114" s="89">
        <v>0</v>
      </c>
      <c r="BP114" s="89">
        <v>0</v>
      </c>
      <c r="BQ114" s="89">
        <v>0</v>
      </c>
      <c r="BR114" s="89">
        <v>0</v>
      </c>
      <c r="BS114" s="89">
        <v>0</v>
      </c>
      <c r="BT114" s="89">
        <v>0</v>
      </c>
      <c r="BU114" s="89">
        <v>0</v>
      </c>
      <c r="BV114" s="89">
        <v>0</v>
      </c>
    </row>
    <row r="115" spans="2:74" ht="15" customHeight="1">
      <c r="B115" s="86" t="s">
        <v>220</v>
      </c>
      <c r="C115" s="68"/>
      <c r="D115" s="87">
        <f>SUM(Resource_Rates_Table56[[#This Row],[Year 1 Hours]],Resource_Rates_Table56[[#This Row],[Year 2 Hours]],Resource_Rates_Table56[[#This Row],[Year 3 Hours]],Resource_Rates_Table56[[#This Row],[Year 4 Hours]],Resource_Rates_Table56[[#This Row],[Year 5 Hours]])</f>
        <v>0</v>
      </c>
      <c r="E115" s="88">
        <f>SUM(O115:Z115)</f>
        <v>0</v>
      </c>
      <c r="F11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5" s="88">
        <f>SUM(AA115:AL115)</f>
        <v>0</v>
      </c>
      <c r="H115" s="88" t="str">
        <f>IFERROR(Resource_Rates_Table56[[#This Row],[Year 2 Hours]]/((IF(AND($D$4&gt;12,$D$4&lt;25),$D$4-12,IF($D$4&gt;24,12,"N/A")))*IF(VLOOKUP(Resource_Rates_Table56[[#This Row],[Resource Title]],'Resource Descriptions'!$D$6:$J$112,7,FALSE)="Onshore",$F$4,$F$5)),"N/A")</f>
        <v>N/A</v>
      </c>
      <c r="I115" s="88">
        <f>SUM(AM115:AX115)</f>
        <v>0</v>
      </c>
      <c r="J115" s="88" t="str">
        <f>IFERROR(Resource_Rates_Table56[[#This Row],[Year 3 Hours]]/((IF(AND($D$4&gt;24,$D$4&lt;37),$D$4-24,IF($D$4&gt;36,12,"N/A")))*IF(VLOOKUP(Resource_Rates_Table56[[#This Row],[Resource Title]],'Resource Descriptions'!$D$6:$J$112,7,FALSE)="Onshore",$F$4,$F$5)),"N/A")</f>
        <v>N/A</v>
      </c>
      <c r="K115" s="88">
        <f>SUM(AY115:BJ115)</f>
        <v>0</v>
      </c>
      <c r="L115" s="88" t="str">
        <f>IFERROR(Resource_Rates_Table56[[#This Row],[Year 4 Hours]]/((IF(AND($D$4&gt;36,$D$4&lt;49),$D$4-36,IF($D$4&gt;48,12,"N/A")))*IF(VLOOKUP(Resource_Rates_Table56[[#This Row],[Resource Title]],'Resource Descriptions'!$D$6:$J$112,7,FALSE)="Onshore",$F$4,$F$5)),"N/A")</f>
        <v>N/A</v>
      </c>
      <c r="M115" s="88">
        <f>SUM(BK115:BV115)</f>
        <v>0</v>
      </c>
      <c r="N115" s="88" t="str">
        <f>IFERROR(Resource_Rates_Table56[[#This Row],[Year 5 Hours]]/((IF(AND($D$4&gt;48,$D$4&lt;61),$D$4-48,IF($D$4&gt;60,12,"N/A")))*IF(VLOOKUP(Resource_Rates_Table56[[#This Row],[Resource Title]],'Resource Descriptions'!$D$6:$J$112,7,FALSE)="Onshore",$F$4,$F$5)),"N/A")</f>
        <v>N/A</v>
      </c>
      <c r="O115" s="89">
        <v>0</v>
      </c>
      <c r="P115" s="89">
        <v>0</v>
      </c>
      <c r="Q115" s="89">
        <v>0</v>
      </c>
      <c r="R115" s="89">
        <v>0</v>
      </c>
      <c r="S115" s="89">
        <v>0</v>
      </c>
      <c r="T115" s="89">
        <v>0</v>
      </c>
      <c r="U115" s="89">
        <v>0</v>
      </c>
      <c r="V115" s="89">
        <v>0</v>
      </c>
      <c r="W115" s="89">
        <v>0</v>
      </c>
      <c r="X115" s="89">
        <v>0</v>
      </c>
      <c r="Y115" s="89">
        <v>0</v>
      </c>
      <c r="Z115" s="89">
        <v>0</v>
      </c>
      <c r="AA115" s="89">
        <v>0</v>
      </c>
      <c r="AB115" s="89">
        <v>0</v>
      </c>
      <c r="AC115" s="89">
        <v>0</v>
      </c>
      <c r="AD115" s="89">
        <v>0</v>
      </c>
      <c r="AE115" s="89">
        <v>0</v>
      </c>
      <c r="AF115" s="89">
        <v>0</v>
      </c>
      <c r="AG115" s="89">
        <v>0</v>
      </c>
      <c r="AH115" s="89">
        <v>0</v>
      </c>
      <c r="AI115" s="89">
        <v>0</v>
      </c>
      <c r="AJ115" s="89">
        <v>0</v>
      </c>
      <c r="AK115" s="89">
        <v>0</v>
      </c>
      <c r="AL115" s="89">
        <v>0</v>
      </c>
      <c r="AM115" s="89">
        <v>0</v>
      </c>
      <c r="AN115" s="89">
        <v>0</v>
      </c>
      <c r="AO115" s="89">
        <v>0</v>
      </c>
      <c r="AP115" s="89">
        <v>0</v>
      </c>
      <c r="AQ115" s="89">
        <v>0</v>
      </c>
      <c r="AR115" s="89">
        <v>0</v>
      </c>
      <c r="AS115" s="89">
        <v>0</v>
      </c>
      <c r="AT115" s="89">
        <v>0</v>
      </c>
      <c r="AU115" s="89">
        <v>0</v>
      </c>
      <c r="AV115" s="89">
        <v>0</v>
      </c>
      <c r="AW115" s="89">
        <v>0</v>
      </c>
      <c r="AX115" s="89">
        <v>0</v>
      </c>
      <c r="AY115" s="89">
        <v>0</v>
      </c>
      <c r="AZ115" s="89">
        <v>0</v>
      </c>
      <c r="BA115" s="89">
        <v>0</v>
      </c>
      <c r="BB115" s="89">
        <v>0</v>
      </c>
      <c r="BC115" s="89">
        <v>0</v>
      </c>
      <c r="BD115" s="89">
        <v>0</v>
      </c>
      <c r="BE115" s="89">
        <v>0</v>
      </c>
      <c r="BF115" s="89">
        <v>0</v>
      </c>
      <c r="BG115" s="89">
        <v>0</v>
      </c>
      <c r="BH115" s="89">
        <v>0</v>
      </c>
      <c r="BI115" s="89">
        <v>0</v>
      </c>
      <c r="BJ115" s="89">
        <v>0</v>
      </c>
      <c r="BK115" s="89">
        <v>0</v>
      </c>
      <c r="BL115" s="89">
        <v>0</v>
      </c>
      <c r="BM115" s="89">
        <v>0</v>
      </c>
      <c r="BN115" s="89">
        <v>0</v>
      </c>
      <c r="BO115" s="89">
        <v>0</v>
      </c>
      <c r="BP115" s="89">
        <v>0</v>
      </c>
      <c r="BQ115" s="89">
        <v>0</v>
      </c>
      <c r="BR115" s="89">
        <v>0</v>
      </c>
      <c r="BS115" s="89">
        <v>0</v>
      </c>
      <c r="BT115" s="89">
        <v>0</v>
      </c>
      <c r="BU115" s="89">
        <v>0</v>
      </c>
      <c r="BV115" s="89">
        <v>0</v>
      </c>
    </row>
    <row r="116" spans="2:74" ht="15" customHeight="1">
      <c r="B116" s="86" t="s">
        <v>220</v>
      </c>
      <c r="C116" s="68"/>
      <c r="D116" s="87">
        <f>SUM(Resource_Rates_Table56[[#This Row],[Year 1 Hours]],Resource_Rates_Table56[[#This Row],[Year 2 Hours]],Resource_Rates_Table56[[#This Row],[Year 3 Hours]],Resource_Rates_Table56[[#This Row],[Year 4 Hours]],Resource_Rates_Table56[[#This Row],[Year 5 Hours]])</f>
        <v>0</v>
      </c>
      <c r="E116" s="88">
        <f>SUM(O116:Z116)</f>
        <v>0</v>
      </c>
      <c r="F11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6" s="88">
        <f>SUM(AA116:AL116)</f>
        <v>0</v>
      </c>
      <c r="H116" s="88" t="str">
        <f>IFERROR(Resource_Rates_Table56[[#This Row],[Year 2 Hours]]/((IF(AND($D$4&gt;12,$D$4&lt;25),$D$4-12,IF($D$4&gt;24,12,"N/A")))*IF(VLOOKUP(Resource_Rates_Table56[[#This Row],[Resource Title]],'Resource Descriptions'!$D$6:$J$112,7,FALSE)="Onshore",$F$4,$F$5)),"N/A")</f>
        <v>N/A</v>
      </c>
      <c r="I116" s="88">
        <f>SUM(AM116:AX116)</f>
        <v>0</v>
      </c>
      <c r="J116" s="88" t="str">
        <f>IFERROR(Resource_Rates_Table56[[#This Row],[Year 3 Hours]]/((IF(AND($D$4&gt;24,$D$4&lt;37),$D$4-24,IF($D$4&gt;36,12,"N/A")))*IF(VLOOKUP(Resource_Rates_Table56[[#This Row],[Resource Title]],'Resource Descriptions'!$D$6:$J$112,7,FALSE)="Onshore",$F$4,$F$5)),"N/A")</f>
        <v>N/A</v>
      </c>
      <c r="K116" s="88">
        <f>SUM(AY116:BJ116)</f>
        <v>0</v>
      </c>
      <c r="L116" s="88" t="str">
        <f>IFERROR(Resource_Rates_Table56[[#This Row],[Year 4 Hours]]/((IF(AND($D$4&gt;36,$D$4&lt;49),$D$4-36,IF($D$4&gt;48,12,"N/A")))*IF(VLOOKUP(Resource_Rates_Table56[[#This Row],[Resource Title]],'Resource Descriptions'!$D$6:$J$112,7,FALSE)="Onshore",$F$4,$F$5)),"N/A")</f>
        <v>N/A</v>
      </c>
      <c r="M116" s="88">
        <f>SUM(BK116:BV116)</f>
        <v>0</v>
      </c>
      <c r="N116" s="88" t="str">
        <f>IFERROR(Resource_Rates_Table56[[#This Row],[Year 5 Hours]]/((IF(AND($D$4&gt;48,$D$4&lt;61),$D$4-48,IF($D$4&gt;60,12,"N/A")))*IF(VLOOKUP(Resource_Rates_Table56[[#This Row],[Resource Title]],'Resource Descriptions'!$D$6:$J$112,7,FALSE)="Onshore",$F$4,$F$5)),"N/A")</f>
        <v>N/A</v>
      </c>
      <c r="O116" s="89">
        <v>0</v>
      </c>
      <c r="P116" s="89">
        <v>0</v>
      </c>
      <c r="Q116" s="89">
        <v>0</v>
      </c>
      <c r="R116" s="89">
        <v>0</v>
      </c>
      <c r="S116" s="89">
        <v>0</v>
      </c>
      <c r="T116" s="89">
        <v>0</v>
      </c>
      <c r="U116" s="89">
        <v>0</v>
      </c>
      <c r="V116" s="89">
        <v>0</v>
      </c>
      <c r="W116" s="89">
        <v>0</v>
      </c>
      <c r="X116" s="89">
        <v>0</v>
      </c>
      <c r="Y116" s="89">
        <v>0</v>
      </c>
      <c r="Z116" s="89">
        <v>0</v>
      </c>
      <c r="AA116" s="89">
        <v>0</v>
      </c>
      <c r="AB116" s="89">
        <v>0</v>
      </c>
      <c r="AC116" s="89">
        <v>0</v>
      </c>
      <c r="AD116" s="89">
        <v>0</v>
      </c>
      <c r="AE116" s="89">
        <v>0</v>
      </c>
      <c r="AF116" s="89">
        <v>0</v>
      </c>
      <c r="AG116" s="89">
        <v>0</v>
      </c>
      <c r="AH116" s="89">
        <v>0</v>
      </c>
      <c r="AI116" s="89">
        <v>0</v>
      </c>
      <c r="AJ116" s="89">
        <v>0</v>
      </c>
      <c r="AK116" s="89">
        <v>0</v>
      </c>
      <c r="AL116" s="89">
        <v>0</v>
      </c>
      <c r="AM116" s="89">
        <v>0</v>
      </c>
      <c r="AN116" s="89">
        <v>0</v>
      </c>
      <c r="AO116" s="89">
        <v>0</v>
      </c>
      <c r="AP116" s="89">
        <v>0</v>
      </c>
      <c r="AQ116" s="89">
        <v>0</v>
      </c>
      <c r="AR116" s="89">
        <v>0</v>
      </c>
      <c r="AS116" s="89">
        <v>0</v>
      </c>
      <c r="AT116" s="89">
        <v>0</v>
      </c>
      <c r="AU116" s="89">
        <v>0</v>
      </c>
      <c r="AV116" s="89">
        <v>0</v>
      </c>
      <c r="AW116" s="89">
        <v>0</v>
      </c>
      <c r="AX116" s="89">
        <v>0</v>
      </c>
      <c r="AY116" s="89">
        <v>0</v>
      </c>
      <c r="AZ116" s="89">
        <v>0</v>
      </c>
      <c r="BA116" s="89">
        <v>0</v>
      </c>
      <c r="BB116" s="89">
        <v>0</v>
      </c>
      <c r="BC116" s="89">
        <v>0</v>
      </c>
      <c r="BD116" s="89">
        <v>0</v>
      </c>
      <c r="BE116" s="89">
        <v>0</v>
      </c>
      <c r="BF116" s="89">
        <v>0</v>
      </c>
      <c r="BG116" s="89">
        <v>0</v>
      </c>
      <c r="BH116" s="89">
        <v>0</v>
      </c>
      <c r="BI116" s="89">
        <v>0</v>
      </c>
      <c r="BJ116" s="89">
        <v>0</v>
      </c>
      <c r="BK116" s="89">
        <v>0</v>
      </c>
      <c r="BL116" s="89">
        <v>0</v>
      </c>
      <c r="BM116" s="89">
        <v>0</v>
      </c>
      <c r="BN116" s="89">
        <v>0</v>
      </c>
      <c r="BO116" s="89">
        <v>0</v>
      </c>
      <c r="BP116" s="89">
        <v>0</v>
      </c>
      <c r="BQ116" s="89">
        <v>0</v>
      </c>
      <c r="BR116" s="89">
        <v>0</v>
      </c>
      <c r="BS116" s="89">
        <v>0</v>
      </c>
      <c r="BT116" s="89">
        <v>0</v>
      </c>
      <c r="BU116" s="89">
        <v>0</v>
      </c>
      <c r="BV116" s="89">
        <v>0</v>
      </c>
    </row>
    <row r="117" spans="2:74" ht="15" customHeight="1">
      <c r="B117" s="86" t="s">
        <v>220</v>
      </c>
      <c r="C117" s="68"/>
      <c r="D117" s="87">
        <f>SUM(Resource_Rates_Table56[[#This Row],[Year 1 Hours]],Resource_Rates_Table56[[#This Row],[Year 2 Hours]],Resource_Rates_Table56[[#This Row],[Year 3 Hours]],Resource_Rates_Table56[[#This Row],[Year 4 Hours]],Resource_Rates_Table56[[#This Row],[Year 5 Hours]])</f>
        <v>0</v>
      </c>
      <c r="E117" s="88">
        <f>SUM(O117:Z117)</f>
        <v>0</v>
      </c>
      <c r="F11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7" s="88">
        <f>SUM(AA117:AL117)</f>
        <v>0</v>
      </c>
      <c r="H117" s="88" t="str">
        <f>IFERROR(Resource_Rates_Table56[[#This Row],[Year 2 Hours]]/((IF(AND($D$4&gt;12,$D$4&lt;25),$D$4-12,IF($D$4&gt;24,12,"N/A")))*IF(VLOOKUP(Resource_Rates_Table56[[#This Row],[Resource Title]],'Resource Descriptions'!$D$6:$J$112,7,FALSE)="Onshore",$F$4,$F$5)),"N/A")</f>
        <v>N/A</v>
      </c>
      <c r="I117" s="88">
        <f>SUM(AM117:AX117)</f>
        <v>0</v>
      </c>
      <c r="J117" s="88" t="str">
        <f>IFERROR(Resource_Rates_Table56[[#This Row],[Year 3 Hours]]/((IF(AND($D$4&gt;24,$D$4&lt;37),$D$4-24,IF($D$4&gt;36,12,"N/A")))*IF(VLOOKUP(Resource_Rates_Table56[[#This Row],[Resource Title]],'Resource Descriptions'!$D$6:$J$112,7,FALSE)="Onshore",$F$4,$F$5)),"N/A")</f>
        <v>N/A</v>
      </c>
      <c r="K117" s="88">
        <f>SUM(AY117:BJ117)</f>
        <v>0</v>
      </c>
      <c r="L117" s="88" t="str">
        <f>IFERROR(Resource_Rates_Table56[[#This Row],[Year 4 Hours]]/((IF(AND($D$4&gt;36,$D$4&lt;49),$D$4-36,IF($D$4&gt;48,12,"N/A")))*IF(VLOOKUP(Resource_Rates_Table56[[#This Row],[Resource Title]],'Resource Descriptions'!$D$6:$J$112,7,FALSE)="Onshore",$F$4,$F$5)),"N/A")</f>
        <v>N/A</v>
      </c>
      <c r="M117" s="88">
        <f>SUM(BK117:BV117)</f>
        <v>0</v>
      </c>
      <c r="N117" s="88" t="str">
        <f>IFERROR(Resource_Rates_Table56[[#This Row],[Year 5 Hours]]/((IF(AND($D$4&gt;48,$D$4&lt;61),$D$4-48,IF($D$4&gt;60,12,"N/A")))*IF(VLOOKUP(Resource_Rates_Table56[[#This Row],[Resource Title]],'Resource Descriptions'!$D$6:$J$112,7,FALSE)="Onshore",$F$4,$F$5)),"N/A")</f>
        <v>N/A</v>
      </c>
      <c r="O117" s="89">
        <v>0</v>
      </c>
      <c r="P117" s="89">
        <v>0</v>
      </c>
      <c r="Q117" s="89">
        <v>0</v>
      </c>
      <c r="R117" s="89">
        <v>0</v>
      </c>
      <c r="S117" s="89">
        <v>0</v>
      </c>
      <c r="T117" s="89">
        <v>0</v>
      </c>
      <c r="U117" s="89">
        <v>0</v>
      </c>
      <c r="V117" s="89">
        <v>0</v>
      </c>
      <c r="W117" s="89">
        <v>0</v>
      </c>
      <c r="X117" s="89">
        <v>0</v>
      </c>
      <c r="Y117" s="89">
        <v>0</v>
      </c>
      <c r="Z117" s="89">
        <v>0</v>
      </c>
      <c r="AA117" s="89">
        <v>0</v>
      </c>
      <c r="AB117" s="89">
        <v>0</v>
      </c>
      <c r="AC117" s="89">
        <v>0</v>
      </c>
      <c r="AD117" s="89">
        <v>0</v>
      </c>
      <c r="AE117" s="89">
        <v>0</v>
      </c>
      <c r="AF117" s="89">
        <v>0</v>
      </c>
      <c r="AG117" s="89">
        <v>0</v>
      </c>
      <c r="AH117" s="89">
        <v>0</v>
      </c>
      <c r="AI117" s="89">
        <v>0</v>
      </c>
      <c r="AJ117" s="89">
        <v>0</v>
      </c>
      <c r="AK117" s="89">
        <v>0</v>
      </c>
      <c r="AL117" s="89">
        <v>0</v>
      </c>
      <c r="AM117" s="89">
        <v>0</v>
      </c>
      <c r="AN117" s="89">
        <v>0</v>
      </c>
      <c r="AO117" s="89">
        <v>0</v>
      </c>
      <c r="AP117" s="89">
        <v>0</v>
      </c>
      <c r="AQ117" s="89">
        <v>0</v>
      </c>
      <c r="AR117" s="89">
        <v>0</v>
      </c>
      <c r="AS117" s="89">
        <v>0</v>
      </c>
      <c r="AT117" s="89">
        <v>0</v>
      </c>
      <c r="AU117" s="89">
        <v>0</v>
      </c>
      <c r="AV117" s="89">
        <v>0</v>
      </c>
      <c r="AW117" s="89">
        <v>0</v>
      </c>
      <c r="AX117" s="89">
        <v>0</v>
      </c>
      <c r="AY117" s="89">
        <v>0</v>
      </c>
      <c r="AZ117" s="89">
        <v>0</v>
      </c>
      <c r="BA117" s="89">
        <v>0</v>
      </c>
      <c r="BB117" s="89">
        <v>0</v>
      </c>
      <c r="BC117" s="89">
        <v>0</v>
      </c>
      <c r="BD117" s="89">
        <v>0</v>
      </c>
      <c r="BE117" s="89">
        <v>0</v>
      </c>
      <c r="BF117" s="89">
        <v>0</v>
      </c>
      <c r="BG117" s="89">
        <v>0</v>
      </c>
      <c r="BH117" s="89">
        <v>0</v>
      </c>
      <c r="BI117" s="89">
        <v>0</v>
      </c>
      <c r="BJ117" s="89">
        <v>0</v>
      </c>
      <c r="BK117" s="89">
        <v>0</v>
      </c>
      <c r="BL117" s="89">
        <v>0</v>
      </c>
      <c r="BM117" s="89">
        <v>0</v>
      </c>
      <c r="BN117" s="89">
        <v>0</v>
      </c>
      <c r="BO117" s="89">
        <v>0</v>
      </c>
      <c r="BP117" s="89">
        <v>0</v>
      </c>
      <c r="BQ117" s="89">
        <v>0</v>
      </c>
      <c r="BR117" s="89">
        <v>0</v>
      </c>
      <c r="BS117" s="89">
        <v>0</v>
      </c>
      <c r="BT117" s="89">
        <v>0</v>
      </c>
      <c r="BU117" s="89">
        <v>0</v>
      </c>
      <c r="BV117" s="89">
        <v>0</v>
      </c>
    </row>
    <row r="118" spans="2:74" ht="15" customHeight="1">
      <c r="B118" s="86" t="s">
        <v>220</v>
      </c>
      <c r="C118" s="68"/>
      <c r="D118" s="87">
        <f>SUM(Resource_Rates_Table56[[#This Row],[Year 1 Hours]],Resource_Rates_Table56[[#This Row],[Year 2 Hours]],Resource_Rates_Table56[[#This Row],[Year 3 Hours]],Resource_Rates_Table56[[#This Row],[Year 4 Hours]],Resource_Rates_Table56[[#This Row],[Year 5 Hours]])</f>
        <v>0</v>
      </c>
      <c r="E118" s="88">
        <f>SUM(O118:Z118)</f>
        <v>0</v>
      </c>
      <c r="F11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8" s="88">
        <f>SUM(AA118:AL118)</f>
        <v>0</v>
      </c>
      <c r="H118" s="88" t="str">
        <f>IFERROR(Resource_Rates_Table56[[#This Row],[Year 2 Hours]]/((IF(AND($D$4&gt;12,$D$4&lt;25),$D$4-12,IF($D$4&gt;24,12,"N/A")))*IF(VLOOKUP(Resource_Rates_Table56[[#This Row],[Resource Title]],'Resource Descriptions'!$D$6:$J$112,7,FALSE)="Onshore",$F$4,$F$5)),"N/A")</f>
        <v>N/A</v>
      </c>
      <c r="I118" s="88">
        <f>SUM(AM118:AX118)</f>
        <v>0</v>
      </c>
      <c r="J118" s="88" t="str">
        <f>IFERROR(Resource_Rates_Table56[[#This Row],[Year 3 Hours]]/((IF(AND($D$4&gt;24,$D$4&lt;37),$D$4-24,IF($D$4&gt;36,12,"N/A")))*IF(VLOOKUP(Resource_Rates_Table56[[#This Row],[Resource Title]],'Resource Descriptions'!$D$6:$J$112,7,FALSE)="Onshore",$F$4,$F$5)),"N/A")</f>
        <v>N/A</v>
      </c>
      <c r="K118" s="88">
        <f>SUM(AY118:BJ118)</f>
        <v>0</v>
      </c>
      <c r="L118" s="88" t="str">
        <f>IFERROR(Resource_Rates_Table56[[#This Row],[Year 4 Hours]]/((IF(AND($D$4&gt;36,$D$4&lt;49),$D$4-36,IF($D$4&gt;48,12,"N/A")))*IF(VLOOKUP(Resource_Rates_Table56[[#This Row],[Resource Title]],'Resource Descriptions'!$D$6:$J$112,7,FALSE)="Onshore",$F$4,$F$5)),"N/A")</f>
        <v>N/A</v>
      </c>
      <c r="M118" s="88">
        <f>SUM(BK118:BV118)</f>
        <v>0</v>
      </c>
      <c r="N118" s="88" t="str">
        <f>IFERROR(Resource_Rates_Table56[[#This Row],[Year 5 Hours]]/((IF(AND($D$4&gt;48,$D$4&lt;61),$D$4-48,IF($D$4&gt;60,12,"N/A")))*IF(VLOOKUP(Resource_Rates_Table56[[#This Row],[Resource Title]],'Resource Descriptions'!$D$6:$J$112,7,FALSE)="Onshore",$F$4,$F$5)),"N/A")</f>
        <v>N/A</v>
      </c>
      <c r="O118" s="89">
        <v>0</v>
      </c>
      <c r="P118" s="89">
        <v>0</v>
      </c>
      <c r="Q118" s="89">
        <v>0</v>
      </c>
      <c r="R118" s="89">
        <v>0</v>
      </c>
      <c r="S118" s="89">
        <v>0</v>
      </c>
      <c r="T118" s="89">
        <v>0</v>
      </c>
      <c r="U118" s="89">
        <v>0</v>
      </c>
      <c r="V118" s="89">
        <v>0</v>
      </c>
      <c r="W118" s="89">
        <v>0</v>
      </c>
      <c r="X118" s="89">
        <v>0</v>
      </c>
      <c r="Y118" s="89">
        <v>0</v>
      </c>
      <c r="Z118" s="89">
        <v>0</v>
      </c>
      <c r="AA118" s="89">
        <v>0</v>
      </c>
      <c r="AB118" s="89">
        <v>0</v>
      </c>
      <c r="AC118" s="89">
        <v>0</v>
      </c>
      <c r="AD118" s="89">
        <v>0</v>
      </c>
      <c r="AE118" s="89">
        <v>0</v>
      </c>
      <c r="AF118" s="89">
        <v>0</v>
      </c>
      <c r="AG118" s="89">
        <v>0</v>
      </c>
      <c r="AH118" s="89">
        <v>0</v>
      </c>
      <c r="AI118" s="89">
        <v>0</v>
      </c>
      <c r="AJ118" s="89">
        <v>0</v>
      </c>
      <c r="AK118" s="89">
        <v>0</v>
      </c>
      <c r="AL118" s="89">
        <v>0</v>
      </c>
      <c r="AM118" s="89">
        <v>0</v>
      </c>
      <c r="AN118" s="89">
        <v>0</v>
      </c>
      <c r="AO118" s="89">
        <v>0</v>
      </c>
      <c r="AP118" s="89">
        <v>0</v>
      </c>
      <c r="AQ118" s="89">
        <v>0</v>
      </c>
      <c r="AR118" s="89">
        <v>0</v>
      </c>
      <c r="AS118" s="89">
        <v>0</v>
      </c>
      <c r="AT118" s="89">
        <v>0</v>
      </c>
      <c r="AU118" s="89">
        <v>0</v>
      </c>
      <c r="AV118" s="89">
        <v>0</v>
      </c>
      <c r="AW118" s="89">
        <v>0</v>
      </c>
      <c r="AX118" s="89">
        <v>0</v>
      </c>
      <c r="AY118" s="89">
        <v>0</v>
      </c>
      <c r="AZ118" s="89">
        <v>0</v>
      </c>
      <c r="BA118" s="89">
        <v>0</v>
      </c>
      <c r="BB118" s="89">
        <v>0</v>
      </c>
      <c r="BC118" s="89">
        <v>0</v>
      </c>
      <c r="BD118" s="89">
        <v>0</v>
      </c>
      <c r="BE118" s="89">
        <v>0</v>
      </c>
      <c r="BF118" s="89">
        <v>0</v>
      </c>
      <c r="BG118" s="89">
        <v>0</v>
      </c>
      <c r="BH118" s="89">
        <v>0</v>
      </c>
      <c r="BI118" s="89">
        <v>0</v>
      </c>
      <c r="BJ118" s="89">
        <v>0</v>
      </c>
      <c r="BK118" s="89">
        <v>0</v>
      </c>
      <c r="BL118" s="89">
        <v>0</v>
      </c>
      <c r="BM118" s="89">
        <v>0</v>
      </c>
      <c r="BN118" s="89">
        <v>0</v>
      </c>
      <c r="BO118" s="89">
        <v>0</v>
      </c>
      <c r="BP118" s="89">
        <v>0</v>
      </c>
      <c r="BQ118" s="89">
        <v>0</v>
      </c>
      <c r="BR118" s="89">
        <v>0</v>
      </c>
      <c r="BS118" s="89">
        <v>0</v>
      </c>
      <c r="BT118" s="89">
        <v>0</v>
      </c>
      <c r="BU118" s="89">
        <v>0</v>
      </c>
      <c r="BV118" s="89">
        <v>0</v>
      </c>
    </row>
    <row r="119" spans="2:74" ht="15" customHeight="1">
      <c r="B119" s="86" t="s">
        <v>220</v>
      </c>
      <c r="C119" s="68"/>
      <c r="D119" s="87">
        <f>SUM(Resource_Rates_Table56[[#This Row],[Year 1 Hours]],Resource_Rates_Table56[[#This Row],[Year 2 Hours]],Resource_Rates_Table56[[#This Row],[Year 3 Hours]],Resource_Rates_Table56[[#This Row],[Year 4 Hours]],Resource_Rates_Table56[[#This Row],[Year 5 Hours]])</f>
        <v>0</v>
      </c>
      <c r="E119" s="88">
        <f>SUM(O119:Z119)</f>
        <v>0</v>
      </c>
      <c r="F11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9" s="88">
        <f>SUM(AA119:AL119)</f>
        <v>0</v>
      </c>
      <c r="H119" s="88" t="str">
        <f>IFERROR(Resource_Rates_Table56[[#This Row],[Year 2 Hours]]/((IF(AND($D$4&gt;12,$D$4&lt;25),$D$4-12,IF($D$4&gt;24,12,"N/A")))*IF(VLOOKUP(Resource_Rates_Table56[[#This Row],[Resource Title]],'Resource Descriptions'!$D$6:$J$112,7,FALSE)="Onshore",$F$4,$F$5)),"N/A")</f>
        <v>N/A</v>
      </c>
      <c r="I119" s="88">
        <f>SUM(AM119:AX119)</f>
        <v>0</v>
      </c>
      <c r="J119" s="88" t="str">
        <f>IFERROR(Resource_Rates_Table56[[#This Row],[Year 3 Hours]]/((IF(AND($D$4&gt;24,$D$4&lt;37),$D$4-24,IF($D$4&gt;36,12,"N/A")))*IF(VLOOKUP(Resource_Rates_Table56[[#This Row],[Resource Title]],'Resource Descriptions'!$D$6:$J$112,7,FALSE)="Onshore",$F$4,$F$5)),"N/A")</f>
        <v>N/A</v>
      </c>
      <c r="K119" s="88">
        <f>SUM(AY119:BJ119)</f>
        <v>0</v>
      </c>
      <c r="L119" s="88" t="str">
        <f>IFERROR(Resource_Rates_Table56[[#This Row],[Year 4 Hours]]/((IF(AND($D$4&gt;36,$D$4&lt;49),$D$4-36,IF($D$4&gt;48,12,"N/A")))*IF(VLOOKUP(Resource_Rates_Table56[[#This Row],[Resource Title]],'Resource Descriptions'!$D$6:$J$112,7,FALSE)="Onshore",$F$4,$F$5)),"N/A")</f>
        <v>N/A</v>
      </c>
      <c r="M119" s="88">
        <f>SUM(BK119:BV119)</f>
        <v>0</v>
      </c>
      <c r="N119" s="88" t="str">
        <f>IFERROR(Resource_Rates_Table56[[#This Row],[Year 5 Hours]]/((IF(AND($D$4&gt;48,$D$4&lt;61),$D$4-48,IF($D$4&gt;60,12,"N/A")))*IF(VLOOKUP(Resource_Rates_Table56[[#This Row],[Resource Title]],'Resource Descriptions'!$D$6:$J$112,7,FALSE)="Onshore",$F$4,$F$5)),"N/A")</f>
        <v>N/A</v>
      </c>
      <c r="O119" s="89">
        <v>0</v>
      </c>
      <c r="P119" s="89">
        <v>0</v>
      </c>
      <c r="Q119" s="89">
        <v>0</v>
      </c>
      <c r="R119" s="89">
        <v>0</v>
      </c>
      <c r="S119" s="89">
        <v>0</v>
      </c>
      <c r="T119" s="89">
        <v>0</v>
      </c>
      <c r="U119" s="89">
        <v>0</v>
      </c>
      <c r="V119" s="89">
        <v>0</v>
      </c>
      <c r="W119" s="89">
        <v>0</v>
      </c>
      <c r="X119" s="89">
        <v>0</v>
      </c>
      <c r="Y119" s="89">
        <v>0</v>
      </c>
      <c r="Z119" s="89">
        <v>0</v>
      </c>
      <c r="AA119" s="89">
        <v>0</v>
      </c>
      <c r="AB119" s="89">
        <v>0</v>
      </c>
      <c r="AC119" s="89">
        <v>0</v>
      </c>
      <c r="AD119" s="89">
        <v>0</v>
      </c>
      <c r="AE119" s="89">
        <v>0</v>
      </c>
      <c r="AF119" s="89">
        <v>0</v>
      </c>
      <c r="AG119" s="89">
        <v>0</v>
      </c>
      <c r="AH119" s="89">
        <v>0</v>
      </c>
      <c r="AI119" s="89">
        <v>0</v>
      </c>
      <c r="AJ119" s="89">
        <v>0</v>
      </c>
      <c r="AK119" s="89">
        <v>0</v>
      </c>
      <c r="AL119" s="89">
        <v>0</v>
      </c>
      <c r="AM119" s="89">
        <v>0</v>
      </c>
      <c r="AN119" s="89">
        <v>0</v>
      </c>
      <c r="AO119" s="89">
        <v>0</v>
      </c>
      <c r="AP119" s="89">
        <v>0</v>
      </c>
      <c r="AQ119" s="89">
        <v>0</v>
      </c>
      <c r="AR119" s="89">
        <v>0</v>
      </c>
      <c r="AS119" s="89">
        <v>0</v>
      </c>
      <c r="AT119" s="89">
        <v>0</v>
      </c>
      <c r="AU119" s="89">
        <v>0</v>
      </c>
      <c r="AV119" s="89">
        <v>0</v>
      </c>
      <c r="AW119" s="89">
        <v>0</v>
      </c>
      <c r="AX119" s="89">
        <v>0</v>
      </c>
      <c r="AY119" s="89">
        <v>0</v>
      </c>
      <c r="AZ119" s="89">
        <v>0</v>
      </c>
      <c r="BA119" s="89">
        <v>0</v>
      </c>
      <c r="BB119" s="89">
        <v>0</v>
      </c>
      <c r="BC119" s="89">
        <v>0</v>
      </c>
      <c r="BD119" s="89">
        <v>0</v>
      </c>
      <c r="BE119" s="89">
        <v>0</v>
      </c>
      <c r="BF119" s="89">
        <v>0</v>
      </c>
      <c r="BG119" s="89">
        <v>0</v>
      </c>
      <c r="BH119" s="89">
        <v>0</v>
      </c>
      <c r="BI119" s="89">
        <v>0</v>
      </c>
      <c r="BJ119" s="89">
        <v>0</v>
      </c>
      <c r="BK119" s="89">
        <v>0</v>
      </c>
      <c r="BL119" s="89">
        <v>0</v>
      </c>
      <c r="BM119" s="89">
        <v>0</v>
      </c>
      <c r="BN119" s="89">
        <v>0</v>
      </c>
      <c r="BO119" s="89">
        <v>0</v>
      </c>
      <c r="BP119" s="89">
        <v>0</v>
      </c>
      <c r="BQ119" s="89">
        <v>0</v>
      </c>
      <c r="BR119" s="89">
        <v>0</v>
      </c>
      <c r="BS119" s="89">
        <v>0</v>
      </c>
      <c r="BT119" s="89">
        <v>0</v>
      </c>
      <c r="BU119" s="89">
        <v>0</v>
      </c>
      <c r="BV119" s="89">
        <v>0</v>
      </c>
    </row>
    <row r="120" spans="2:74" ht="15" customHeight="1">
      <c r="B120" s="90"/>
      <c r="C120" s="91" t="s">
        <v>15</v>
      </c>
      <c r="D120" s="92">
        <f>SUM(Resource_Rates_Table56[Project Total])</f>
        <v>0</v>
      </c>
      <c r="E120" s="92">
        <f>SUM(Resource_Rates_Table56[Year 1 Hours])</f>
        <v>0</v>
      </c>
      <c r="F120" s="92">
        <f>SUBTOTAL(109,Resource_Rates_Table56[Year 1 FTE Count])</f>
        <v>0</v>
      </c>
      <c r="G120" s="92">
        <f>SUM(Resource_Rates_Table56[Year 2 Hours])</f>
        <v>0</v>
      </c>
      <c r="H120" s="92">
        <f>SUBTOTAL(109,Resource_Rates_Table56[Year 2 FTE Count])</f>
        <v>0</v>
      </c>
      <c r="I120" s="92">
        <f>SUM(Resource_Rates_Table56[Year 3 Hours])</f>
        <v>0</v>
      </c>
      <c r="J120" s="92">
        <f>SUBTOTAL(109,Resource_Rates_Table56[Year 3 FTE Count])</f>
        <v>0</v>
      </c>
      <c r="K120" s="92">
        <f>SUM(Resource_Rates_Table56[Year 4 Hours])</f>
        <v>0</v>
      </c>
      <c r="L120" s="92">
        <f>SUBTOTAL(109,Resource_Rates_Table56[Year 4 FTE Count])</f>
        <v>0</v>
      </c>
      <c r="M120" s="92">
        <f>SUM(Resource_Rates_Table56[Year 5 Hours])</f>
        <v>0</v>
      </c>
      <c r="N120" s="93">
        <f>SUBTOTAL(109,Resource_Rates_Table56[Year 5 FTE Count])</f>
        <v>0</v>
      </c>
      <c r="O120" s="92">
        <f>SUBTOTAL(109,Resource_Rates_Table56[M1])</f>
        <v>0</v>
      </c>
      <c r="P120" s="92">
        <f>SUBTOTAL(109,Resource_Rates_Table56[M2])</f>
        <v>0</v>
      </c>
      <c r="Q120" s="92">
        <f>SUBTOTAL(109,Resource_Rates_Table56[M3])</f>
        <v>0</v>
      </c>
      <c r="R120" s="92">
        <f>SUBTOTAL(109,Resource_Rates_Table56[M4])</f>
        <v>0</v>
      </c>
      <c r="S120" s="92">
        <f>SUBTOTAL(109,Resource_Rates_Table56[M5])</f>
        <v>0</v>
      </c>
      <c r="T120" s="92">
        <f>SUBTOTAL(109,Resource_Rates_Table56[M6])</f>
        <v>0</v>
      </c>
      <c r="U120" s="92">
        <f>SUBTOTAL(109,Resource_Rates_Table56[M7])</f>
        <v>0</v>
      </c>
      <c r="V120" s="92">
        <f>SUBTOTAL(109,Resource_Rates_Table56[M8])</f>
        <v>0</v>
      </c>
      <c r="W120" s="92">
        <f>SUBTOTAL(109,Resource_Rates_Table56[M9])</f>
        <v>0</v>
      </c>
      <c r="X120" s="92">
        <f>SUBTOTAL(109,Resource_Rates_Table56[M10])</f>
        <v>0</v>
      </c>
      <c r="Y120" s="92">
        <f>SUBTOTAL(109,Resource_Rates_Table56[M11])</f>
        <v>0</v>
      </c>
      <c r="Z120" s="92">
        <f>SUBTOTAL(109,Resource_Rates_Table56[M12])</f>
        <v>0</v>
      </c>
      <c r="AA120" s="92">
        <f>SUBTOTAL(109,Resource_Rates_Table56[M13])</f>
        <v>0</v>
      </c>
      <c r="AB120" s="92">
        <f>SUBTOTAL(109,Resource_Rates_Table56[M14])</f>
        <v>0</v>
      </c>
      <c r="AC120" s="92">
        <f>SUBTOTAL(109,Resource_Rates_Table56[M15])</f>
        <v>0</v>
      </c>
      <c r="AD120" s="92">
        <f>SUBTOTAL(109,Resource_Rates_Table56[M16])</f>
        <v>0</v>
      </c>
      <c r="AE120" s="92">
        <f>SUBTOTAL(109,Resource_Rates_Table56[M17])</f>
        <v>0</v>
      </c>
      <c r="AF120" s="92">
        <f>SUBTOTAL(109,Resource_Rates_Table56[M18])</f>
        <v>0</v>
      </c>
      <c r="AG120" s="92">
        <f>SUBTOTAL(109,Resource_Rates_Table56[M19])</f>
        <v>0</v>
      </c>
      <c r="AH120" s="92">
        <f>SUBTOTAL(109,Resource_Rates_Table56[M20])</f>
        <v>0</v>
      </c>
      <c r="AI120" s="92">
        <f>SUBTOTAL(109,Resource_Rates_Table56[M21])</f>
        <v>0</v>
      </c>
      <c r="AJ120" s="92">
        <f>SUBTOTAL(109,Resource_Rates_Table56[M22])</f>
        <v>0</v>
      </c>
      <c r="AK120" s="92">
        <f>SUBTOTAL(109,Resource_Rates_Table56[M23])</f>
        <v>0</v>
      </c>
      <c r="AL120" s="92">
        <f>SUBTOTAL(109,Resource_Rates_Table56[M24])</f>
        <v>0</v>
      </c>
      <c r="AM120" s="92">
        <f>SUBTOTAL(109,Resource_Rates_Table56[M25])</f>
        <v>0</v>
      </c>
      <c r="AN120" s="92">
        <f>SUBTOTAL(109,Resource_Rates_Table56[M26])</f>
        <v>0</v>
      </c>
      <c r="AO120" s="92">
        <f>SUBTOTAL(109,Resource_Rates_Table56[M27])</f>
        <v>0</v>
      </c>
      <c r="AP120" s="92">
        <f>SUBTOTAL(109,Resource_Rates_Table56[M28])</f>
        <v>0</v>
      </c>
      <c r="AQ120" s="92">
        <f>SUBTOTAL(109,Resource_Rates_Table56[M29])</f>
        <v>0</v>
      </c>
      <c r="AR120" s="92">
        <f>SUBTOTAL(109,Resource_Rates_Table56[M30])</f>
        <v>0</v>
      </c>
      <c r="AS120" s="92">
        <f>SUBTOTAL(109,Resource_Rates_Table56[M31])</f>
        <v>0</v>
      </c>
      <c r="AT120" s="92">
        <f>SUBTOTAL(109,Resource_Rates_Table56[M32])</f>
        <v>0</v>
      </c>
      <c r="AU120" s="92">
        <f>SUBTOTAL(109,Resource_Rates_Table56[M33])</f>
        <v>0</v>
      </c>
      <c r="AV120" s="92">
        <f>SUBTOTAL(109,Resource_Rates_Table56[M34])</f>
        <v>0</v>
      </c>
      <c r="AW120" s="92">
        <f>SUBTOTAL(109,Resource_Rates_Table56[M35])</f>
        <v>0</v>
      </c>
      <c r="AX120" s="92">
        <f>SUBTOTAL(109,Resource_Rates_Table56[M36])</f>
        <v>0</v>
      </c>
      <c r="AY120" s="92">
        <f>SUBTOTAL(109,Resource_Rates_Table56[M37])</f>
        <v>0</v>
      </c>
      <c r="AZ120" s="92">
        <f>SUBTOTAL(109,Resource_Rates_Table56[M38])</f>
        <v>0</v>
      </c>
      <c r="BA120" s="92">
        <f>SUBTOTAL(109,Resource_Rates_Table56[M39])</f>
        <v>0</v>
      </c>
      <c r="BB120" s="92">
        <f>SUBTOTAL(109,Resource_Rates_Table56[M40])</f>
        <v>0</v>
      </c>
      <c r="BC120" s="92">
        <f>SUBTOTAL(109,Resource_Rates_Table56[M41])</f>
        <v>0</v>
      </c>
      <c r="BD120" s="92">
        <f>SUBTOTAL(109,Resource_Rates_Table56[M42])</f>
        <v>0</v>
      </c>
      <c r="BE120" s="92">
        <f>SUBTOTAL(109,Resource_Rates_Table56[M43])</f>
        <v>0</v>
      </c>
      <c r="BF120" s="92">
        <f>SUBTOTAL(109,Resource_Rates_Table56[M44])</f>
        <v>0</v>
      </c>
      <c r="BG120" s="92">
        <f>SUBTOTAL(109,Resource_Rates_Table56[M45])</f>
        <v>0</v>
      </c>
      <c r="BH120" s="92">
        <f>SUBTOTAL(109,Resource_Rates_Table56[M46])</f>
        <v>0</v>
      </c>
      <c r="BI120" s="92">
        <f>SUBTOTAL(109,Resource_Rates_Table56[M47])</f>
        <v>0</v>
      </c>
      <c r="BJ120" s="92">
        <f>SUBTOTAL(109,Resource_Rates_Table56[M48])</f>
        <v>0</v>
      </c>
      <c r="BK120" s="92">
        <f>SUBTOTAL(109,Resource_Rates_Table56[M49])</f>
        <v>0</v>
      </c>
      <c r="BL120" s="92">
        <f>SUBTOTAL(109,Resource_Rates_Table56[M50])</f>
        <v>0</v>
      </c>
      <c r="BM120" s="92">
        <f>SUBTOTAL(109,Resource_Rates_Table56[M51])</f>
        <v>0</v>
      </c>
      <c r="BN120" s="92">
        <f>SUBTOTAL(109,Resource_Rates_Table56[M52])</f>
        <v>0</v>
      </c>
      <c r="BO120" s="92">
        <f>SUBTOTAL(109,Resource_Rates_Table56[M53])</f>
        <v>0</v>
      </c>
      <c r="BP120" s="92">
        <f>SUBTOTAL(109,Resource_Rates_Table56[M54])</f>
        <v>0</v>
      </c>
      <c r="BQ120" s="92">
        <f>SUBTOTAL(109,Resource_Rates_Table56[M55])</f>
        <v>0</v>
      </c>
      <c r="BR120" s="92">
        <f>SUBTOTAL(109,Resource_Rates_Table56[M56])</f>
        <v>0</v>
      </c>
      <c r="BS120" s="92">
        <f>SUBTOTAL(109,Resource_Rates_Table56[M57])</f>
        <v>0</v>
      </c>
      <c r="BT120" s="92">
        <f>SUBTOTAL(109,Resource_Rates_Table56[M58])</f>
        <v>0</v>
      </c>
      <c r="BU120" s="92">
        <f>SUBTOTAL(109,Resource_Rates_Table56[M59])</f>
        <v>0</v>
      </c>
      <c r="BV120" s="92">
        <f>SUBTOTAL(109,Resource_Rates_Table56[M60])</f>
        <v>0</v>
      </c>
    </row>
  </sheetData>
  <sheetProtection algorithmName="SHA-512" hashValue="0jabDzXxQDV7d89C0AZ70CzrK1Veu1UP6wrB2axYdh6KBKmxAXL35a8cqwNdjnupFmqgSqGMiGLOEYWCjThcLQ==" saltValue="XvE0GCVua3ciTmLnhGoGYA==" spinCount="100000" sheet="1" objects="1" scenarios="1"/>
  <mergeCells count="4">
    <mergeCell ref="B4:C5"/>
    <mergeCell ref="E8:N8"/>
    <mergeCell ref="D4:D5"/>
    <mergeCell ref="B3:C3"/>
  </mergeCells>
  <conditionalFormatting sqref="B10:N10">
    <cfRule type="expression" dxfId="531" priority="64">
      <formula>$D$10&gt;0</formula>
    </cfRule>
  </conditionalFormatting>
  <conditionalFormatting sqref="B11:N11 B35:N74 B108:N114">
    <cfRule type="expression" dxfId="530" priority="63">
      <formula>$D11&gt;0</formula>
    </cfRule>
  </conditionalFormatting>
  <conditionalFormatting sqref="B12:N12">
    <cfRule type="expression" dxfId="529" priority="62">
      <formula>$D12&gt;0</formula>
    </cfRule>
  </conditionalFormatting>
  <conditionalFormatting sqref="B13:N13">
    <cfRule type="expression" dxfId="528" priority="61">
      <formula>$D13&gt;0</formula>
    </cfRule>
  </conditionalFormatting>
  <conditionalFormatting sqref="B14:N14">
    <cfRule type="expression" dxfId="527" priority="60">
      <formula>$D14&gt;0</formula>
    </cfRule>
  </conditionalFormatting>
  <conditionalFormatting sqref="B15:N15">
    <cfRule type="expression" dxfId="526" priority="59">
      <formula>$D15&gt;0</formula>
    </cfRule>
  </conditionalFormatting>
  <conditionalFormatting sqref="B16:N16 B18:N18 B17 D17:N17">
    <cfRule type="expression" dxfId="525" priority="58">
      <formula>$D16&gt;0</formula>
    </cfRule>
  </conditionalFormatting>
  <conditionalFormatting sqref="B19:N19">
    <cfRule type="expression" dxfId="524" priority="57">
      <formula>$D19&gt;0</formula>
    </cfRule>
  </conditionalFormatting>
  <conditionalFormatting sqref="B20:N20">
    <cfRule type="expression" dxfId="523" priority="56">
      <formula>$D20&gt;0</formula>
    </cfRule>
  </conditionalFormatting>
  <conditionalFormatting sqref="B21:N21">
    <cfRule type="expression" dxfId="522" priority="55">
      <formula>$D21&gt;0</formula>
    </cfRule>
  </conditionalFormatting>
  <conditionalFormatting sqref="B22:N22">
    <cfRule type="expression" dxfId="521" priority="54">
      <formula>$D22&gt;0</formula>
    </cfRule>
  </conditionalFormatting>
  <conditionalFormatting sqref="B23:N23">
    <cfRule type="expression" dxfId="520" priority="53">
      <formula>$D23&gt;0</formula>
    </cfRule>
  </conditionalFormatting>
  <conditionalFormatting sqref="B24:N24">
    <cfRule type="expression" dxfId="519" priority="52">
      <formula>$D24&gt;0</formula>
    </cfRule>
  </conditionalFormatting>
  <conditionalFormatting sqref="B25:N25">
    <cfRule type="expression" dxfId="518" priority="51">
      <formula>$D25&gt;0</formula>
    </cfRule>
  </conditionalFormatting>
  <conditionalFormatting sqref="B26:N26">
    <cfRule type="expression" dxfId="517" priority="50">
      <formula>$D26&gt;0</formula>
    </cfRule>
  </conditionalFormatting>
  <conditionalFormatting sqref="B27:N27">
    <cfRule type="expression" dxfId="516" priority="49">
      <formula>$D27&gt;0</formula>
    </cfRule>
  </conditionalFormatting>
  <conditionalFormatting sqref="B28:N28">
    <cfRule type="expression" dxfId="515" priority="48">
      <formula>$D28&gt;0</formula>
    </cfRule>
  </conditionalFormatting>
  <conditionalFormatting sqref="B29:N29">
    <cfRule type="expression" dxfId="514" priority="47">
      <formula>$D29&gt;0</formula>
    </cfRule>
  </conditionalFormatting>
  <conditionalFormatting sqref="B30:N30">
    <cfRule type="expression" dxfId="513" priority="46">
      <formula>$D30&gt;0</formula>
    </cfRule>
  </conditionalFormatting>
  <conditionalFormatting sqref="B31:N31">
    <cfRule type="expression" dxfId="512" priority="45">
      <formula>$D31&gt;0</formula>
    </cfRule>
  </conditionalFormatting>
  <conditionalFormatting sqref="B32:N32">
    <cfRule type="expression" dxfId="511" priority="44">
      <formula>$D32&gt;0</formula>
    </cfRule>
  </conditionalFormatting>
  <conditionalFormatting sqref="B33:N33">
    <cfRule type="expression" dxfId="510" priority="43">
      <formula>$D33&gt;0</formula>
    </cfRule>
  </conditionalFormatting>
  <conditionalFormatting sqref="B34:N34">
    <cfRule type="expression" dxfId="509" priority="42">
      <formula>$D34&gt;0</formula>
    </cfRule>
  </conditionalFormatting>
  <conditionalFormatting sqref="B75:N75">
    <cfRule type="expression" dxfId="508" priority="40">
      <formula>$D75&gt;0</formula>
    </cfRule>
  </conditionalFormatting>
  <conditionalFormatting sqref="B76:N76">
    <cfRule type="expression" dxfId="507" priority="39">
      <formula>$D76&gt;0</formula>
    </cfRule>
  </conditionalFormatting>
  <conditionalFormatting sqref="B77:N77">
    <cfRule type="expression" dxfId="506" priority="38">
      <formula>$D77&gt;0</formula>
    </cfRule>
  </conditionalFormatting>
  <conditionalFormatting sqref="B78:N78">
    <cfRule type="expression" dxfId="505" priority="37">
      <formula>$D78&gt;0</formula>
    </cfRule>
  </conditionalFormatting>
  <conditionalFormatting sqref="B79:N79">
    <cfRule type="expression" dxfId="504" priority="36">
      <formula>$D79&gt;0</formula>
    </cfRule>
  </conditionalFormatting>
  <conditionalFormatting sqref="B80:N80">
    <cfRule type="expression" dxfId="503" priority="35">
      <formula>$D80&gt;0</formula>
    </cfRule>
  </conditionalFormatting>
  <conditionalFormatting sqref="B81:N81">
    <cfRule type="expression" dxfId="502" priority="34">
      <formula>$D81&gt;0</formula>
    </cfRule>
  </conditionalFormatting>
  <conditionalFormatting sqref="B82:N82">
    <cfRule type="expression" dxfId="501" priority="33">
      <formula>$D82&gt;0</formula>
    </cfRule>
  </conditionalFormatting>
  <conditionalFormatting sqref="B83:N83">
    <cfRule type="expression" dxfId="500" priority="32">
      <formula>$D83&gt;0</formula>
    </cfRule>
  </conditionalFormatting>
  <conditionalFormatting sqref="B84:N84">
    <cfRule type="expression" dxfId="499" priority="31">
      <formula>$D84&gt;0</formula>
    </cfRule>
  </conditionalFormatting>
  <conditionalFormatting sqref="B85:N85">
    <cfRule type="expression" dxfId="498" priority="30">
      <formula>$D85&gt;0</formula>
    </cfRule>
  </conditionalFormatting>
  <conditionalFormatting sqref="B86:N86">
    <cfRule type="expression" dxfId="497" priority="29">
      <formula>$D86&gt;0</formula>
    </cfRule>
  </conditionalFormatting>
  <conditionalFormatting sqref="B87:N87">
    <cfRule type="expression" dxfId="496" priority="28">
      <formula>$D87&gt;0</formula>
    </cfRule>
  </conditionalFormatting>
  <conditionalFormatting sqref="B88:N88">
    <cfRule type="expression" dxfId="495" priority="27">
      <formula>$D88&gt;0</formula>
    </cfRule>
  </conditionalFormatting>
  <conditionalFormatting sqref="B89:N89">
    <cfRule type="expression" dxfId="494" priority="26">
      <formula>$D89&gt;0</formula>
    </cfRule>
  </conditionalFormatting>
  <conditionalFormatting sqref="B90:N90">
    <cfRule type="expression" dxfId="493" priority="25">
      <formula>$D90&gt;0</formula>
    </cfRule>
  </conditionalFormatting>
  <conditionalFormatting sqref="B91:N91">
    <cfRule type="expression" dxfId="492" priority="24">
      <formula>$D91&gt;0</formula>
    </cfRule>
  </conditionalFormatting>
  <conditionalFormatting sqref="B92:N92">
    <cfRule type="expression" dxfId="491" priority="23">
      <formula>$D92&gt;0</formula>
    </cfRule>
  </conditionalFormatting>
  <conditionalFormatting sqref="B93:N93">
    <cfRule type="expression" dxfId="490" priority="22">
      <formula>$D93&gt;0</formula>
    </cfRule>
  </conditionalFormatting>
  <conditionalFormatting sqref="B94:N94">
    <cfRule type="expression" dxfId="489" priority="21">
      <formula>$D94&gt;0</formula>
    </cfRule>
  </conditionalFormatting>
  <conditionalFormatting sqref="B95:N95">
    <cfRule type="expression" dxfId="488" priority="20">
      <formula>$D95&gt;0</formula>
    </cfRule>
  </conditionalFormatting>
  <conditionalFormatting sqref="B96:N96">
    <cfRule type="expression" dxfId="487" priority="19">
      <formula>$D96&gt;0</formula>
    </cfRule>
  </conditionalFormatting>
  <conditionalFormatting sqref="B97:N97">
    <cfRule type="expression" dxfId="486" priority="18">
      <formula>$D97&gt;0</formula>
    </cfRule>
  </conditionalFormatting>
  <conditionalFormatting sqref="B98:N98">
    <cfRule type="expression" dxfId="485" priority="17">
      <formula>$D98&gt;0</formula>
    </cfRule>
  </conditionalFormatting>
  <conditionalFormatting sqref="B99:N99">
    <cfRule type="expression" dxfId="484" priority="16">
      <formula>$D99&gt;0</formula>
    </cfRule>
  </conditionalFormatting>
  <conditionalFormatting sqref="B100:N100">
    <cfRule type="expression" dxfId="483" priority="15">
      <formula>$D100&gt;0</formula>
    </cfRule>
  </conditionalFormatting>
  <conditionalFormatting sqref="B101:N101">
    <cfRule type="expression" dxfId="482" priority="14">
      <formula>$D101&gt;0</formula>
    </cfRule>
  </conditionalFormatting>
  <conditionalFormatting sqref="B102:N102">
    <cfRule type="expression" dxfId="481" priority="13">
      <formula>$D102&gt;0</formula>
    </cfRule>
  </conditionalFormatting>
  <conditionalFormatting sqref="B103:N103">
    <cfRule type="expression" dxfId="480" priority="12">
      <formula>$D103&gt;0</formula>
    </cfRule>
  </conditionalFormatting>
  <conditionalFormatting sqref="B104:N104">
    <cfRule type="expression" dxfId="479" priority="11">
      <formula>$D104&gt;0</formula>
    </cfRule>
  </conditionalFormatting>
  <conditionalFormatting sqref="B105:N105">
    <cfRule type="expression" dxfId="478" priority="10">
      <formula>$D105&gt;0</formula>
    </cfRule>
  </conditionalFormatting>
  <conditionalFormatting sqref="B106:N106">
    <cfRule type="expression" dxfId="477" priority="9">
      <formula>$D106&gt;0</formula>
    </cfRule>
  </conditionalFormatting>
  <conditionalFormatting sqref="B107:N107">
    <cfRule type="expression" dxfId="476" priority="8">
      <formula>$D107&gt;0</formula>
    </cfRule>
  </conditionalFormatting>
  <conditionalFormatting sqref="B115:N115">
    <cfRule type="expression" dxfId="475" priority="6">
      <formula>$D115&gt;0</formula>
    </cfRule>
  </conditionalFormatting>
  <conditionalFormatting sqref="B116:N116">
    <cfRule type="expression" dxfId="474" priority="5">
      <formula>$D116&gt;0</formula>
    </cfRule>
  </conditionalFormatting>
  <conditionalFormatting sqref="B117:N117">
    <cfRule type="expression" dxfId="473" priority="4">
      <formula>$D117&gt;0</formula>
    </cfRule>
  </conditionalFormatting>
  <conditionalFormatting sqref="B118:N118">
    <cfRule type="expression" dxfId="472" priority="3">
      <formula>$D118&gt;0</formula>
    </cfRule>
  </conditionalFormatting>
  <conditionalFormatting sqref="B119:N119">
    <cfRule type="expression" dxfId="471" priority="2">
      <formula>$D119&gt;0</formula>
    </cfRule>
  </conditionalFormatting>
  <conditionalFormatting sqref="C17">
    <cfRule type="expression" dxfId="470" priority="1">
      <formula>$D17&gt;0</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069C9-660F-4350-ACF9-1EA56F29D3F1}">
  <sheetPr codeName="Sheet20"/>
  <dimension ref="B2:M15"/>
  <sheetViews>
    <sheetView showGridLines="0" workbookViewId="0">
      <selection activeCell="F22" sqref="F22"/>
    </sheetView>
  </sheetViews>
  <sheetFormatPr defaultColWidth="9.140625" defaultRowHeight="14.1"/>
  <cols>
    <col min="1" max="1" width="3.42578125" style="211" customWidth="1"/>
    <col min="2" max="2" width="24.42578125" style="211" bestFit="1" customWidth="1"/>
    <col min="3" max="26" width="15.42578125" style="211" customWidth="1"/>
    <col min="27" max="16384" width="9.140625" style="211"/>
  </cols>
  <sheetData>
    <row r="2" spans="2:13">
      <c r="B2" s="222" t="s">
        <v>221</v>
      </c>
    </row>
    <row r="3" spans="2:13">
      <c r="B3" s="212"/>
    </row>
    <row r="4" spans="2:13">
      <c r="B4" s="211" t="s">
        <v>222</v>
      </c>
      <c r="C4" s="223" t="s">
        <v>223</v>
      </c>
    </row>
    <row r="6" spans="2:13">
      <c r="B6" s="222" t="s">
        <v>224</v>
      </c>
    </row>
    <row r="7" spans="2:13">
      <c r="B7" s="222"/>
    </row>
    <row r="8" spans="2:13">
      <c r="B8" s="211" t="s">
        <v>225</v>
      </c>
    </row>
    <row r="10" spans="2:13" ht="15" thickBot="1">
      <c r="B10" s="215" t="s">
        <v>23</v>
      </c>
      <c r="C10" s="215" t="s">
        <v>226</v>
      </c>
      <c r="D10" s="215" t="s">
        <v>227</v>
      </c>
      <c r="E10" s="215" t="s">
        <v>228</v>
      </c>
      <c r="F10" s="215" t="s">
        <v>229</v>
      </c>
      <c r="G10" s="215" t="s">
        <v>230</v>
      </c>
      <c r="H10" s="215" t="s">
        <v>231</v>
      </c>
      <c r="I10" s="215" t="s">
        <v>232</v>
      </c>
      <c r="J10" s="215" t="s">
        <v>233</v>
      </c>
      <c r="K10" s="215" t="s">
        <v>234</v>
      </c>
      <c r="L10" s="215" t="s">
        <v>235</v>
      </c>
      <c r="M10" s="215" t="s">
        <v>236</v>
      </c>
    </row>
    <row r="11" spans="2:13" ht="15" thickTop="1">
      <c r="B11" s="216" t="s">
        <v>26</v>
      </c>
      <c r="C11" s="217">
        <v>0.03</v>
      </c>
      <c r="D11" s="218">
        <v>0</v>
      </c>
      <c r="E11" s="218">
        <f>D11*$C$11+D11+$C$11</f>
        <v>0.03</v>
      </c>
      <c r="F11" s="218">
        <f>E11*$C$11+E11+$C$11</f>
        <v>6.0899999999999996E-2</v>
      </c>
      <c r="G11" s="218">
        <f t="shared" ref="G11:M11" si="0">F11*$C$11+F11+$C$11</f>
        <v>9.272699999999999E-2</v>
      </c>
      <c r="H11" s="218">
        <f t="shared" si="0"/>
        <v>0.12550880999999997</v>
      </c>
      <c r="I11" s="218">
        <f t="shared" si="0"/>
        <v>0.15927407429999996</v>
      </c>
      <c r="J11" s="218">
        <f t="shared" si="0"/>
        <v>0.19405229652899994</v>
      </c>
      <c r="K11" s="218">
        <f t="shared" si="0"/>
        <v>0.22987386542486993</v>
      </c>
      <c r="L11" s="218">
        <f t="shared" si="0"/>
        <v>0.26677008138761604</v>
      </c>
      <c r="M11" s="218">
        <f t="shared" si="0"/>
        <v>0.30477318382924456</v>
      </c>
    </row>
    <row r="12" spans="2:13">
      <c r="B12" s="219" t="s">
        <v>27</v>
      </c>
      <c r="C12" s="220">
        <v>0.05</v>
      </c>
      <c r="D12" s="221">
        <v>0</v>
      </c>
      <c r="E12" s="221">
        <f t="shared" ref="E12:M12" si="1">D12*$C$12+D12+$C$12</f>
        <v>0.05</v>
      </c>
      <c r="F12" s="221">
        <f>E12*$C$12+E12+$C$12</f>
        <v>0.10250000000000001</v>
      </c>
      <c r="G12" s="221">
        <f t="shared" si="1"/>
        <v>0.15762500000000002</v>
      </c>
      <c r="H12" s="221">
        <f t="shared" si="1"/>
        <v>0.21550625000000001</v>
      </c>
      <c r="I12" s="221">
        <f t="shared" si="1"/>
        <v>0.27628156250000002</v>
      </c>
      <c r="J12" s="221">
        <f t="shared" si="1"/>
        <v>0.34009564062500003</v>
      </c>
      <c r="K12" s="221">
        <f t="shared" si="1"/>
        <v>0.40710042265625002</v>
      </c>
      <c r="L12" s="221">
        <f t="shared" si="1"/>
        <v>0.47745544378906252</v>
      </c>
      <c r="M12" s="221">
        <f t="shared" si="1"/>
        <v>0.55132821597851567</v>
      </c>
    </row>
    <row r="13" spans="2:13">
      <c r="B13" s="219" t="s">
        <v>237</v>
      </c>
      <c r="C13" s="220">
        <v>0</v>
      </c>
      <c r="D13" s="221">
        <v>0</v>
      </c>
      <c r="E13" s="221">
        <f>D13*$C$13+D13+$C$13</f>
        <v>0</v>
      </c>
      <c r="F13" s="221">
        <f t="shared" ref="F13:M13" si="2">E13*$C$13+E13+$C$13</f>
        <v>0</v>
      </c>
      <c r="G13" s="221">
        <f t="shared" si="2"/>
        <v>0</v>
      </c>
      <c r="H13" s="221">
        <f t="shared" si="2"/>
        <v>0</v>
      </c>
      <c r="I13" s="221">
        <f t="shared" si="2"/>
        <v>0</v>
      </c>
      <c r="J13" s="221">
        <f t="shared" si="2"/>
        <v>0</v>
      </c>
      <c r="K13" s="221">
        <f t="shared" si="2"/>
        <v>0</v>
      </c>
      <c r="L13" s="221">
        <f t="shared" si="2"/>
        <v>0</v>
      </c>
      <c r="M13" s="221">
        <f t="shared" si="2"/>
        <v>0</v>
      </c>
    </row>
    <row r="14" spans="2:13">
      <c r="B14" s="219" t="s">
        <v>238</v>
      </c>
      <c r="C14" s="220">
        <v>0</v>
      </c>
      <c r="D14" s="221">
        <v>0</v>
      </c>
      <c r="E14" s="221">
        <f>D14*$C$14+D14+$C$14</f>
        <v>0</v>
      </c>
      <c r="F14" s="221">
        <f t="shared" ref="F14:M14" si="3">E14*$C$14+E14+$C$14</f>
        <v>0</v>
      </c>
      <c r="G14" s="221">
        <f t="shared" si="3"/>
        <v>0</v>
      </c>
      <c r="H14" s="221">
        <f t="shared" si="3"/>
        <v>0</v>
      </c>
      <c r="I14" s="221">
        <f t="shared" si="3"/>
        <v>0</v>
      </c>
      <c r="J14" s="221">
        <f t="shared" si="3"/>
        <v>0</v>
      </c>
      <c r="K14" s="221">
        <f t="shared" si="3"/>
        <v>0</v>
      </c>
      <c r="L14" s="221">
        <f t="shared" si="3"/>
        <v>0</v>
      </c>
      <c r="M14" s="221">
        <f t="shared" si="3"/>
        <v>0</v>
      </c>
    </row>
    <row r="15" spans="2:13">
      <c r="B15" s="219" t="s">
        <v>239</v>
      </c>
      <c r="C15" s="220">
        <v>0</v>
      </c>
      <c r="D15" s="221">
        <v>0</v>
      </c>
      <c r="E15" s="221">
        <f>D15*$C$15+D15+$C$15</f>
        <v>0</v>
      </c>
      <c r="F15" s="221">
        <f t="shared" ref="F15:M15" si="4">E15*$C$15+E15+$C$15</f>
        <v>0</v>
      </c>
      <c r="G15" s="221">
        <f t="shared" si="4"/>
        <v>0</v>
      </c>
      <c r="H15" s="221">
        <f t="shared" si="4"/>
        <v>0</v>
      </c>
      <c r="I15" s="221">
        <f t="shared" si="4"/>
        <v>0</v>
      </c>
      <c r="J15" s="221">
        <f t="shared" si="4"/>
        <v>0</v>
      </c>
      <c r="K15" s="221">
        <f t="shared" si="4"/>
        <v>0</v>
      </c>
      <c r="L15" s="221">
        <f t="shared" si="4"/>
        <v>0</v>
      </c>
      <c r="M15" s="221">
        <f t="shared" si="4"/>
        <v>0</v>
      </c>
    </row>
  </sheetData>
  <phoneticPr fontId="17" type="noConversion"/>
  <conditionalFormatting sqref="C4">
    <cfRule type="cellIs" dxfId="317" priority="1" operator="equal">
      <formula>"Yes"</formula>
    </cfRule>
  </conditionalFormatting>
  <dataValidations count="1">
    <dataValidation type="list" allowBlank="1" showInputMessage="1" showErrorMessage="1" sqref="C4" xr:uid="{536E7EE8-C9D5-4603-80B4-7C489EC27707}">
      <formula1>"Yes, No"</formula1>
    </dataValidation>
  </dataValidations>
  <pageMargins left="0.7" right="0.7" top="0.75" bottom="0.75" header="0.3" footer="0.3"/>
  <pageSetup orientation="portrait" horizont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FD139"/>
  <sheetViews>
    <sheetView showGridLines="0" zoomScale="90" zoomScaleNormal="90" workbookViewId="0">
      <pane xSplit="2" topLeftCell="C1" activePane="topRight" state="frozen"/>
      <selection pane="topRight" activeCell="B2" sqref="B2"/>
      <selection activeCell="E18" sqref="E18"/>
    </sheetView>
  </sheetViews>
  <sheetFormatPr defaultColWidth="8.85546875" defaultRowHeight="15"/>
  <cols>
    <col min="1" max="1" width="3.42578125" style="33" customWidth="1"/>
    <col min="2" max="2" width="40" style="33" bestFit="1" customWidth="1"/>
    <col min="3" max="5" width="20.42578125" style="33" customWidth="1"/>
    <col min="6" max="160" width="18.42578125" style="33" customWidth="1"/>
    <col min="161" max="16384" width="8.85546875" style="33"/>
  </cols>
  <sheetData>
    <row r="2" spans="2:12">
      <c r="B2" s="7" t="s">
        <v>240</v>
      </c>
      <c r="C2" s="7"/>
      <c r="D2" s="7"/>
      <c r="E2" s="7"/>
      <c r="F2" s="7"/>
      <c r="G2" s="7"/>
      <c r="H2" s="7"/>
      <c r="I2" s="7"/>
      <c r="J2" s="7"/>
      <c r="K2" s="7"/>
      <c r="L2" s="7"/>
    </row>
    <row r="3" spans="2:12">
      <c r="B3" s="4" t="s">
        <v>241</v>
      </c>
      <c r="C3" s="320" t="str">
        <f>IF(Baseline!D3="","",Baseline!D3)</f>
        <v>VaultSpeed</v>
      </c>
      <c r="D3" s="320"/>
      <c r="E3" s="4" t="s">
        <v>242</v>
      </c>
      <c r="F3" s="74"/>
      <c r="G3" s="4" t="s">
        <v>243</v>
      </c>
      <c r="H3" s="98">
        <f ca="1">SUM(D29:D36,D40:D61,D111:D123,D130:D135)</f>
        <v>8639</v>
      </c>
      <c r="I3" s="55">
        <f t="shared" ref="I3:I8" ca="1" si="0">IFERROR(H3/SUM($H$3:$H$8),"TBD")</f>
        <v>0.38301928618931502</v>
      </c>
      <c r="J3" s="4" t="s">
        <v>244</v>
      </c>
      <c r="K3" s="102">
        <f ca="1">SUM(C29:C36,C40:C61,C68:C71,C111:C123,C130:C135)</f>
        <v>100</v>
      </c>
      <c r="L3" s="55">
        <f ca="1">IFERROR(K3/SUM($K$3:$K$5),"TBD")</f>
        <v>0.15105740181268881</v>
      </c>
    </row>
    <row r="4" spans="2:12">
      <c r="B4" s="4" t="s">
        <v>245</v>
      </c>
      <c r="C4" s="320" t="str">
        <f>IF(Baseline!D4="","",Baseline!D4)</f>
        <v>Intune Deployment</v>
      </c>
      <c r="D4" s="320"/>
      <c r="E4" s="4" t="s">
        <v>246</v>
      </c>
      <c r="F4" s="74"/>
      <c r="G4" s="4" t="s">
        <v>247</v>
      </c>
      <c r="H4" s="98">
        <f ca="1">SUM(D37:D39,D72:D110,D124:D125)</f>
        <v>6048</v>
      </c>
      <c r="I4" s="55">
        <f t="shared" ca="1" si="0"/>
        <v>0.26814453557969409</v>
      </c>
      <c r="J4" s="4" t="s">
        <v>248</v>
      </c>
      <c r="K4" s="102">
        <f ca="1">SUM(C72:C110,C124:C125)</f>
        <v>0</v>
      </c>
      <c r="L4" s="55">
        <f ca="1">IFERROR(K4/SUM($K$3:$K$5),"TBD")</f>
        <v>0</v>
      </c>
    </row>
    <row r="5" spans="2:12">
      <c r="B5" s="4" t="s">
        <v>249</v>
      </c>
      <c r="C5" s="58" t="str">
        <f>IF(Baseline!D5="","",Baseline!D5)</f>
        <v/>
      </c>
      <c r="D5" s="59"/>
      <c r="E5" s="4" t="s">
        <v>250</v>
      </c>
      <c r="F5" s="62">
        <f>Baseline!D24</f>
        <v>28000</v>
      </c>
      <c r="G5" s="4" t="s">
        <v>251</v>
      </c>
      <c r="H5" s="98">
        <f ca="1">SUM(D37:D39,D64:D67,D126:D129)</f>
        <v>7468</v>
      </c>
      <c r="I5" s="55">
        <f t="shared" ca="1" si="0"/>
        <v>0.33110175127466196</v>
      </c>
      <c r="J5" s="4" t="s">
        <v>252</v>
      </c>
      <c r="K5" s="102">
        <f ca="1">SUM(C37:C39,C64:C67,C126:C129)</f>
        <v>562</v>
      </c>
      <c r="L5" s="55">
        <f ca="1">IFERROR(K5/SUM($K$3:$K$5),"TBD")</f>
        <v>0.84894259818731121</v>
      </c>
    </row>
    <row r="6" spans="2:12">
      <c r="B6" s="4" t="s">
        <v>253</v>
      </c>
      <c r="C6" s="60" t="str">
        <f>IF(Baseline!L7="Enter Est. Project Start Date","",Baseline!L7)</f>
        <v/>
      </c>
      <c r="D6" s="59"/>
      <c r="E6" s="4" t="s">
        <v>254</v>
      </c>
      <c r="F6" s="79">
        <f>Baseline!G24</f>
        <v>0.41046428571428573</v>
      </c>
      <c r="G6" s="4" t="s">
        <v>255</v>
      </c>
      <c r="H6" s="98">
        <f>D22</f>
        <v>0</v>
      </c>
      <c r="I6" s="55">
        <f t="shared" ca="1" si="0"/>
        <v>0</v>
      </c>
      <c r="J6" s="4" t="s">
        <v>256</v>
      </c>
      <c r="K6" s="55">
        <f ca="1">IFERROR(K3/SUM($K$3:$K$5),"TBD")</f>
        <v>0.15105740181268881</v>
      </c>
      <c r="L6" s="4"/>
    </row>
    <row r="7" spans="2:12">
      <c r="B7" s="4" t="s">
        <v>257</v>
      </c>
      <c r="C7" s="60" t="str">
        <f>IFERROR(IF(Baseline!L8=0,"",Baseline!L8),"")</f>
        <v/>
      </c>
      <c r="D7" s="59"/>
      <c r="E7" s="4" t="s">
        <v>258</v>
      </c>
      <c r="F7" s="79">
        <f ca="1">Baseline!G27</f>
        <v>0.37715551785714285</v>
      </c>
      <c r="G7" s="4" t="s">
        <v>259</v>
      </c>
      <c r="H7" s="98">
        <f>D23</f>
        <v>0</v>
      </c>
      <c r="I7" s="55">
        <f t="shared" ca="1" si="0"/>
        <v>0</v>
      </c>
      <c r="J7" s="4" t="s">
        <v>260</v>
      </c>
      <c r="K7" s="55">
        <f ca="1">IFERROR((K4+K5)/SUM($K$3:$K$5),"TBD")</f>
        <v>0.84894259818731121</v>
      </c>
      <c r="L7" s="4"/>
    </row>
    <row r="8" spans="2:12">
      <c r="B8" s="4" t="s">
        <v>261</v>
      </c>
      <c r="C8" s="61" t="str">
        <f>IFERROR(ROUNDUP((C7-C6)/7,0),"")</f>
        <v/>
      </c>
      <c r="D8" s="59"/>
      <c r="E8" s="4" t="s">
        <v>262</v>
      </c>
      <c r="F8" s="79">
        <f ca="1">Baseline!G29</f>
        <v>0.32663230714285713</v>
      </c>
      <c r="G8" s="4" t="s">
        <v>263</v>
      </c>
      <c r="H8" s="98">
        <f>D24</f>
        <v>400</v>
      </c>
      <c r="I8" s="55">
        <f t="shared" ca="1" si="0"/>
        <v>1.7734426956328972E-2</v>
      </c>
      <c r="J8" s="4"/>
      <c r="K8" s="4"/>
      <c r="L8" s="4"/>
    </row>
    <row r="9" spans="2:12">
      <c r="B9" s="71" t="s">
        <v>264</v>
      </c>
      <c r="C9" s="72"/>
      <c r="D9" s="73"/>
      <c r="E9" s="4" t="s">
        <v>265</v>
      </c>
      <c r="F9" s="79">
        <f ca="1">IFERROR(E14,"TBD")</f>
        <v>8.6024110983219243E-2</v>
      </c>
      <c r="G9" s="4"/>
      <c r="H9" s="4"/>
      <c r="I9" s="4"/>
      <c r="J9" s="4"/>
      <c r="K9" s="4"/>
      <c r="L9" s="4"/>
    </row>
    <row r="11" spans="2:12">
      <c r="B11" s="7" t="s">
        <v>266</v>
      </c>
      <c r="C11" s="7"/>
      <c r="D11" s="7"/>
      <c r="E11" s="7"/>
      <c r="F11" s="321"/>
      <c r="G11" s="322"/>
      <c r="H11" s="7"/>
      <c r="I11" s="7"/>
    </row>
    <row r="12" spans="2:12">
      <c r="B12" s="4" t="s">
        <v>267</v>
      </c>
      <c r="C12" s="4" t="s">
        <v>268</v>
      </c>
      <c r="D12" s="4" t="s">
        <v>269</v>
      </c>
      <c r="E12" s="4" t="s">
        <v>270</v>
      </c>
      <c r="F12" s="323" t="s">
        <v>271</v>
      </c>
      <c r="G12" s="323"/>
      <c r="H12" s="49" t="s">
        <v>272</v>
      </c>
      <c r="I12" s="4" t="s">
        <v>273</v>
      </c>
    </row>
    <row r="13" spans="2:12">
      <c r="B13" s="51" t="s">
        <v>118</v>
      </c>
      <c r="C13" s="52">
        <f ca="1">IF(Startup!$C$3="Project",SUMIF(Startup!$B$7:$D$27,Overview!B13,Startup!$D$7:$D$27),(SUMIF(Startup!$B$7:$D$27,Overview!B13,Startup!$D$7:$D$27)*Startup!$C$4))+IF(Pilot!$C$3="Project",SUMIF(Pilot!$B$7:$D$27,Overview!B13,Pilot!$D$7:$D$27),(SUMIF(Pilot!$B$7:$D$27,Overview!B13,Pilot!$D$7:$D$27)*Pilot!$C$4))+IF(PMO!$C$3="Project",SUMIF(PMO!$B$7:$D$27,Overview!B13,PMO!$D$7:$D$27),(SUMIF(PMO!$B$7:$D$27,Overview!B13,PMO!$D$7:$D$27)*PMO!$C$4))+IF('Design &amp; Fulfillment'!$C$3="Project",SUMIF('Design &amp; Fulfillment'!$B$7:$D$27,Overview!B13,'Design &amp; Fulfillment'!$D$7:$D$27),(SUMIF('Design &amp; Fulfillment'!$B$7:$D$27,Overview!B13,'Design &amp; Fulfillment'!$D$7:$D$27)*'Design &amp; Fulfillment'!$C$4))+IF(Workplace!$C$3="Project",SUMIF(Workplace!$B$7:$D$27,Overview!B13,Workplace!$D$7:$D$27),(SUMIF(Workplace!$B$7:$D$27,Overview!B13,Workplace!$D$7:$D$27)*Workplace!$C$4))+IF(Integration!$C$3="Project",SUMIF(Integration!$B$7:$D$27,Overview!B13,Integration!$D$7:$D$27),(SUMIF(Integration!$B$7:$D$27,Overview!B13,Integration!$D$7:$D$27)*Integration!$C$4))+IF(Logistics!$C$3="Project",SUMIF(Logistics!$B$7:$D$27,Overview!B13,Logistics!$D$7:$D$27),(SUMIF(Logistics!$B$7:$D$27,Overview!B13,Logistics!$D$7:$D$27)*Logistics!$C$4))+IF('Service Desk'!$C$3="Project",SUMIF('Service Desk'!$B$7:$D$27,Overview!B13,'Service Desk'!$D$7:$D$27),(SUMIF('Service Desk'!$B$7:$D$27,Overview!B13,'Service Desk'!$D$7:$D$27)*'Service Desk'!$C$4))+IF('Pro Services'!$C$3="Project",SUMIF('Pro Services'!$B$7:$D$27,Overview!B13,'Pro Services'!$D$7:$D$27),(SUMIF('Pro Services'!$B$7:$D$27,Overview!B13,'Pro Services'!$D$7:$D$27)*'Pro Services'!$C$4))</f>
        <v>0</v>
      </c>
      <c r="D13" s="53">
        <f ca="1">IF(Startup!$C$3="Project",SUMIF(Startup!$B$7:$H$27,Overview!B13,Startup!$H$7:$H$27),(SUMIF(Startup!$B$7:$H$27,Overview!B13,Startup!$H$7:$H$27)*Startup!$C$4))+IF(Pilot!$C$3="Project",SUMIF(Pilot!$B$7:$H$27,Overview!B13,Pilot!$H$7:$H$27),(SUMIF(Pilot!$B$7:$H$27,Overview!B13,Pilot!$H$7:$H$27)*Pilot!$C$4))+IF(PMO!$C$3="Project",SUMIF(PMO!$B$7:$H$27,Overview!B13,PMO!$H$7:$H$27),(SUMIF(PMO!$B$7:$H$27,Overview!B13,PMO!$H$7:$H$27)*PMO!$C$4))+IF('Design &amp; Fulfillment'!$C$3="Project",SUMIF('Design &amp; Fulfillment'!$B$7:$H$27,Overview!B13,'Design &amp; Fulfillment'!$H$7:$H$27),(SUMIF('Design &amp; Fulfillment'!$B$7:$H$27,Overview!B13,'Design &amp; Fulfillment'!$H$7:$H$27)*'Design &amp; Fulfillment'!$C$4))+IF(Workplace!$C$3="Project",SUMIF(Workplace!$B$7:$H$27,Overview!B13,Workplace!$H$7:$H$27),(SUMIF(Workplace!$B$7:$H$27,Overview!B13,Workplace!$H$7:$H$27)*Workplace!$C$4))+IF(Integration!$C$3="Project",SUMIF(Integration!$B$7:$H$27,Overview!B13,Integration!$H$7:$H$27),(SUMIF(Integration!$B$7:$H$27,Overview!B13,Integration!$H$7:$H$27)*Integration!$C$4))+IF(Logistics!$C$3="Project",SUMIF(Logistics!$B$7:$H$27,Overview!B13,Logistics!$H$7:$H$27),(SUMIF(Logistics!$B$7:$H$27,Overview!B13,Logistics!$H$7:$H$27)*Logistics!$C$4))+IF('Service Desk'!$C$3="Project",SUMIF('Service Desk'!$B$7:$H$27,Overview!B13,'Service Desk'!$H$7:$H$27),(SUMIF('Service Desk'!$B$7:$H$27,Overview!B13,'Service Desk'!$H$7:$H$27)*'Service Desk'!$C$4))+IF('Pro Services'!$C$3="Project",SUMIF('Pro Services'!$B$7:$H$27,Overview!B13,'Pro Services'!$H$7:$H$27),(SUMIF('Pro Services'!$B$7:$H$27,Overview!B13,'Pro Services'!$H$7:$H$27)*'Pro Services'!$C$4))</f>
        <v>0</v>
      </c>
      <c r="E13" s="55">
        <f t="shared" ref="E13:E24" ca="1" si="1">IFERROR(D13/(SUM($D$13:$D$24)),"TBD")</f>
        <v>0</v>
      </c>
      <c r="F13" s="314" t="str">
        <f ca="1">IF(D13=0,"N/A",Baseline!L22)</f>
        <v>N/A</v>
      </c>
      <c r="G13" s="314"/>
      <c r="H13" s="56">
        <f ca="1">C13/Baseline!$D$8</f>
        <v>0</v>
      </c>
      <c r="I13" s="53">
        <f ca="1">D13/Baseline!$D$8</f>
        <v>0</v>
      </c>
    </row>
    <row r="14" spans="2:12">
      <c r="B14" s="51" t="s">
        <v>207</v>
      </c>
      <c r="C14" s="52">
        <f ca="1">IF(Startup!$C$3="Project",SUMIF(Startup!$B$7:$D$27,Overview!B14,Startup!$D$7:$D$27),(SUMIF(Startup!$B$7:$D$27,Overview!B14,Startup!$D$7:$D$27)*Startup!$C$4))+IF(Pilot!$C$3="Project",SUMIF(Pilot!$B$7:$D$27,Overview!B14,Pilot!$D$7:$D$27),(SUMIF(Pilot!$B$7:$D$27,Overview!B14,Pilot!$D$7:$D$27)*Pilot!$C$4))+IF(PMO!$C$3="Project",SUMIF(PMO!$B$7:$D$27,Overview!B14,PMO!$D$7:$D$27),(SUMIF(PMO!$B$7:$D$27,Overview!B14,PMO!$D$7:$D$27)*PMO!$C$4))+IF('Design &amp; Fulfillment'!$C$3="Project",SUMIF('Design &amp; Fulfillment'!$B$7:$D$27,Overview!B14,'Design &amp; Fulfillment'!$D$7:$D$27),(SUMIF('Design &amp; Fulfillment'!$B$7:$D$27,Overview!B14,'Design &amp; Fulfillment'!$D$7:$D$27)*'Design &amp; Fulfillment'!$C$4))+IF(Workplace!$C$3="Project",SUMIF(Workplace!$B$7:$D$27,Overview!B14,Workplace!$D$7:$D$27),(SUMIF(Workplace!$B$7:$D$27,Overview!B14,Workplace!$D$7:$D$27)*Workplace!$C$4))+IF(Integration!$C$3="Project",SUMIF(Integration!$B$7:$D$27,Overview!B14,Integration!$D$7:$D$27),(SUMIF(Integration!$B$7:$D$27,Overview!B14,Integration!$D$7:$D$27)*Integration!$C$4))+IF(Logistics!$C$3="Project",SUMIF(Logistics!$B$7:$D$27,Overview!B14,Logistics!$D$7:$D$27),(SUMIF(Logistics!$B$7:$D$27,Overview!B14,Logistics!$D$7:$D$27)*Logistics!$C$4))+IF('Service Desk'!$C$3="Project",SUMIF('Service Desk'!$B$7:$D$27,Overview!B14,'Service Desk'!$D$7:$D$27),(SUMIF('Service Desk'!$B$7:$D$27,Overview!B14,'Service Desk'!$D$7:$D$27)*'Service Desk'!$C$4))+IF('Pro Services'!$C$3="Project",SUMIF('Pro Services'!$B$7:$D$27,Overview!B14,'Pro Services'!$D$7:$D$27),(SUMIF('Pro Services'!$B$7:$D$27,Overview!B14,'Pro Services'!$D$7:$D$27)*'Pro Services'!$C$4))</f>
        <v>142</v>
      </c>
      <c r="D14" s="53">
        <f ca="1">IF(Startup!$C$3="Project",SUMIF(Startup!$B$7:$H$27,Overview!B14,Startup!$H$7:$H$27),(SUMIF(Startup!$B$7:$H$27,Overview!B14,Startup!$H$7:$H$27)*Startup!$C$4))+IF(Pilot!$C$3="Project",SUMIF(Pilot!$B$7:$H$27,Overview!B14,Pilot!$H$7:$H$27),(SUMIF(Pilot!$B$7:$H$27,Overview!B14,Pilot!$H$7:$H$27)*Pilot!$C$4))+IF(PMO!$C$3="Project",SUMIF(PMO!$B$7:$H$27,Overview!B14,PMO!$H$7:$H$27),(SUMIF(PMO!$B$7:$H$27,Overview!B14,PMO!$H$7:$H$27)*PMO!$C$4))+IF('Design &amp; Fulfillment'!$C$3="Project",SUMIF('Design &amp; Fulfillment'!$B$7:$H$27,Overview!B14,'Design &amp; Fulfillment'!$H$7:$H$27),(SUMIF('Design &amp; Fulfillment'!$B$7:$H$27,Overview!B14,'Design &amp; Fulfillment'!$H$7:$H$27)*'Design &amp; Fulfillment'!$C$4))+IF(Workplace!$C$3="Project",SUMIF(Workplace!$B$7:$H$27,Overview!B14,Workplace!$H$7:$H$27),(SUMIF(Workplace!$B$7:$H$27,Overview!B14,Workplace!$H$7:$H$27)*Workplace!$C$4))+IF(Integration!$C$3="Project",SUMIF(Integration!$B$7:$H$27,Overview!B14,Integration!$H$7:$H$27),(SUMIF(Integration!$B$7:$H$27,Overview!B14,Integration!$H$7:$H$27)*Integration!$C$4))+IF(Logistics!$C$3="Project",SUMIF(Logistics!$B$7:$H$27,Overview!B14,Logistics!$H$7:$H$27),(SUMIF(Logistics!$B$7:$H$27,Overview!B14,Logistics!$H$7:$H$27)*Logistics!$C$4))+IF('Service Desk'!$C$3="Project",SUMIF('Service Desk'!$B$7:$H$27,Overview!B14,'Service Desk'!$H$7:$H$27),(SUMIF('Service Desk'!$B$7:$H$27,Overview!B14,'Service Desk'!$H$7:$H$27)*'Service Desk'!$C$4))+IF('Pro Services'!$C$3="Project",SUMIF('Pro Services'!$B$7:$H$27,Overview!B14,'Pro Services'!$H$7:$H$27),(SUMIF('Pro Services'!$B$7:$H$27,Overview!B14,'Pro Services'!$H$7:$H$27)*'Pro Services'!$C$4))</f>
        <v>1420</v>
      </c>
      <c r="E14" s="55">
        <f t="shared" ca="1" si="1"/>
        <v>8.6024110983219243E-2</v>
      </c>
      <c r="F14" s="314">
        <f ca="1">IF(D14=0,"N/A",Baseline!J22)</f>
        <v>0</v>
      </c>
      <c r="G14" s="314"/>
      <c r="H14" s="56">
        <f ca="1">C14/Baseline!$D$8</f>
        <v>142</v>
      </c>
      <c r="I14" s="53">
        <f ca="1">D14/Baseline!$D$8</f>
        <v>1420</v>
      </c>
    </row>
    <row r="15" spans="2:12">
      <c r="B15" s="51" t="s">
        <v>135</v>
      </c>
      <c r="C15" s="52">
        <f ca="1">IF(Startup!$C$3="Project",SUMIF(Startup!$B$7:$D$27,Overview!B15,Startup!$D$7:$D$27),(SUMIF(Startup!$B$7:$D$27,Overview!B15,Startup!$D$7:$D$27)*Startup!$C$4))+IF(Pilot!$C$3="Project",SUMIF(Pilot!$B$7:$D$27,Overview!B15,Pilot!$D$7:$D$27),(SUMIF(Pilot!$B$7:$D$27,Overview!B15,Pilot!$D$7:$D$27)*Pilot!$C$4))+IF(PMO!$C$3="Project",SUMIF(PMO!$B$7:$D$27,Overview!B15,PMO!$D$7:$D$27),(SUMIF(PMO!$B$7:$D$27,Overview!B15,PMO!$D$7:$D$27)*PMO!$C$4))+IF('Design &amp; Fulfillment'!$C$3="Project",SUMIF('Design &amp; Fulfillment'!$B$7:$D$27,Overview!B15,'Design &amp; Fulfillment'!$D$7:$D$27),(SUMIF('Design &amp; Fulfillment'!$B$7:$D$27,Overview!B15,'Design &amp; Fulfillment'!$D$7:$D$27)*'Design &amp; Fulfillment'!$C$4))+IF(Workplace!$C$3="Project",SUMIF(Workplace!$B$7:$D$27,Overview!B15,Workplace!$D$7:$D$27),(SUMIF(Workplace!$B$7:$D$27,Overview!B15,Workplace!$D$7:$D$27)*Workplace!$C$4))+IF(Integration!$C$3="Project",SUMIF(Integration!$B$7:$D$27,Overview!B15,Integration!$D$7:$D$27),(SUMIF(Integration!$B$7:$D$27,Overview!B15,Integration!$D$7:$D$27)*Integration!$C$4))+IF(Logistics!$C$3="Project",SUMIF(Logistics!$B$7:$D$27,Overview!B15,Logistics!$D$7:$D$27),(SUMIF(Logistics!$B$7:$D$27,Overview!B15,Logistics!$D$7:$D$27)*Logistics!$C$4))+IF('Service Desk'!$C$3="Project",SUMIF('Service Desk'!$B$7:$D$27,Overview!B15,'Service Desk'!$D$7:$D$27),(SUMIF('Service Desk'!$B$7:$D$27,Overview!B15,'Service Desk'!$D$7:$D$27)*'Service Desk'!$C$4))+IF('Pro Services'!$C$3="Project",SUMIF('Pro Services'!$B$7:$D$27,Overview!B15,'Pro Services'!$D$7:$D$27),(SUMIF('Pro Services'!$B$7:$D$27,Overview!B15,'Pro Services'!$D$7:$D$27)*'Pro Services'!$C$4))</f>
        <v>0</v>
      </c>
      <c r="D15" s="53">
        <f ca="1">IF(Startup!$C$3="Project",SUMIF(Startup!$B$7:$H$27,Overview!B15,Startup!$H$7:$H$27),(SUMIF(Startup!$B$7:$H$27,Overview!B15,Startup!$H$7:$H$27)*Startup!$C$4))+IF(Pilot!$C$3="Project",SUMIF(Pilot!$B$7:$H$27,Overview!B15,Pilot!$H$7:$H$27),(SUMIF(Pilot!$B$7:$H$27,Overview!B15,Pilot!$H$7:$H$27)*Pilot!$C$4))+IF(PMO!$C$3="Project",SUMIF(PMO!$B$7:$H$27,Overview!B15,PMO!$H$7:$H$27),(SUMIF(PMO!$B$7:$H$27,Overview!B15,PMO!$H$7:$H$27)*PMO!$C$4))+IF('Design &amp; Fulfillment'!$C$3="Project",SUMIF('Design &amp; Fulfillment'!$B$7:$H$27,Overview!B15,'Design &amp; Fulfillment'!$H$7:$H$27),(SUMIF('Design &amp; Fulfillment'!$B$7:$H$27,Overview!B15,'Design &amp; Fulfillment'!$H$7:$H$27)*'Design &amp; Fulfillment'!$C$4))+IF(Workplace!$C$3="Project",SUMIF(Workplace!$B$7:$H$27,Overview!B15,Workplace!$H$7:$H$27),(SUMIF(Workplace!$B$7:$H$27,Overview!B15,Workplace!$H$7:$H$27)*Workplace!$C$4))+IF(Integration!$C$3="Project",SUMIF(Integration!$B$7:$H$27,Overview!B15,Integration!$H$7:$H$27),(SUMIF(Integration!$B$7:$H$27,Overview!B15,Integration!$H$7:$H$27)*Integration!$C$4))+IF(Logistics!$C$3="Project",SUMIF(Logistics!$B$7:$H$27,Overview!B15,Logistics!$H$7:$H$27),(SUMIF(Logistics!$B$7:$H$27,Overview!B15,Logistics!$H$7:$H$27)*Logistics!$C$4))+IF('Service Desk'!$C$3="Project",SUMIF('Service Desk'!$B$7:$H$27,Overview!B15,'Service Desk'!$H$7:$H$27),(SUMIF('Service Desk'!$B$7:$H$27,Overview!B15,'Service Desk'!$H$7:$H$27)*'Service Desk'!$C$4))+IF('Pro Services'!$C$3="Project",SUMIF('Pro Services'!$B$7:$H$27,Overview!B15,'Pro Services'!$H$7:$H$27),(SUMIF('Pro Services'!$B$7:$H$27,Overview!B15,'Pro Services'!$H$7:$H$27)*'Pro Services'!$C$4))</f>
        <v>0</v>
      </c>
      <c r="E15" s="55">
        <f t="shared" ca="1" si="1"/>
        <v>0</v>
      </c>
      <c r="F15" s="314" t="str">
        <f ca="1">IF(D15=0,"N/A",Baseline!J23&amp;", "&amp;Baseline!J24)</f>
        <v>N/A</v>
      </c>
      <c r="G15" s="314"/>
      <c r="H15" s="56">
        <f ca="1">C15/Baseline!$D$8</f>
        <v>0</v>
      </c>
      <c r="I15" s="53">
        <f ca="1">D15/Baseline!$D$8</f>
        <v>0</v>
      </c>
    </row>
    <row r="16" spans="2:12">
      <c r="B16" s="51" t="s">
        <v>191</v>
      </c>
      <c r="C16" s="52">
        <f ca="1">IF(Startup!$C$3="Project",SUMIF(Startup!$B$7:$D$27,Overview!B16,Startup!$D$7:$D$27),(SUMIF(Startup!$B$7:$D$27,Overview!B16,Startup!$D$7:$D$27)*Startup!$C$4))+IF(Pilot!$C$3="Project",SUMIF(Pilot!$B$7:$D$27,Overview!B16,Pilot!$D$7:$D$27),(SUMIF(Pilot!$B$7:$D$27,Overview!B16,Pilot!$D$7:$D$27)*Pilot!$C$4))+IF(PMO!$C$3="Project",SUMIF(PMO!$B$7:$D$27,Overview!B16,PMO!$D$7:$D$27),(SUMIF(PMO!$B$7:$D$27,Overview!B16,PMO!$D$7:$D$27)*PMO!$C$4))+IF('Design &amp; Fulfillment'!$C$3="Project",SUMIF('Design &amp; Fulfillment'!$B$7:$D$27,Overview!B16,'Design &amp; Fulfillment'!$D$7:$D$27),(SUMIF('Design &amp; Fulfillment'!$B$7:$D$27,Overview!B16,'Design &amp; Fulfillment'!$D$7:$D$27)*'Design &amp; Fulfillment'!$C$4))+IF(Workplace!$C$3="Project",SUMIF(Workplace!$B$7:$D$27,Overview!B16,Workplace!$D$7:$D$27),(SUMIF(Workplace!$B$7:$D$27,Overview!B16,Workplace!$D$7:$D$27)*Workplace!$C$4))+IF(Integration!$C$3="Project",SUMIF(Integration!$B$7:$D$27,Overview!B16,Integration!$D$7:$D$27),(SUMIF(Integration!$B$7:$D$27,Overview!B16,Integration!$D$7:$D$27)*Integration!$C$4))+IF(Logistics!$C$3="Project",SUMIF(Logistics!$B$7:$D$27,Overview!B16,Logistics!$D$7:$D$27),(SUMIF(Logistics!$B$7:$D$27,Overview!B16,Logistics!$D$7:$D$27)*Logistics!$C$4))+IF('Service Desk'!$C$3="Project",SUMIF('Service Desk'!$B$7:$D$27,Overview!B16,'Service Desk'!$D$7:$D$27),(SUMIF('Service Desk'!$B$7:$D$27,Overview!B16,'Service Desk'!$D$7:$D$27)*'Service Desk'!$C$4))+IF('Pro Services'!$C$3="Project",SUMIF('Pro Services'!$B$7:$D$27,Overview!B16,'Pro Services'!$D$7:$D$27),(SUMIF('Pro Services'!$B$7:$D$27,Overview!B16,'Pro Services'!$D$7:$D$27)*'Pro Services'!$C$4))</f>
        <v>0</v>
      </c>
      <c r="D16" s="53">
        <f ca="1">IF(Startup!$C$3="Project",SUMIF(Startup!$B$7:$H$27,Overview!B16,Startup!$H$7:$H$27),(SUMIF(Startup!$B$7:$H$27,Overview!B16,Startup!$H$7:$H$27)*Startup!$C$4))+IF(Pilot!$C$3="Project",SUMIF(Pilot!$B$7:$H$27,Overview!B16,Pilot!$H$7:$H$27),(SUMIF(Pilot!$B$7:$H$27,Overview!B16,Pilot!$H$7:$H$27)*Pilot!$C$4))+IF(PMO!$C$3="Project",SUMIF(PMO!$B$7:$H$27,Overview!B16,PMO!$H$7:$H$27),(SUMIF(PMO!$B$7:$H$27,Overview!B16,PMO!$H$7:$H$27)*PMO!$C$4))+IF('Design &amp; Fulfillment'!$C$3="Project",SUMIF('Design &amp; Fulfillment'!$B$7:$H$27,Overview!B16,'Design &amp; Fulfillment'!$H$7:$H$27),(SUMIF('Design &amp; Fulfillment'!$B$7:$H$27,Overview!B16,'Design &amp; Fulfillment'!$H$7:$H$27)*'Design &amp; Fulfillment'!$C$4))+IF(Workplace!$C$3="Project",SUMIF(Workplace!$B$7:$H$27,Overview!B16,Workplace!$H$7:$H$27),(SUMIF(Workplace!$B$7:$H$27,Overview!B16,Workplace!$H$7:$H$27)*Workplace!$C$4))+IF(Integration!$C$3="Project",SUMIF(Integration!$B$7:$H$27,Overview!B16,Integration!$H$7:$H$27),(SUMIF(Integration!$B$7:$H$27,Overview!B16,Integration!$H$7:$H$27)*Integration!$C$4))+IF(Logistics!$C$3="Project",SUMIF(Logistics!$B$7:$H$27,Overview!B16,Logistics!$H$7:$H$27),(SUMIF(Logistics!$B$7:$H$27,Overview!B16,Logistics!$H$7:$H$27)*Logistics!$C$4))+IF('Service Desk'!$C$3="Project",SUMIF('Service Desk'!$B$7:$H$27,Overview!B16,'Service Desk'!$H$7:$H$27),(SUMIF('Service Desk'!$B$7:$H$27,Overview!B16,'Service Desk'!$H$7:$H$27)*'Service Desk'!$C$4))+IF('Pro Services'!$C$3="Project",SUMIF('Pro Services'!$B$7:$H$27,Overview!B16,'Pro Services'!$H$7:$H$27),(SUMIF('Pro Services'!$B$7:$H$27,Overview!B16,'Pro Services'!$H$7:$H$27)*'Pro Services'!$C$4))</f>
        <v>0</v>
      </c>
      <c r="E16" s="55">
        <f t="shared" ca="1" si="1"/>
        <v>0</v>
      </c>
      <c r="F16" s="314" t="str">
        <f ca="1">IF(D16=0,"N/A",Baseline!L23)</f>
        <v>N/A</v>
      </c>
      <c r="G16" s="314"/>
      <c r="H16" s="56">
        <f ca="1">C16/Baseline!$D$8</f>
        <v>0</v>
      </c>
      <c r="I16" s="53">
        <f ca="1">D16/Baseline!$D$8</f>
        <v>0</v>
      </c>
    </row>
    <row r="17" spans="2:160">
      <c r="B17" s="51" t="s">
        <v>195</v>
      </c>
      <c r="C17" s="52">
        <f ca="1">IF(Startup!$C$3="Project",SUMIF(Startup!$B$7:$D$27,Overview!B17,Startup!$D$7:$D$27),(SUMIF(Startup!$B$7:$D$27,Overview!B17,Startup!$D$7:$D$27)*Startup!$C$4))+IF(Pilot!$C$3="Project",SUMIF(Pilot!$B$7:$D$27,Overview!B17,Pilot!$D$7:$D$27),(SUMIF(Pilot!$B$7:$D$27,Overview!B17,Pilot!$D$7:$D$27)*Pilot!$C$4))+IF(PMO!$C$3="Project",SUMIF(PMO!$B$7:$D$27,Overview!B17,PMO!$D$7:$D$27),(SUMIF(PMO!$B$7:$D$27,Overview!B17,PMO!$D$7:$D$27)*PMO!$C$4))+IF('Design &amp; Fulfillment'!$C$3="Project",SUMIF('Design &amp; Fulfillment'!$B$7:$D$27,Overview!B17,'Design &amp; Fulfillment'!$D$7:$D$27),(SUMIF('Design &amp; Fulfillment'!$B$7:$D$27,Overview!B17,'Design &amp; Fulfillment'!$D$7:$D$27)*'Design &amp; Fulfillment'!$C$4))+IF(Workplace!$C$3="Project",SUMIF(Workplace!$B$7:$D$27,Overview!B17,Workplace!$D$7:$D$27),(SUMIF(Workplace!$B$7:$D$27,Overview!B17,Workplace!$D$7:$D$27)*Workplace!$C$4))+IF(Integration!$C$3="Project",SUMIF(Integration!$B$7:$D$27,Overview!B17,Integration!$D$7:$D$27),(SUMIF(Integration!$B$7:$D$27,Overview!B17,Integration!$D$7:$D$27)*Integration!$C$4))+IF(Logistics!$C$3="Project",SUMIF(Logistics!$B$7:$D$27,Overview!B17,Logistics!$D$7:$D$27),(SUMIF(Logistics!$B$7:$D$27,Overview!B17,Logistics!$D$7:$D$27)*Logistics!$C$4))+IF('Service Desk'!$C$3="Project",SUMIF('Service Desk'!$B$7:$D$27,Overview!B17,'Service Desk'!$D$7:$D$27),(SUMIF('Service Desk'!$B$7:$D$27,Overview!B17,'Service Desk'!$D$7:$D$27)*'Service Desk'!$C$4))+IF('Pro Services'!$C$3="Project",SUMIF('Pro Services'!$B$7:$D$27,Overview!B17,'Pro Services'!$D$7:$D$27),(SUMIF('Pro Services'!$B$7:$D$27,Overview!B17,'Pro Services'!$D$7:$D$27)*'Pro Services'!$C$4))</f>
        <v>0</v>
      </c>
      <c r="D17" s="53">
        <f ca="1">IF(Startup!$C$3="Project",SUMIF(Startup!$B$7:$H$27,Overview!B17,Startup!$H$7:$H$27),(SUMIF(Startup!$B$7:$H$27,Overview!B17,Startup!$H$7:$H$27)*Startup!$C$4))+IF(Pilot!$C$3="Project",SUMIF(Pilot!$B$7:$H$27,Overview!B17,Pilot!$H$7:$H$27),(SUMIF(Pilot!$B$7:$H$27,Overview!B17,Pilot!$H$7:$H$27)*Pilot!$C$4))+IF(PMO!$C$3="Project",SUMIF(PMO!$B$7:$H$27,Overview!B17,PMO!$H$7:$H$27),(SUMIF(PMO!$B$7:$H$27,Overview!B17,PMO!$H$7:$H$27)*PMO!$C$4))+IF('Design &amp; Fulfillment'!$C$3="Project",SUMIF('Design &amp; Fulfillment'!$B$7:$H$27,Overview!B17,'Design &amp; Fulfillment'!$H$7:$H$27),(SUMIF('Design &amp; Fulfillment'!$B$7:$H$27,Overview!B17,'Design &amp; Fulfillment'!$H$7:$H$27)*'Design &amp; Fulfillment'!$C$4))+IF(Workplace!$C$3="Project",SUMIF(Workplace!$B$7:$H$27,Overview!B17,Workplace!$H$7:$H$27),(SUMIF(Workplace!$B$7:$H$27,Overview!B17,Workplace!$H$7:$H$27)*Workplace!$C$4))+IF(Integration!$C$3="Project",SUMIF(Integration!$B$7:$H$27,Overview!B17,Integration!$H$7:$H$27),(SUMIF(Integration!$B$7:$H$27,Overview!B17,Integration!$H$7:$H$27)*Integration!$C$4))+IF(Logistics!$C$3="Project",SUMIF(Logistics!$B$7:$H$27,Overview!B17,Logistics!$H$7:$H$27),(SUMIF(Logistics!$B$7:$H$27,Overview!B17,Logistics!$H$7:$H$27)*Logistics!$C$4))+IF('Service Desk'!$C$3="Project",SUMIF('Service Desk'!$B$7:$H$27,Overview!B17,'Service Desk'!$H$7:$H$27),(SUMIF('Service Desk'!$B$7:$H$27,Overview!B17,'Service Desk'!$H$7:$H$27)*'Service Desk'!$C$4))+IF('Pro Services'!$C$3="Project",SUMIF('Pro Services'!$B$7:$H$27,Overview!B17,'Pro Services'!$H$7:$H$27),(SUMIF('Pro Services'!$B$7:$H$27,Overview!B17,'Pro Services'!$H$7:$H$27)*'Pro Services'!$C$4))</f>
        <v>0</v>
      </c>
      <c r="E17" s="55">
        <f t="shared" ca="1" si="1"/>
        <v>0</v>
      </c>
      <c r="F17" s="314" t="str">
        <f ca="1">IF(D17=0,"N/A",Baseline!L24)</f>
        <v>N/A</v>
      </c>
      <c r="G17" s="314"/>
      <c r="H17" s="56">
        <f ca="1">C17/Baseline!$D$8</f>
        <v>0</v>
      </c>
      <c r="I17" s="53">
        <f ca="1">D17/Baseline!$D$8</f>
        <v>0</v>
      </c>
    </row>
    <row r="18" spans="2:160">
      <c r="B18" s="51" t="s">
        <v>142</v>
      </c>
      <c r="C18" s="52">
        <f ca="1">IF(Startup!$C$3="Project",SUMIF(Startup!$B$7:$D$27,Overview!B18,Startup!$D$7:$D$27),(SUMIF(Startup!$B$7:$D$27,Overview!B18,Startup!$D$7:$D$27)*Startup!$C$4))+IF(Pilot!$C$3="Project",SUMIF(Pilot!$B$7:$D$27,Overview!B18,Pilot!$D$7:$D$27),(SUMIF(Pilot!$B$7:$D$27,Overview!B18,Pilot!$D$7:$D$27)*Pilot!$C$4))+IF(PMO!$C$3="Project",SUMIF(PMO!$B$7:$D$27,Overview!B18,PMO!$D$7:$D$27),(SUMIF(PMO!$B$7:$D$27,Overview!B18,PMO!$D$7:$D$27)*PMO!$C$4))+IF('Design &amp; Fulfillment'!$C$3="Project",SUMIF('Design &amp; Fulfillment'!$B$7:$D$27,Overview!B18,'Design &amp; Fulfillment'!$D$7:$D$27),(SUMIF('Design &amp; Fulfillment'!$B$7:$D$27,Overview!B18,'Design &amp; Fulfillment'!$D$7:$D$27)*'Design &amp; Fulfillment'!$C$4))+IF(Workplace!$C$3="Project",SUMIF(Workplace!$B$7:$D$27,Overview!B18,Workplace!$D$7:$D$27),(SUMIF(Workplace!$B$7:$D$27,Overview!B18,Workplace!$D$7:$D$27)*Workplace!$C$4))+IF(Integration!$C$3="Project",SUMIF(Integration!$B$7:$D$27,Overview!B18,Integration!$D$7:$D$27),(SUMIF(Integration!$B$7:$D$27,Overview!B18,Integration!$D$7:$D$27)*Integration!$C$4))+IF(Logistics!$C$3="Project",SUMIF(Logistics!$B$7:$D$27,Overview!B18,Logistics!$D$7:$D$27),(SUMIF(Logistics!$B$7:$D$27,Overview!B18,Logistics!$D$7:$D$27)*Logistics!$C$4))+IF('Service Desk'!$C$3="Project",SUMIF('Service Desk'!$B$7:$D$27,Overview!B18,'Service Desk'!$D$7:$D$27),(SUMIF('Service Desk'!$B$7:$D$27,Overview!B18,'Service Desk'!$D$7:$D$27)*'Service Desk'!$C$4))+IF('Pro Services'!$C$3="Project",SUMIF('Pro Services'!$B$7:$D$27,Overview!B18,'Pro Services'!$D$7:$D$27),(SUMIF('Pro Services'!$B$7:$D$27,Overview!B18,'Pro Services'!$D$7:$D$27)*'Pro Services'!$C$4))</f>
        <v>0</v>
      </c>
      <c r="D18" s="53">
        <f ca="1">IF(Startup!$C$3="Project",SUMIF(Startup!$B$7:$H$27,Overview!B18,Startup!$H$7:$H$27),(SUMIF(Startup!$B$7:$H$27,Overview!B18,Startup!$H$7:$H$27)*Startup!$C$4))+IF(Pilot!$C$3="Project",SUMIF(Pilot!$B$7:$H$27,Overview!B18,Pilot!$H$7:$H$27),(SUMIF(Pilot!$B$7:$H$27,Overview!B18,Pilot!$H$7:$H$27)*Pilot!$C$4))+IF(PMO!$C$3="Project",SUMIF(PMO!$B$7:$H$27,Overview!B18,PMO!$H$7:$H$27),(SUMIF(PMO!$B$7:$H$27,Overview!B18,PMO!$H$7:$H$27)*PMO!$C$4))+IF('Design &amp; Fulfillment'!$C$3="Project",SUMIF('Design &amp; Fulfillment'!$B$7:$H$27,Overview!B18,'Design &amp; Fulfillment'!$H$7:$H$27),(SUMIF('Design &amp; Fulfillment'!$B$7:$H$27,Overview!B18,'Design &amp; Fulfillment'!$H$7:$H$27)*'Design &amp; Fulfillment'!$C$4))+IF(Workplace!$C$3="Project",SUMIF(Workplace!$B$7:$H$27,Overview!B18,Workplace!$H$7:$H$27),(SUMIF(Workplace!$B$7:$H$27,Overview!B18,Workplace!$H$7:$H$27)*Workplace!$C$4))+IF(Integration!$C$3="Project",SUMIF(Integration!$B$7:$H$27,Overview!B18,Integration!$H$7:$H$27),(SUMIF(Integration!$B$7:$H$27,Overview!B18,Integration!$H$7:$H$27)*Integration!$C$4))+IF(Logistics!$C$3="Project",SUMIF(Logistics!$B$7:$H$27,Overview!B18,Logistics!$H$7:$H$27),(SUMIF(Logistics!$B$7:$H$27,Overview!B18,Logistics!$H$7:$H$27)*Logistics!$C$4))+IF('Service Desk'!$C$3="Project",SUMIF('Service Desk'!$B$7:$H$27,Overview!B18,'Service Desk'!$H$7:$H$27),(SUMIF('Service Desk'!$B$7:$H$27,Overview!B18,'Service Desk'!$H$7:$H$27)*'Service Desk'!$C$4))+IF('Pro Services'!$C$3="Project",SUMIF('Pro Services'!$B$7:$H$27,Overview!B18,'Pro Services'!$H$7:$H$27),(SUMIF('Pro Services'!$B$7:$H$27,Overview!B18,'Pro Services'!$H$7:$H$27)*'Pro Services'!$C$4))</f>
        <v>0</v>
      </c>
      <c r="E18" s="55">
        <f t="shared" ca="1" si="1"/>
        <v>0</v>
      </c>
      <c r="F18" s="314" t="str">
        <f ca="1">IF(D18=0,"N/A",Baseline!J25)</f>
        <v>N/A</v>
      </c>
      <c r="G18" s="314"/>
      <c r="H18" s="56">
        <f ca="1">C18/Baseline!$D$8</f>
        <v>0</v>
      </c>
      <c r="I18" s="53">
        <f ca="1">D18/Baseline!$D$8</f>
        <v>0</v>
      </c>
    </row>
    <row r="19" spans="2:160">
      <c r="B19" s="51" t="s">
        <v>127</v>
      </c>
      <c r="C19" s="52">
        <f ca="1">IF(Startup!$C$3="Project",SUMIF(Startup!$B$7:$D$27,Overview!B19,Startup!$D$7:$D$27),(SUMIF(Startup!$B$7:$D$27,Overview!B19,Startup!$D$7:$D$27)*Startup!$C$4))+IF(Pilot!$C$3="Project",SUMIF(Pilot!$B$7:$D$27,Overview!B19,Pilot!$D$7:$D$27),(SUMIF(Pilot!$B$7:$D$27,Overview!B19,Pilot!$D$7:$D$27)*Pilot!$C$4))+IF(PMO!$C$3="Project",SUMIF(PMO!$B$7:$D$27,Overview!B19,PMO!$D$7:$D$27),(SUMIF(PMO!$B$7:$D$27,Overview!B19,PMO!$D$7:$D$27)*PMO!$C$4))+IF('Design &amp; Fulfillment'!$C$3="Project",SUMIF('Design &amp; Fulfillment'!$B$7:$D$27,Overview!B19,'Design &amp; Fulfillment'!$D$7:$D$27),(SUMIF('Design &amp; Fulfillment'!$B$7:$D$27,Overview!B19,'Design &amp; Fulfillment'!$D$7:$D$27)*'Design &amp; Fulfillment'!$C$4))+IF(Workplace!$C$3="Project",SUMIF(Workplace!$B$7:$D$27,Overview!B19,Workplace!$D$7:$D$27),(SUMIF(Workplace!$B$7:$D$27,Overview!B19,Workplace!$D$7:$D$27)*Workplace!$C$4))+IF(Integration!$C$3="Project",SUMIF(Integration!$B$7:$D$27,Overview!B19,Integration!$D$7:$D$27),(SUMIF(Integration!$B$7:$D$27,Overview!B19,Integration!$D$7:$D$27)*Integration!$C$4))+IF(Logistics!$C$3="Project",SUMIF(Logistics!$B$7:$D$27,Overview!B19,Logistics!$D$7:$D$27),(SUMIF(Logistics!$B$7:$D$27,Overview!B19,Logistics!$D$7:$D$27)*Logistics!$C$4))+IF('Service Desk'!$C$3="Project",SUMIF('Service Desk'!$B$7:$D$27,Overview!B19,'Service Desk'!$D$7:$D$27),(SUMIF('Service Desk'!$B$7:$D$27,Overview!B19,'Service Desk'!$D$7:$D$27)*'Service Desk'!$C$4))+IF('Pro Services'!$C$3="Project",SUMIF('Pro Services'!$B$7:$D$27,Overview!B19,'Pro Services'!$D$7:$D$27),(SUMIF('Pro Services'!$B$7:$D$27,Overview!B19,'Pro Services'!$D$7:$D$27)*'Pro Services'!$C$4))</f>
        <v>0</v>
      </c>
      <c r="D19" s="53">
        <f ca="1">IF(Startup!$C$3="Project",SUMIF(Startup!$B$7:$H$27,Overview!B19,Startup!$H$7:$H$27),(SUMIF(Startup!$B$7:$H$27,Overview!B19,Startup!$H$7:$H$27)*Startup!$C$4))+IF(Pilot!$C$3="Project",SUMIF(Pilot!$B$7:$H$27,Overview!B19,Pilot!$H$7:$H$27),(SUMIF(Pilot!$B$7:$H$27,Overview!B19,Pilot!$H$7:$H$27)*Pilot!$C$4))+IF(PMO!$C$3="Project",SUMIF(PMO!$B$7:$H$27,Overview!B19,PMO!$H$7:$H$27),(SUMIF(PMO!$B$7:$H$27,Overview!B19,PMO!$H$7:$H$27)*PMO!$C$4))+IF('Design &amp; Fulfillment'!$C$3="Project",SUMIF('Design &amp; Fulfillment'!$B$7:$H$27,Overview!B19,'Design &amp; Fulfillment'!$H$7:$H$27),(SUMIF('Design &amp; Fulfillment'!$B$7:$H$27,Overview!B19,'Design &amp; Fulfillment'!$H$7:$H$27)*'Design &amp; Fulfillment'!$C$4))+IF(Workplace!$C$3="Project",SUMIF(Workplace!$B$7:$H$27,Overview!B19,Workplace!$H$7:$H$27),(SUMIF(Workplace!$B$7:$H$27,Overview!B19,Workplace!$H$7:$H$27)*Workplace!$C$4))+IF(Integration!$C$3="Project",SUMIF(Integration!$B$7:$H$27,Overview!B19,Integration!$H$7:$H$27),(SUMIF(Integration!$B$7:$H$27,Overview!B19,Integration!$H$7:$H$27)*Integration!$C$4))+IF(Logistics!$C$3="Project",SUMIF(Logistics!$B$7:$H$27,Overview!B19,Logistics!$H$7:$H$27),(SUMIF(Logistics!$B$7:$H$27,Overview!B19,Logistics!$H$7:$H$27)*Logistics!$C$4))+IF('Service Desk'!$C$3="Project",SUMIF('Service Desk'!$B$7:$H$27,Overview!B19,'Service Desk'!$H$7:$H$27),(SUMIF('Service Desk'!$B$7:$H$27,Overview!B19,'Service Desk'!$H$7:$H$27)*'Service Desk'!$C$4))+IF('Pro Services'!$C$3="Project",SUMIF('Pro Services'!$B$7:$H$27,Overview!B19,'Pro Services'!$H$7:$H$27),(SUMIF('Pro Services'!$B$7:$H$27,Overview!B19,'Pro Services'!$H$7:$H$27)*'Pro Services'!$C$4))</f>
        <v>0</v>
      </c>
      <c r="E19" s="55">
        <f t="shared" ca="1" si="1"/>
        <v>0</v>
      </c>
      <c r="F19" s="316" t="str">
        <f ca="1">IF(D19=0,"N/A",Baseline!L25)</f>
        <v>N/A</v>
      </c>
      <c r="G19" s="317"/>
      <c r="H19" s="56">
        <f ca="1">C19/Baseline!$D$8</f>
        <v>0</v>
      </c>
      <c r="I19" s="53">
        <f ca="1">D19/Baseline!$D$8</f>
        <v>0</v>
      </c>
    </row>
    <row r="20" spans="2:160">
      <c r="B20" s="51" t="s">
        <v>103</v>
      </c>
      <c r="C20" s="52">
        <f ca="1">IF(Startup!$C$3="Project",SUMIF(Startup!$B$7:$D$27,Overview!B20,Startup!$D$7:$D$27),(SUMIF(Startup!$B$7:$D$27,Overview!B20,Startup!$D$7:$D$27)*Startup!$C$4))+IF(Pilot!$C$3="Project",SUMIF(Pilot!$B$7:$D$27,Overview!B20,Pilot!$D$7:$D$27),(SUMIF(Pilot!$B$7:$D$27,Overview!B20,Pilot!$D$7:$D$27)*Pilot!$C$4))+IF(PMO!$C$3="Project",SUMIF(PMO!$B$7:$D$27,Overview!B20,PMO!$D$7:$D$27),(SUMIF(PMO!$B$7:$D$27,Overview!B20,PMO!$D$7:$D$27)*PMO!$C$4))+IF('Design &amp; Fulfillment'!$C$3="Project",SUMIF('Design &amp; Fulfillment'!$B$7:$D$27,Overview!B20,'Design &amp; Fulfillment'!$D$7:$D$27),(SUMIF('Design &amp; Fulfillment'!$B$7:$D$27,Overview!B20,'Design &amp; Fulfillment'!$D$7:$D$27)*'Design &amp; Fulfillment'!$C$4))+IF(Workplace!$C$3="Project",SUMIF(Workplace!$B$7:$D$27,Overview!B20,Workplace!$D$7:$D$27),(SUMIF(Workplace!$B$7:$D$27,Overview!B20,Workplace!$D$7:$D$27)*Workplace!$C$4))+IF(Integration!$C$3="Project",SUMIF(Integration!$B$7:$D$27,Overview!B20,Integration!$D$7:$D$27),(SUMIF(Integration!$B$7:$D$27,Overview!B20,Integration!$D$7:$D$27)*Integration!$C$4))+IF(Logistics!$C$3="Project",SUMIF(Logistics!$B$7:$D$27,Overview!B20,Logistics!$D$7:$D$27),(SUMIF(Logistics!$B$7:$D$27,Overview!B20,Logistics!$D$7:$D$27)*Logistics!$C$4))+IF('Service Desk'!$C$3="Project",SUMIF('Service Desk'!$B$7:$D$27,Overview!B20,'Service Desk'!$D$7:$D$27),(SUMIF('Service Desk'!$B$7:$D$27,Overview!B20,'Service Desk'!$D$7:$D$27)*'Service Desk'!$C$4))+IF('Pro Services'!$C$3="Project",SUMIF('Pro Services'!$B$7:$D$27,Overview!B20,'Pro Services'!$D$7:$D$27),(SUMIF('Pro Services'!$B$7:$D$27,Overview!B20,'Pro Services'!$D$7:$D$27)*'Pro Services'!$C$4))</f>
        <v>520</v>
      </c>
      <c r="D20" s="53">
        <f ca="1">IF(Startup!$C$3="Project",SUMIF(Startup!$B$7:$H$27,Overview!B20,Startup!$H$7:$H$27),(SUMIF(Startup!$B$7:$H$27,Overview!B20,Startup!$H$7:$H$27)*Startup!$C$4))+IF(Pilot!$C$3="Project",SUMIF(Pilot!$B$7:$H$27,Overview!B20,Pilot!$H$7:$H$27),(SUMIF(Pilot!$B$7:$H$27,Overview!B20,Pilot!$H$7:$H$27)*Pilot!$C$4))+IF(PMO!$C$3="Project",SUMIF(PMO!$B$7:$H$27,Overview!B20,PMO!$H$7:$H$27),(SUMIF(PMO!$B$7:$H$27,Overview!B20,PMO!$H$7:$H$27)*PMO!$C$4))+IF('Design &amp; Fulfillment'!$C$3="Project",SUMIF('Design &amp; Fulfillment'!$B$7:$H$27,Overview!B20,'Design &amp; Fulfillment'!$H$7:$H$27),(SUMIF('Design &amp; Fulfillment'!$B$7:$H$27,Overview!B20,'Design &amp; Fulfillment'!$H$7:$H$27)*'Design &amp; Fulfillment'!$C$4))+IF(Workplace!$C$3="Project",SUMIF(Workplace!$B$7:$H$27,Overview!B20,Workplace!$H$7:$H$27),(SUMIF(Workplace!$B$7:$H$27,Overview!B20,Workplace!$H$7:$H$27)*Workplace!$C$4))+IF(Integration!$C$3="Project",SUMIF(Integration!$B$7:$H$27,Overview!B20,Integration!$H$7:$H$27),(SUMIF(Integration!$B$7:$H$27,Overview!B20,Integration!$H$7:$H$27)*Integration!$C$4))+IF(Logistics!$C$3="Project",SUMIF(Logistics!$B$7:$H$27,Overview!B20,Logistics!$H$7:$H$27),(SUMIF(Logistics!$B$7:$H$27,Overview!B20,Logistics!$H$7:$H$27)*Logistics!$C$4))+IF('Service Desk'!$C$3="Project",SUMIF('Service Desk'!$B$7:$H$27,Overview!B20,'Service Desk'!$H$7:$H$27),(SUMIF('Service Desk'!$B$7:$H$27,Overview!B20,'Service Desk'!$H$7:$H$27)*'Service Desk'!$C$4))+IF('Pro Services'!$C$3="Project",SUMIF('Pro Services'!$B$7:$H$27,Overview!B20,'Pro Services'!$H$7:$H$27),(SUMIF('Pro Services'!$B$7:$H$27,Overview!B20,'Pro Services'!$H$7:$H$27)*'Pro Services'!$C$4))</f>
        <v>14687</v>
      </c>
      <c r="E20" s="55">
        <f t="shared" ca="1" si="1"/>
        <v>0.88974374507784582</v>
      </c>
      <c r="F20" s="318"/>
      <c r="G20" s="319"/>
      <c r="H20" s="56">
        <f ca="1">C20/Baseline!$D$8</f>
        <v>520</v>
      </c>
      <c r="I20" s="53">
        <f ca="1">D20/Baseline!$D$8</f>
        <v>14687</v>
      </c>
    </row>
    <row r="21" spans="2:160">
      <c r="B21" s="51" t="s">
        <v>151</v>
      </c>
      <c r="C21" s="52">
        <f ca="1">IF(Startup!$C$3="Project",SUMIF(Startup!$B$7:$D$27,Overview!B21,Startup!$D$7:$D$27),(SUMIF(Startup!$B$7:$D$27,Overview!B21,Startup!$D$7:$D$27)*Startup!$C$4))+IF(Pilot!$C$3="Project",SUMIF(Pilot!$B$7:$D$27,Overview!B21,Pilot!$D$7:$D$27),(SUMIF(Pilot!$B$7:$D$27,Overview!B21,Pilot!$D$7:$D$27)*Pilot!$C$4))+IF(PMO!$C$3="Project",SUMIF(PMO!$B$7:$D$27,Overview!B21,PMO!$D$7:$D$27),(SUMIF(PMO!$B$7:$D$27,Overview!B21,PMO!$D$7:$D$27)*PMO!$C$4))+IF('Design &amp; Fulfillment'!$C$3="Project",SUMIF('Design &amp; Fulfillment'!$B$7:$D$27,Overview!B21,'Design &amp; Fulfillment'!$D$7:$D$27),(SUMIF('Design &amp; Fulfillment'!$B$7:$D$27,Overview!B21,'Design &amp; Fulfillment'!$D$7:$D$27)*'Design &amp; Fulfillment'!$C$4))+IF(Workplace!$C$3="Project",SUMIF(Workplace!$B$7:$D$27,Overview!B21,Workplace!$D$7:$D$27),(SUMIF(Workplace!$B$7:$D$27,Overview!B21,Workplace!$D$7:$D$27)*Workplace!$C$4))+IF(Integration!$C$3="Project",SUMIF(Integration!$B$7:$D$27,Overview!B21,Integration!$D$7:$D$27),(SUMIF(Integration!$B$7:$D$27,Overview!B21,Integration!$D$7:$D$27)*Integration!$C$4))+IF(Logistics!$C$3="Project",SUMIF(Logistics!$B$7:$D$27,Overview!B21,Logistics!$D$7:$D$27),(SUMIF(Logistics!$B$7:$D$27,Overview!B21,Logistics!$D$7:$D$27)*Logistics!$C$4))+IF('Service Desk'!$C$3="Project",SUMIF('Service Desk'!$B$7:$D$27,Overview!B21,'Service Desk'!$D$7:$D$27),(SUMIF('Service Desk'!$B$7:$D$27,Overview!B21,'Service Desk'!$D$7:$D$27)*'Service Desk'!$C$4))+IF('Pro Services'!$C$3="Project",SUMIF('Pro Services'!$B$7:$D$27,Overview!B21,'Pro Services'!$D$7:$D$27),(SUMIF('Pro Services'!$B$7:$D$27,Overview!B21,'Pro Services'!$D$7:$D$27)*'Pro Services'!$C$4))</f>
        <v>0</v>
      </c>
      <c r="D21" s="53">
        <f ca="1">IF(Startup!$C$3="Project",SUMIF(Startup!$B$7:$H$27,Overview!B21,Startup!$H$7:$H$27),(SUMIF(Startup!$B$7:$H$27,Overview!B21,Startup!$H$7:$H$27)*Startup!$C$4))+IF(Pilot!$C$3="Project",SUMIF(Pilot!$B$7:$H$27,Overview!B21,Pilot!$H$7:$H$27),(SUMIF(Pilot!$B$7:$H$27,Overview!B21,Pilot!$H$7:$H$27)*Pilot!$C$4))+IF(PMO!$C$3="Project",SUMIF(PMO!$B$7:$H$27,Overview!B21,PMO!$H$7:$H$27),(SUMIF(PMO!$B$7:$H$27,Overview!B21,PMO!$H$7:$H$27)*PMO!$C$4))+IF('Design &amp; Fulfillment'!$C$3="Project",SUMIF('Design &amp; Fulfillment'!$B$7:$H$27,Overview!B21,'Design &amp; Fulfillment'!$H$7:$H$27),(SUMIF('Design &amp; Fulfillment'!$B$7:$H$27,Overview!B21,'Design &amp; Fulfillment'!$H$7:$H$27)*'Design &amp; Fulfillment'!$C$4))+IF(Workplace!$C$3="Project",SUMIF(Workplace!$B$7:$H$27,Overview!B21,Workplace!$H$7:$H$27),(SUMIF(Workplace!$B$7:$H$27,Overview!B21,Workplace!$H$7:$H$27)*Workplace!$C$4))+IF(Integration!$C$3="Project",SUMIF(Integration!$B$7:$H$27,Overview!B21,Integration!$H$7:$H$27),(SUMIF(Integration!$B$7:$H$27,Overview!B21,Integration!$H$7:$H$27)*Integration!$C$4))+IF(Logistics!$C$3="Project",SUMIF(Logistics!$B$7:$H$27,Overview!B21,Logistics!$H$7:$H$27),(SUMIF(Logistics!$B$7:$H$27,Overview!B21,Logistics!$H$7:$H$27)*Logistics!$C$4))+IF('Service Desk'!$C$3="Project",SUMIF('Service Desk'!$B$7:$H$27,Overview!B21,'Service Desk'!$H$7:$H$27),(SUMIF('Service Desk'!$B$7:$H$27,Overview!B21,'Service Desk'!$H$7:$H$27)*'Service Desk'!$C$4))+IF('Pro Services'!$C$3="Project",SUMIF('Pro Services'!$B$7:$H$27,Overview!B21,'Pro Services'!$H$7:$H$27),(SUMIF('Pro Services'!$B$7:$H$27,Overview!B21,'Pro Services'!$H$7:$H$27)*'Pro Services'!$C$4))</f>
        <v>0</v>
      </c>
      <c r="E21" s="55">
        <f t="shared" ca="1" si="1"/>
        <v>0</v>
      </c>
      <c r="F21" s="314" t="s">
        <v>274</v>
      </c>
      <c r="G21" s="314"/>
      <c r="H21" s="56">
        <f ca="1">C21/Baseline!$D$8</f>
        <v>0</v>
      </c>
      <c r="I21" s="53">
        <f ca="1">D21/Baseline!$D$8</f>
        <v>0</v>
      </c>
    </row>
    <row r="22" spans="2:160">
      <c r="B22" s="51" t="s">
        <v>275</v>
      </c>
      <c r="C22" s="52" t="s">
        <v>274</v>
      </c>
      <c r="D22" s="53">
        <f>IF(Startup!C3="Project",Startup!H40,Startup!H40*Startup!C4)+IF(Pilot!C3="Project",Pilot!H40,Pilot!H40*Pilot!C4)+IF(PMO!C3="Project",PMO!H40,PMO!H40*PMO!C4)+IF('Design &amp; Fulfillment'!C3="Project",'Design &amp; Fulfillment'!H40,'Design &amp; Fulfillment'!H40*'Design &amp; Fulfillment'!C4)+IF(Workplace!C3="Project",Workplace!H40,Workplace!H40*Workplace!C4)+IF(Integration!C3="Project",Integration!H40,Integration!H40*Integration!C4)+IF(Logistics!C3="Project",Logistics!H40,Logistics!H40*Logistics!C4)+IF('Service Desk'!C3="Project",'Service Desk'!H40,'Service Desk'!H40*'Service Desk'!C4)+IF('Pro Services'!C3="Project",'Pro Services'!H40,'Pro Services'!H40*'Pro Services'!C4)</f>
        <v>0</v>
      </c>
      <c r="E22" s="55">
        <f t="shared" ca="1" si="1"/>
        <v>0</v>
      </c>
      <c r="F22" s="314" t="s">
        <v>274</v>
      </c>
      <c r="G22" s="314"/>
      <c r="H22" s="56" t="s">
        <v>274</v>
      </c>
      <c r="I22" s="53">
        <f>D22/Baseline!$D$8</f>
        <v>0</v>
      </c>
    </row>
    <row r="23" spans="2:160">
      <c r="B23" s="51" t="s">
        <v>276</v>
      </c>
      <c r="C23" s="52" t="s">
        <v>274</v>
      </c>
      <c r="D23" s="53">
        <f>IF(Startup!C3="Project",Startup!E52,Startup!E52*Startup!C4)+IF(Pilot!C3="Project",Pilot!E52,Pilot!E52*Pilot!C4)+IF(PMO!C3="Project",PMO!E52,PMO!E52*PMO!C4)+IF('Design &amp; Fulfillment'!C3="Project",'Design &amp; Fulfillment'!E52,'Design &amp; Fulfillment'!E52*'Design &amp; Fulfillment'!C4)+IF(Workplace!C3="Project",Workplace!E52,Workplace!E52*Workplace!C4)+IF(Integration!C3="Project",Integration!E52,Integration!E52*Integration!C4)+IF(Logistics!C3="Project",Logistics!E52,Logistics!E52*Logistics!C4)+IF('Service Desk'!C3="Project",'Service Desk'!E52,'Service Desk'!E52*'Service Desk'!C4)+IF('Pro Services'!C3="Project",'Pro Services'!E52,'Pro Services'!E52*'Pro Services'!C4)</f>
        <v>0</v>
      </c>
      <c r="E23" s="55">
        <f t="shared" ca="1" si="1"/>
        <v>0</v>
      </c>
      <c r="F23" s="314" t="s">
        <v>274</v>
      </c>
      <c r="G23" s="314"/>
      <c r="H23" s="56" t="s">
        <v>274</v>
      </c>
      <c r="I23" s="53">
        <f>D23/Baseline!$D$8</f>
        <v>0</v>
      </c>
    </row>
    <row r="24" spans="2:160">
      <c r="B24" s="51" t="s">
        <v>277</v>
      </c>
      <c r="C24" s="52" t="s">
        <v>274</v>
      </c>
      <c r="D24" s="53">
        <f>IF(Startup!C3="Project",Startup!E64,Startup!E64*Startup!C4)+IF(Pilot!C3="Project",Pilot!E64,Pilot!E64*Pilot!C4)+IF(PMO!C3="Project",PMO!E64,PMO!E64*PMO!C4)+IF('Design &amp; Fulfillment'!C3="Project",'Design &amp; Fulfillment'!E64,'Design &amp; Fulfillment'!E64*'Design &amp; Fulfillment'!C4)+IF(Workplace!C3="Project",Workplace!E64,Workplace!E64*Workplace!C4)+IF(Integration!C3="Project",Integration!E64,Integration!E64*Integration!C4)+IF(Logistics!C3="Project",Logistics!E64,Logistics!E64*Logistics!C4)+IF('Service Desk'!C3="Project",'Service Desk'!E64,'Service Desk'!E64*'Service Desk'!C4)+IF('Pro Services'!C3="Project",'Pro Services'!E64,'Pro Services'!E64*'Pro Services'!C4)+IF(Baseline!C23="Yes",Baseline!E23,0)</f>
        <v>400</v>
      </c>
      <c r="E24" s="55">
        <f t="shared" ca="1" si="1"/>
        <v>2.4232143938934997E-2</v>
      </c>
      <c r="F24" s="314" t="s">
        <v>274</v>
      </c>
      <c r="G24" s="314"/>
      <c r="H24" s="56" t="s">
        <v>274</v>
      </c>
      <c r="I24" s="53">
        <f>D24/Baseline!$D$8</f>
        <v>400</v>
      </c>
    </row>
    <row r="25" spans="2:160">
      <c r="B25" s="65" t="s">
        <v>278</v>
      </c>
      <c r="C25" s="54">
        <f ca="1">SUM(C13:C24)</f>
        <v>662</v>
      </c>
      <c r="D25" s="8">
        <f ca="1">SUM(D13:D24)</f>
        <v>16507</v>
      </c>
      <c r="E25" s="8"/>
      <c r="F25" s="315"/>
      <c r="G25" s="315"/>
      <c r="H25" s="57" t="s">
        <v>274</v>
      </c>
      <c r="I25" s="8">
        <f ca="1">SUM(I13:I24)</f>
        <v>16507</v>
      </c>
    </row>
    <row r="27" spans="2:160">
      <c r="B27" s="7" t="s">
        <v>279</v>
      </c>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row>
    <row r="28" spans="2:160">
      <c r="B28" s="4" t="s">
        <v>280</v>
      </c>
      <c r="C28" s="4" t="s">
        <v>281</v>
      </c>
      <c r="D28" s="4" t="s">
        <v>282</v>
      </c>
      <c r="E28" s="50" t="str">
        <f>IF(C6="","FALSE",C6)</f>
        <v>FALSE</v>
      </c>
      <c r="F28" s="50" t="str">
        <f>IFERROR(IF(E28+7&lt;=$C$7,E28+7,"FALSE"),"FALSE")</f>
        <v>FALSE</v>
      </c>
      <c r="G28" s="50" t="str">
        <f t="shared" ref="G28:O28" si="2">IFERROR(IF(F28+7&lt;=$C$7,F28+7,"FALSE"),"FALSE")</f>
        <v>FALSE</v>
      </c>
      <c r="H28" s="50" t="str">
        <f t="shared" si="2"/>
        <v>FALSE</v>
      </c>
      <c r="I28" s="50" t="str">
        <f t="shared" si="2"/>
        <v>FALSE</v>
      </c>
      <c r="J28" s="50" t="str">
        <f t="shared" si="2"/>
        <v>FALSE</v>
      </c>
      <c r="K28" s="50" t="str">
        <f>IFERROR(IF(J28+7&lt;=$C$7,J28+7,"FALSE"),"FALSE")</f>
        <v>FALSE</v>
      </c>
      <c r="L28" s="50" t="str">
        <f t="shared" si="2"/>
        <v>FALSE</v>
      </c>
      <c r="M28" s="50" t="str">
        <f t="shared" si="2"/>
        <v>FALSE</v>
      </c>
      <c r="N28" s="50" t="str">
        <f t="shared" si="2"/>
        <v>FALSE</v>
      </c>
      <c r="O28" s="50" t="str">
        <f t="shared" si="2"/>
        <v>FALSE</v>
      </c>
      <c r="P28" s="50" t="str">
        <f t="shared" ref="P28:AE28" si="3">IFERROR(IF(O28+7&lt;=$C$7,O28+7,"FALSE"),"FALSE")</f>
        <v>FALSE</v>
      </c>
      <c r="Q28" s="50" t="str">
        <f t="shared" si="3"/>
        <v>FALSE</v>
      </c>
      <c r="R28" s="50" t="str">
        <f t="shared" si="3"/>
        <v>FALSE</v>
      </c>
      <c r="S28" s="50" t="str">
        <f t="shared" si="3"/>
        <v>FALSE</v>
      </c>
      <c r="T28" s="50" t="str">
        <f t="shared" si="3"/>
        <v>FALSE</v>
      </c>
      <c r="U28" s="50" t="str">
        <f t="shared" si="3"/>
        <v>FALSE</v>
      </c>
      <c r="V28" s="50" t="str">
        <f t="shared" si="3"/>
        <v>FALSE</v>
      </c>
      <c r="W28" s="50" t="str">
        <f t="shared" si="3"/>
        <v>FALSE</v>
      </c>
      <c r="X28" s="50" t="str">
        <f t="shared" si="3"/>
        <v>FALSE</v>
      </c>
      <c r="Y28" s="50" t="str">
        <f t="shared" si="3"/>
        <v>FALSE</v>
      </c>
      <c r="Z28" s="50" t="str">
        <f t="shared" si="3"/>
        <v>FALSE</v>
      </c>
      <c r="AA28" s="50" t="str">
        <f t="shared" si="3"/>
        <v>FALSE</v>
      </c>
      <c r="AB28" s="50" t="str">
        <f t="shared" si="3"/>
        <v>FALSE</v>
      </c>
      <c r="AC28" s="50" t="str">
        <f t="shared" si="3"/>
        <v>FALSE</v>
      </c>
      <c r="AD28" s="50" t="str">
        <f t="shared" si="3"/>
        <v>FALSE</v>
      </c>
      <c r="AE28" s="50" t="str">
        <f t="shared" si="3"/>
        <v>FALSE</v>
      </c>
      <c r="AF28" s="50" t="str">
        <f t="shared" ref="AF28:AW28" si="4">IFERROR(IF(AE28+7&lt;=$C$7,AE28+7,"FALSE"),"FALSE")</f>
        <v>FALSE</v>
      </c>
      <c r="AG28" s="50" t="str">
        <f t="shared" si="4"/>
        <v>FALSE</v>
      </c>
      <c r="AH28" s="50" t="str">
        <f t="shared" si="4"/>
        <v>FALSE</v>
      </c>
      <c r="AI28" s="50" t="str">
        <f t="shared" si="4"/>
        <v>FALSE</v>
      </c>
      <c r="AJ28" s="50" t="str">
        <f t="shared" si="4"/>
        <v>FALSE</v>
      </c>
      <c r="AK28" s="50" t="str">
        <f t="shared" si="4"/>
        <v>FALSE</v>
      </c>
      <c r="AL28" s="50" t="str">
        <f t="shared" si="4"/>
        <v>FALSE</v>
      </c>
      <c r="AM28" s="50" t="str">
        <f t="shared" si="4"/>
        <v>FALSE</v>
      </c>
      <c r="AN28" s="50" t="str">
        <f t="shared" si="4"/>
        <v>FALSE</v>
      </c>
      <c r="AO28" s="50" t="str">
        <f t="shared" si="4"/>
        <v>FALSE</v>
      </c>
      <c r="AP28" s="50" t="str">
        <f t="shared" si="4"/>
        <v>FALSE</v>
      </c>
      <c r="AQ28" s="50" t="str">
        <f t="shared" si="4"/>
        <v>FALSE</v>
      </c>
      <c r="AR28" s="50" t="str">
        <f t="shared" si="4"/>
        <v>FALSE</v>
      </c>
      <c r="AS28" s="50" t="str">
        <f t="shared" si="4"/>
        <v>FALSE</v>
      </c>
      <c r="AT28" s="50" t="str">
        <f t="shared" si="4"/>
        <v>FALSE</v>
      </c>
      <c r="AU28" s="50" t="str">
        <f t="shared" si="4"/>
        <v>FALSE</v>
      </c>
      <c r="AV28" s="50" t="str">
        <f t="shared" si="4"/>
        <v>FALSE</v>
      </c>
      <c r="AW28" s="50" t="str">
        <f t="shared" si="4"/>
        <v>FALSE</v>
      </c>
      <c r="AX28" s="50" t="str">
        <f t="shared" ref="AX28:BE28" si="5">IFERROR(IF(AW28+7&lt;=$C$7,AW28+7,"FALSE"),"FALSE")</f>
        <v>FALSE</v>
      </c>
      <c r="AY28" s="50" t="str">
        <f t="shared" si="5"/>
        <v>FALSE</v>
      </c>
      <c r="AZ28" s="50" t="str">
        <f t="shared" si="5"/>
        <v>FALSE</v>
      </c>
      <c r="BA28" s="50" t="str">
        <f t="shared" si="5"/>
        <v>FALSE</v>
      </c>
      <c r="BB28" s="50" t="str">
        <f t="shared" si="5"/>
        <v>FALSE</v>
      </c>
      <c r="BC28" s="50" t="str">
        <f t="shared" si="5"/>
        <v>FALSE</v>
      </c>
      <c r="BD28" s="50" t="str">
        <f t="shared" si="5"/>
        <v>FALSE</v>
      </c>
      <c r="BE28" s="50" t="str">
        <f t="shared" si="5"/>
        <v>FALSE</v>
      </c>
      <c r="BF28" s="50" t="str">
        <f t="shared" ref="BF28:CE28" si="6">IFERROR(IF(BE28+7&lt;=$C$7,BE28+7,"FALSE"),"FALSE")</f>
        <v>FALSE</v>
      </c>
      <c r="BG28" s="50" t="str">
        <f t="shared" si="6"/>
        <v>FALSE</v>
      </c>
      <c r="BH28" s="50" t="str">
        <f t="shared" si="6"/>
        <v>FALSE</v>
      </c>
      <c r="BI28" s="50" t="str">
        <f t="shared" si="6"/>
        <v>FALSE</v>
      </c>
      <c r="BJ28" s="50" t="str">
        <f t="shared" si="6"/>
        <v>FALSE</v>
      </c>
      <c r="BK28" s="50" t="str">
        <f t="shared" si="6"/>
        <v>FALSE</v>
      </c>
      <c r="BL28" s="50" t="str">
        <f t="shared" si="6"/>
        <v>FALSE</v>
      </c>
      <c r="BM28" s="50" t="str">
        <f t="shared" si="6"/>
        <v>FALSE</v>
      </c>
      <c r="BN28" s="50" t="str">
        <f t="shared" si="6"/>
        <v>FALSE</v>
      </c>
      <c r="BO28" s="50" t="str">
        <f t="shared" si="6"/>
        <v>FALSE</v>
      </c>
      <c r="BP28" s="50" t="str">
        <f t="shared" si="6"/>
        <v>FALSE</v>
      </c>
      <c r="BQ28" s="50" t="str">
        <f t="shared" si="6"/>
        <v>FALSE</v>
      </c>
      <c r="BR28" s="50" t="str">
        <f t="shared" si="6"/>
        <v>FALSE</v>
      </c>
      <c r="BS28" s="50" t="str">
        <f t="shared" si="6"/>
        <v>FALSE</v>
      </c>
      <c r="BT28" s="50" t="str">
        <f t="shared" si="6"/>
        <v>FALSE</v>
      </c>
      <c r="BU28" s="50" t="str">
        <f t="shared" si="6"/>
        <v>FALSE</v>
      </c>
      <c r="BV28" s="50" t="str">
        <f t="shared" si="6"/>
        <v>FALSE</v>
      </c>
      <c r="BW28" s="50" t="str">
        <f t="shared" si="6"/>
        <v>FALSE</v>
      </c>
      <c r="BX28" s="50" t="str">
        <f t="shared" si="6"/>
        <v>FALSE</v>
      </c>
      <c r="BY28" s="50" t="str">
        <f t="shared" si="6"/>
        <v>FALSE</v>
      </c>
      <c r="BZ28" s="50" t="str">
        <f t="shared" si="6"/>
        <v>FALSE</v>
      </c>
      <c r="CA28" s="50" t="str">
        <f t="shared" si="6"/>
        <v>FALSE</v>
      </c>
      <c r="CB28" s="50" t="str">
        <f t="shared" si="6"/>
        <v>FALSE</v>
      </c>
      <c r="CC28" s="50" t="str">
        <f t="shared" si="6"/>
        <v>FALSE</v>
      </c>
      <c r="CD28" s="50" t="str">
        <f t="shared" si="6"/>
        <v>FALSE</v>
      </c>
      <c r="CE28" s="50" t="str">
        <f t="shared" si="6"/>
        <v>FALSE</v>
      </c>
      <c r="CF28" s="50" t="str">
        <f t="shared" ref="CF28:EQ28" si="7">IFERROR(IF(CE28+7&lt;=$C$7,CE28+7,"FALSE"),"FALSE")</f>
        <v>FALSE</v>
      </c>
      <c r="CG28" s="50" t="str">
        <f t="shared" si="7"/>
        <v>FALSE</v>
      </c>
      <c r="CH28" s="50" t="str">
        <f t="shared" si="7"/>
        <v>FALSE</v>
      </c>
      <c r="CI28" s="50" t="str">
        <f t="shared" si="7"/>
        <v>FALSE</v>
      </c>
      <c r="CJ28" s="50" t="str">
        <f t="shared" si="7"/>
        <v>FALSE</v>
      </c>
      <c r="CK28" s="50" t="str">
        <f t="shared" si="7"/>
        <v>FALSE</v>
      </c>
      <c r="CL28" s="50" t="str">
        <f t="shared" si="7"/>
        <v>FALSE</v>
      </c>
      <c r="CM28" s="50" t="str">
        <f t="shared" si="7"/>
        <v>FALSE</v>
      </c>
      <c r="CN28" s="50" t="str">
        <f t="shared" si="7"/>
        <v>FALSE</v>
      </c>
      <c r="CO28" s="50" t="str">
        <f t="shared" si="7"/>
        <v>FALSE</v>
      </c>
      <c r="CP28" s="50" t="str">
        <f t="shared" si="7"/>
        <v>FALSE</v>
      </c>
      <c r="CQ28" s="50" t="str">
        <f t="shared" si="7"/>
        <v>FALSE</v>
      </c>
      <c r="CR28" s="50" t="str">
        <f t="shared" si="7"/>
        <v>FALSE</v>
      </c>
      <c r="CS28" s="50" t="str">
        <f t="shared" si="7"/>
        <v>FALSE</v>
      </c>
      <c r="CT28" s="50" t="str">
        <f t="shared" si="7"/>
        <v>FALSE</v>
      </c>
      <c r="CU28" s="50" t="str">
        <f t="shared" si="7"/>
        <v>FALSE</v>
      </c>
      <c r="CV28" s="50" t="str">
        <f t="shared" si="7"/>
        <v>FALSE</v>
      </c>
      <c r="CW28" s="50" t="str">
        <f t="shared" si="7"/>
        <v>FALSE</v>
      </c>
      <c r="CX28" s="50" t="str">
        <f t="shared" si="7"/>
        <v>FALSE</v>
      </c>
      <c r="CY28" s="50" t="str">
        <f t="shared" si="7"/>
        <v>FALSE</v>
      </c>
      <c r="CZ28" s="50" t="str">
        <f t="shared" si="7"/>
        <v>FALSE</v>
      </c>
      <c r="DA28" s="50" t="str">
        <f>IFERROR(IF(CZ28+7&lt;=$C$7,CZ28+7,"FALSE"),"FALSE")</f>
        <v>FALSE</v>
      </c>
      <c r="DB28" s="50" t="str">
        <f t="shared" si="7"/>
        <v>FALSE</v>
      </c>
      <c r="DC28" s="50" t="str">
        <f t="shared" si="7"/>
        <v>FALSE</v>
      </c>
      <c r="DD28" s="50" t="str">
        <f t="shared" si="7"/>
        <v>FALSE</v>
      </c>
      <c r="DE28" s="50" t="str">
        <f t="shared" si="7"/>
        <v>FALSE</v>
      </c>
      <c r="DF28" s="50" t="str">
        <f t="shared" si="7"/>
        <v>FALSE</v>
      </c>
      <c r="DG28" s="50" t="str">
        <f t="shared" si="7"/>
        <v>FALSE</v>
      </c>
      <c r="DH28" s="50" t="str">
        <f t="shared" si="7"/>
        <v>FALSE</v>
      </c>
      <c r="DI28" s="50" t="str">
        <f t="shared" si="7"/>
        <v>FALSE</v>
      </c>
      <c r="DJ28" s="50" t="str">
        <f t="shared" si="7"/>
        <v>FALSE</v>
      </c>
      <c r="DK28" s="50" t="str">
        <f t="shared" si="7"/>
        <v>FALSE</v>
      </c>
      <c r="DL28" s="50" t="str">
        <f t="shared" si="7"/>
        <v>FALSE</v>
      </c>
      <c r="DM28" s="50" t="str">
        <f t="shared" si="7"/>
        <v>FALSE</v>
      </c>
      <c r="DN28" s="50" t="str">
        <f t="shared" si="7"/>
        <v>FALSE</v>
      </c>
      <c r="DO28" s="50" t="str">
        <f t="shared" si="7"/>
        <v>FALSE</v>
      </c>
      <c r="DP28" s="50" t="str">
        <f t="shared" si="7"/>
        <v>FALSE</v>
      </c>
      <c r="DQ28" s="50" t="str">
        <f t="shared" si="7"/>
        <v>FALSE</v>
      </c>
      <c r="DR28" s="50" t="str">
        <f t="shared" si="7"/>
        <v>FALSE</v>
      </c>
      <c r="DS28" s="50" t="str">
        <f t="shared" si="7"/>
        <v>FALSE</v>
      </c>
      <c r="DT28" s="50" t="str">
        <f t="shared" si="7"/>
        <v>FALSE</v>
      </c>
      <c r="DU28" s="50" t="str">
        <f t="shared" si="7"/>
        <v>FALSE</v>
      </c>
      <c r="DV28" s="50" t="str">
        <f t="shared" si="7"/>
        <v>FALSE</v>
      </c>
      <c r="DW28" s="50" t="str">
        <f t="shared" si="7"/>
        <v>FALSE</v>
      </c>
      <c r="DX28" s="50" t="str">
        <f t="shared" si="7"/>
        <v>FALSE</v>
      </c>
      <c r="DY28" s="50" t="str">
        <f t="shared" si="7"/>
        <v>FALSE</v>
      </c>
      <c r="DZ28" s="50" t="str">
        <f t="shared" si="7"/>
        <v>FALSE</v>
      </c>
      <c r="EA28" s="50" t="str">
        <f t="shared" si="7"/>
        <v>FALSE</v>
      </c>
      <c r="EB28" s="50" t="str">
        <f t="shared" si="7"/>
        <v>FALSE</v>
      </c>
      <c r="EC28" s="50" t="str">
        <f t="shared" si="7"/>
        <v>FALSE</v>
      </c>
      <c r="ED28" s="50" t="str">
        <f t="shared" si="7"/>
        <v>FALSE</v>
      </c>
      <c r="EE28" s="50" t="str">
        <f t="shared" si="7"/>
        <v>FALSE</v>
      </c>
      <c r="EF28" s="50" t="str">
        <f t="shared" si="7"/>
        <v>FALSE</v>
      </c>
      <c r="EG28" s="50" t="str">
        <f t="shared" si="7"/>
        <v>FALSE</v>
      </c>
      <c r="EH28" s="50" t="str">
        <f t="shared" si="7"/>
        <v>FALSE</v>
      </c>
      <c r="EI28" s="50" t="str">
        <f t="shared" si="7"/>
        <v>FALSE</v>
      </c>
      <c r="EJ28" s="50" t="str">
        <f t="shared" si="7"/>
        <v>FALSE</v>
      </c>
      <c r="EK28" s="50" t="str">
        <f t="shared" si="7"/>
        <v>FALSE</v>
      </c>
      <c r="EL28" s="50" t="str">
        <f t="shared" si="7"/>
        <v>FALSE</v>
      </c>
      <c r="EM28" s="50" t="str">
        <f t="shared" si="7"/>
        <v>FALSE</v>
      </c>
      <c r="EN28" s="50" t="str">
        <f t="shared" si="7"/>
        <v>FALSE</v>
      </c>
      <c r="EO28" s="50" t="str">
        <f t="shared" si="7"/>
        <v>FALSE</v>
      </c>
      <c r="EP28" s="50" t="str">
        <f t="shared" si="7"/>
        <v>FALSE</v>
      </c>
      <c r="EQ28" s="50" t="str">
        <f t="shared" si="7"/>
        <v>FALSE</v>
      </c>
      <c r="ER28" s="50" t="str">
        <f t="shared" ref="ER28:FD28" si="8">IFERROR(IF(EQ28+7&lt;=$C$7,EQ28+7,"FALSE"),"FALSE")</f>
        <v>FALSE</v>
      </c>
      <c r="ES28" s="50" t="str">
        <f t="shared" si="8"/>
        <v>FALSE</v>
      </c>
      <c r="ET28" s="50" t="str">
        <f t="shared" si="8"/>
        <v>FALSE</v>
      </c>
      <c r="EU28" s="50" t="str">
        <f t="shared" si="8"/>
        <v>FALSE</v>
      </c>
      <c r="EV28" s="50" t="str">
        <f t="shared" si="8"/>
        <v>FALSE</v>
      </c>
      <c r="EW28" s="50" t="str">
        <f t="shared" si="8"/>
        <v>FALSE</v>
      </c>
      <c r="EX28" s="50" t="str">
        <f t="shared" si="8"/>
        <v>FALSE</v>
      </c>
      <c r="EY28" s="50" t="str">
        <f t="shared" si="8"/>
        <v>FALSE</v>
      </c>
      <c r="EZ28" s="50" t="str">
        <f t="shared" si="8"/>
        <v>FALSE</v>
      </c>
      <c r="FA28" s="50" t="str">
        <f t="shared" si="8"/>
        <v>FALSE</v>
      </c>
      <c r="FB28" s="50" t="str">
        <f t="shared" si="8"/>
        <v>FALSE</v>
      </c>
      <c r="FC28" s="50" t="str">
        <f t="shared" si="8"/>
        <v>FALSE</v>
      </c>
      <c r="FD28" s="50" t="str">
        <f t="shared" si="8"/>
        <v>FALSE</v>
      </c>
    </row>
    <row r="29" spans="2:160">
      <c r="B29" s="51" t="s">
        <v>104</v>
      </c>
      <c r="C29" s="52">
        <f ca="1">IF(Startup!$C$3="Project",SUMIF(Startup!$C$7:$D$27,Overview!B29,Startup!$D$7:$D$27),(SUMIF(Startup!$C$7:$D$27,Overview!B29,Startup!$D$7:$D$27)*Startup!$C$4))+IF(Pilot!$C$3="Project",SUMIF(Pilot!$C$7:$D$27,Overview!B29,Pilot!$D$7:$D$27),(SUMIF(Pilot!$C$7:$D$27,Overview!B29,Pilot!$D$7:$D$27)*Pilot!$C$4))+IF(PMO!$C$3="Project",SUMIF(PMO!$C$7:$D$27,Overview!B29,PMO!$D$7:$D$27),(SUMIF(PMO!$C$7:$D$27,Overview!B29,PMO!$D$7:$D$27)*PMO!$C$4))+IF('Design &amp; Fulfillment'!$C$3="Project",SUMIF('Design &amp; Fulfillment'!$C$7:$D$27,Overview!B29,'Design &amp; Fulfillment'!$D$7:$D$27),(SUMIF('Design &amp; Fulfillment'!$C$7:$D$27,Overview!B29,'Design &amp; Fulfillment'!$D$7:$D$27)*'Design &amp; Fulfillment'!$C$4))+IF(Workplace!$C$3="Project",SUMIF(Workplace!$C$7:$D$27,Overview!B29,Workplace!$D$7:$D$27),(SUMIF(Workplace!$C$7:$D$27,Overview!B29,Workplace!$D$7:$D$27)*Workplace!$C$4))+IF(Integration!$C$3="Project",SUMIF(Integration!$C$7:$D$27,Overview!B29,Integration!$D$7:$D$27),(SUMIF(Integration!$C$7:$D$27,Overview!B29,Integration!$D$7:$D$27)*Integration!$C$4))+IF(Logistics!$C$3="Project",SUMIF(Logistics!$C$7:$D$27,Overview!B29,Logistics!$D$7:$D$27),(SUMIF(Logistics!$C$7:$D$27,Overview!B29,Logistics!$D$7:$D$27)*Logistics!$C$4))+IF('Service Desk'!$C$3="Project",SUMIF('Service Desk'!$C$7:$D$27,Overview!B29,'Service Desk'!$D$7:$D$27),(SUMIF('Service Desk'!$C$7:$D$27,Overview!B29,'Service Desk'!$D$7:$D$27)*'Service Desk'!$C$4))+IF('Pro Services'!$C$3="Project",SUMIF('Pro Services'!$C$7:$D$27,Overview!B29,'Pro Services'!$D$7:$D$27),(SUMIF('Pro Services'!$C$7:$D$27,Overview!B29,'Pro Services'!$D$7:$D$27)*'Pro Services'!$C$4))</f>
        <v>0</v>
      </c>
      <c r="D29" s="53">
        <f ca="1">IF(Startup!$C$3="Project",SUMIF(Startup!$C$7:$H$27,Overview!B29,Startup!$H$7:$H$27),(SUMIF(Startup!$C$7:$H$27,Overview!B29,Startup!$H$7:$H$27)*Startup!$C$4))+IF(Pilot!$C$3="Project",SUMIF(Pilot!$C$7:$H$27,Overview!B29,Pilot!$H$7:$H$27),(SUMIF(Pilot!$C$7:$H$27,Overview!B29,Pilot!$H$7:$H$27)*Pilot!$C$4))+IF(PMO!$C$3="Project",SUMIF(PMO!$C$7:$H$27,Overview!B29,PMO!$H$7:$H$27),(SUMIF(PMO!$C$7:$H$27,Overview!B29,PMO!$H$7:$H$27)*PMO!$C$4))+IF('Design &amp; Fulfillment'!$C$3="Project",SUMIF('Design &amp; Fulfillment'!$C$7:$H$27,Overview!B29,'Design &amp; Fulfillment'!$H$7:$H$27),(SUMIF('Design &amp; Fulfillment'!$C$7:$H$27,Overview!B29,'Design &amp; Fulfillment'!$H$7:$H$27)*'Design &amp; Fulfillment'!$C$4))+IF(Workplace!$C$3="Project",SUMIF(Workplace!$C$7:$H$27,Overview!B29,Workplace!$H$7:$H$27),(SUMIF(Workplace!$C$7:$H$27,Overview!B29,Workplace!$H$7:$H$27)*Workplace!$C$4))+IF(Integration!$C$3="Project",SUMIF(Integration!$C$7:$H$27,Overview!B29,Integration!$H$7:$H$27),(SUMIF(Integration!$C$7:$H$27,Overview!B29,Integration!$H$7:$H$27)*Integration!$C$4))+IF(Logistics!$C$3="Project",SUMIF(Logistics!$C$7:$H$27,Overview!B29,Logistics!$H$7:$H$27),(SUMIF(Logistics!$C$7:$H$27,Overview!B29,Logistics!$H$7:$H$27)*Logistics!$C$4))+IF('Service Desk'!$C$3="Project",SUMIF('Service Desk'!$C$7:$H$27,Overview!B29,'Service Desk'!$H$7:$H$27),(SUMIF('Service Desk'!$C$7:$H$27,Overview!B29,'Service Desk'!$H$7:$H$27)*'Service Desk'!$C$4))+IF('Pro Services'!$C$3="Project",SUMIF('Pro Services'!$C$7:$H$27,Overview!B29,'Pro Services'!$H$7:$H$27),(SUMIF('Pro Services'!$C$7:$H$27,Overview!B29,'Pro Services'!$H$7:$H$27)*'Pro Services'!$C$4))</f>
        <v>0</v>
      </c>
      <c r="E29" s="52">
        <f ca="1">IFERROR(C29/$C$8,0)</f>
        <v>0</v>
      </c>
      <c r="F29" s="52">
        <f t="shared" ref="F29:AK29" si="9">IFERROR(IF(F$28="FALSE",0,$C$29/$C$8),0)</f>
        <v>0</v>
      </c>
      <c r="G29" s="52">
        <f t="shared" si="9"/>
        <v>0</v>
      </c>
      <c r="H29" s="52">
        <f t="shared" si="9"/>
        <v>0</v>
      </c>
      <c r="I29" s="52">
        <f t="shared" si="9"/>
        <v>0</v>
      </c>
      <c r="J29" s="52">
        <f t="shared" si="9"/>
        <v>0</v>
      </c>
      <c r="K29" s="52">
        <f t="shared" si="9"/>
        <v>0</v>
      </c>
      <c r="L29" s="52">
        <f t="shared" si="9"/>
        <v>0</v>
      </c>
      <c r="M29" s="52">
        <f t="shared" si="9"/>
        <v>0</v>
      </c>
      <c r="N29" s="52">
        <f t="shared" si="9"/>
        <v>0</v>
      </c>
      <c r="O29" s="52">
        <f t="shared" si="9"/>
        <v>0</v>
      </c>
      <c r="P29" s="52">
        <f t="shared" si="9"/>
        <v>0</v>
      </c>
      <c r="Q29" s="52">
        <f t="shared" si="9"/>
        <v>0</v>
      </c>
      <c r="R29" s="52">
        <f t="shared" si="9"/>
        <v>0</v>
      </c>
      <c r="S29" s="52">
        <f t="shared" si="9"/>
        <v>0</v>
      </c>
      <c r="T29" s="52">
        <f t="shared" si="9"/>
        <v>0</v>
      </c>
      <c r="U29" s="52">
        <f t="shared" si="9"/>
        <v>0</v>
      </c>
      <c r="V29" s="52">
        <f t="shared" si="9"/>
        <v>0</v>
      </c>
      <c r="W29" s="52">
        <f t="shared" si="9"/>
        <v>0</v>
      </c>
      <c r="X29" s="52">
        <f t="shared" si="9"/>
        <v>0</v>
      </c>
      <c r="Y29" s="52">
        <f t="shared" si="9"/>
        <v>0</v>
      </c>
      <c r="Z29" s="52">
        <f t="shared" si="9"/>
        <v>0</v>
      </c>
      <c r="AA29" s="52">
        <f t="shared" si="9"/>
        <v>0</v>
      </c>
      <c r="AB29" s="52">
        <f t="shared" si="9"/>
        <v>0</v>
      </c>
      <c r="AC29" s="52">
        <f t="shared" si="9"/>
        <v>0</v>
      </c>
      <c r="AD29" s="52">
        <f t="shared" si="9"/>
        <v>0</v>
      </c>
      <c r="AE29" s="52">
        <f t="shared" si="9"/>
        <v>0</v>
      </c>
      <c r="AF29" s="52">
        <f t="shared" si="9"/>
        <v>0</v>
      </c>
      <c r="AG29" s="52">
        <f t="shared" si="9"/>
        <v>0</v>
      </c>
      <c r="AH29" s="52">
        <f t="shared" si="9"/>
        <v>0</v>
      </c>
      <c r="AI29" s="52">
        <f t="shared" si="9"/>
        <v>0</v>
      </c>
      <c r="AJ29" s="52">
        <f t="shared" si="9"/>
        <v>0</v>
      </c>
      <c r="AK29" s="52">
        <f t="shared" si="9"/>
        <v>0</v>
      </c>
      <c r="AL29" s="52">
        <f t="shared" ref="AL29:BQ29" si="10">IFERROR(IF(AL$28="FALSE",0,$C$29/$C$8),0)</f>
        <v>0</v>
      </c>
      <c r="AM29" s="52">
        <f t="shared" si="10"/>
        <v>0</v>
      </c>
      <c r="AN29" s="52">
        <f t="shared" si="10"/>
        <v>0</v>
      </c>
      <c r="AO29" s="52">
        <f t="shared" si="10"/>
        <v>0</v>
      </c>
      <c r="AP29" s="52">
        <f t="shared" si="10"/>
        <v>0</v>
      </c>
      <c r="AQ29" s="52">
        <f t="shared" si="10"/>
        <v>0</v>
      </c>
      <c r="AR29" s="52">
        <f t="shared" si="10"/>
        <v>0</v>
      </c>
      <c r="AS29" s="52">
        <f t="shared" si="10"/>
        <v>0</v>
      </c>
      <c r="AT29" s="52">
        <f t="shared" si="10"/>
        <v>0</v>
      </c>
      <c r="AU29" s="52">
        <f t="shared" si="10"/>
        <v>0</v>
      </c>
      <c r="AV29" s="52">
        <f t="shared" si="10"/>
        <v>0</v>
      </c>
      <c r="AW29" s="52">
        <f t="shared" si="10"/>
        <v>0</v>
      </c>
      <c r="AX29" s="52">
        <f t="shared" si="10"/>
        <v>0</v>
      </c>
      <c r="AY29" s="52">
        <f t="shared" si="10"/>
        <v>0</v>
      </c>
      <c r="AZ29" s="52">
        <f t="shared" si="10"/>
        <v>0</v>
      </c>
      <c r="BA29" s="52">
        <f t="shared" si="10"/>
        <v>0</v>
      </c>
      <c r="BB29" s="52">
        <f t="shared" si="10"/>
        <v>0</v>
      </c>
      <c r="BC29" s="52">
        <f t="shared" si="10"/>
        <v>0</v>
      </c>
      <c r="BD29" s="52">
        <f t="shared" si="10"/>
        <v>0</v>
      </c>
      <c r="BE29" s="52">
        <f t="shared" si="10"/>
        <v>0</v>
      </c>
      <c r="BF29" s="52">
        <f t="shared" si="10"/>
        <v>0</v>
      </c>
      <c r="BG29" s="52">
        <f t="shared" si="10"/>
        <v>0</v>
      </c>
      <c r="BH29" s="52">
        <f t="shared" si="10"/>
        <v>0</v>
      </c>
      <c r="BI29" s="52">
        <f t="shared" si="10"/>
        <v>0</v>
      </c>
      <c r="BJ29" s="52">
        <f t="shared" si="10"/>
        <v>0</v>
      </c>
      <c r="BK29" s="52">
        <f t="shared" si="10"/>
        <v>0</v>
      </c>
      <c r="BL29" s="52">
        <f t="shared" si="10"/>
        <v>0</v>
      </c>
      <c r="BM29" s="52">
        <f t="shared" si="10"/>
        <v>0</v>
      </c>
      <c r="BN29" s="52">
        <f t="shared" si="10"/>
        <v>0</v>
      </c>
      <c r="BO29" s="52">
        <f t="shared" si="10"/>
        <v>0</v>
      </c>
      <c r="BP29" s="52">
        <f t="shared" si="10"/>
        <v>0</v>
      </c>
      <c r="BQ29" s="52">
        <f t="shared" si="10"/>
        <v>0</v>
      </c>
      <c r="BR29" s="52">
        <f t="shared" ref="BR29:CW29" si="11">IFERROR(IF(BR$28="FALSE",0,$C$29/$C$8),0)</f>
        <v>0</v>
      </c>
      <c r="BS29" s="52">
        <f t="shared" si="11"/>
        <v>0</v>
      </c>
      <c r="BT29" s="52">
        <f t="shared" si="11"/>
        <v>0</v>
      </c>
      <c r="BU29" s="52">
        <f t="shared" si="11"/>
        <v>0</v>
      </c>
      <c r="BV29" s="52">
        <f t="shared" si="11"/>
        <v>0</v>
      </c>
      <c r="BW29" s="52">
        <f t="shared" si="11"/>
        <v>0</v>
      </c>
      <c r="BX29" s="52">
        <f t="shared" si="11"/>
        <v>0</v>
      </c>
      <c r="BY29" s="52">
        <f t="shared" si="11"/>
        <v>0</v>
      </c>
      <c r="BZ29" s="52">
        <f t="shared" si="11"/>
        <v>0</v>
      </c>
      <c r="CA29" s="52">
        <f t="shared" si="11"/>
        <v>0</v>
      </c>
      <c r="CB29" s="52">
        <f t="shared" si="11"/>
        <v>0</v>
      </c>
      <c r="CC29" s="52">
        <f t="shared" si="11"/>
        <v>0</v>
      </c>
      <c r="CD29" s="52">
        <f t="shared" si="11"/>
        <v>0</v>
      </c>
      <c r="CE29" s="52">
        <f t="shared" si="11"/>
        <v>0</v>
      </c>
      <c r="CF29" s="52">
        <f t="shared" si="11"/>
        <v>0</v>
      </c>
      <c r="CG29" s="52">
        <f t="shared" si="11"/>
        <v>0</v>
      </c>
      <c r="CH29" s="52">
        <f t="shared" si="11"/>
        <v>0</v>
      </c>
      <c r="CI29" s="52">
        <f t="shared" si="11"/>
        <v>0</v>
      </c>
      <c r="CJ29" s="52">
        <f t="shared" si="11"/>
        <v>0</v>
      </c>
      <c r="CK29" s="52">
        <f t="shared" si="11"/>
        <v>0</v>
      </c>
      <c r="CL29" s="52">
        <f t="shared" si="11"/>
        <v>0</v>
      </c>
      <c r="CM29" s="52">
        <f t="shared" si="11"/>
        <v>0</v>
      </c>
      <c r="CN29" s="52">
        <f t="shared" si="11"/>
        <v>0</v>
      </c>
      <c r="CO29" s="52">
        <f t="shared" si="11"/>
        <v>0</v>
      </c>
      <c r="CP29" s="52">
        <f t="shared" si="11"/>
        <v>0</v>
      </c>
      <c r="CQ29" s="52">
        <f t="shared" si="11"/>
        <v>0</v>
      </c>
      <c r="CR29" s="52">
        <f t="shared" si="11"/>
        <v>0</v>
      </c>
      <c r="CS29" s="52">
        <f t="shared" si="11"/>
        <v>0</v>
      </c>
      <c r="CT29" s="52">
        <f t="shared" si="11"/>
        <v>0</v>
      </c>
      <c r="CU29" s="52">
        <f t="shared" si="11"/>
        <v>0</v>
      </c>
      <c r="CV29" s="52">
        <f t="shared" si="11"/>
        <v>0</v>
      </c>
      <c r="CW29" s="52">
        <f t="shared" si="11"/>
        <v>0</v>
      </c>
      <c r="CX29" s="52">
        <f t="shared" ref="CX29:EC29" si="12">IFERROR(IF(CX$28="FALSE",0,$C$29/$C$8),0)</f>
        <v>0</v>
      </c>
      <c r="CY29" s="52">
        <f t="shared" si="12"/>
        <v>0</v>
      </c>
      <c r="CZ29" s="52">
        <f t="shared" si="12"/>
        <v>0</v>
      </c>
      <c r="DA29" s="52">
        <f t="shared" si="12"/>
        <v>0</v>
      </c>
      <c r="DB29" s="52">
        <f t="shared" si="12"/>
        <v>0</v>
      </c>
      <c r="DC29" s="52">
        <f t="shared" si="12"/>
        <v>0</v>
      </c>
      <c r="DD29" s="52">
        <f t="shared" si="12"/>
        <v>0</v>
      </c>
      <c r="DE29" s="52">
        <f t="shared" si="12"/>
        <v>0</v>
      </c>
      <c r="DF29" s="52">
        <f t="shared" si="12"/>
        <v>0</v>
      </c>
      <c r="DG29" s="52">
        <f t="shared" si="12"/>
        <v>0</v>
      </c>
      <c r="DH29" s="52">
        <f t="shared" si="12"/>
        <v>0</v>
      </c>
      <c r="DI29" s="52">
        <f t="shared" si="12"/>
        <v>0</v>
      </c>
      <c r="DJ29" s="52">
        <f t="shared" si="12"/>
        <v>0</v>
      </c>
      <c r="DK29" s="52">
        <f t="shared" si="12"/>
        <v>0</v>
      </c>
      <c r="DL29" s="52">
        <f t="shared" si="12"/>
        <v>0</v>
      </c>
      <c r="DM29" s="52">
        <f t="shared" si="12"/>
        <v>0</v>
      </c>
      <c r="DN29" s="52">
        <f t="shared" si="12"/>
        <v>0</v>
      </c>
      <c r="DO29" s="52">
        <f t="shared" si="12"/>
        <v>0</v>
      </c>
      <c r="DP29" s="52">
        <f t="shared" si="12"/>
        <v>0</v>
      </c>
      <c r="DQ29" s="52">
        <f t="shared" si="12"/>
        <v>0</v>
      </c>
      <c r="DR29" s="52">
        <f t="shared" si="12"/>
        <v>0</v>
      </c>
      <c r="DS29" s="52">
        <f t="shared" si="12"/>
        <v>0</v>
      </c>
      <c r="DT29" s="52">
        <f t="shared" si="12"/>
        <v>0</v>
      </c>
      <c r="DU29" s="52">
        <f t="shared" si="12"/>
        <v>0</v>
      </c>
      <c r="DV29" s="52">
        <f t="shared" si="12"/>
        <v>0</v>
      </c>
      <c r="DW29" s="52">
        <f t="shared" si="12"/>
        <v>0</v>
      </c>
      <c r="DX29" s="52">
        <f t="shared" si="12"/>
        <v>0</v>
      </c>
      <c r="DY29" s="52">
        <f t="shared" si="12"/>
        <v>0</v>
      </c>
      <c r="DZ29" s="52">
        <f t="shared" si="12"/>
        <v>0</v>
      </c>
      <c r="EA29" s="52">
        <f t="shared" si="12"/>
        <v>0</v>
      </c>
      <c r="EB29" s="52">
        <f t="shared" si="12"/>
        <v>0</v>
      </c>
      <c r="EC29" s="52">
        <f t="shared" si="12"/>
        <v>0</v>
      </c>
      <c r="ED29" s="52">
        <f t="shared" ref="ED29:FD29" si="13">IFERROR(IF(ED$28="FALSE",0,$C$29/$C$8),0)</f>
        <v>0</v>
      </c>
      <c r="EE29" s="52">
        <f t="shared" si="13"/>
        <v>0</v>
      </c>
      <c r="EF29" s="52">
        <f t="shared" si="13"/>
        <v>0</v>
      </c>
      <c r="EG29" s="52">
        <f t="shared" si="13"/>
        <v>0</v>
      </c>
      <c r="EH29" s="52">
        <f t="shared" si="13"/>
        <v>0</v>
      </c>
      <c r="EI29" s="52">
        <f t="shared" si="13"/>
        <v>0</v>
      </c>
      <c r="EJ29" s="52">
        <f t="shared" si="13"/>
        <v>0</v>
      </c>
      <c r="EK29" s="52">
        <f t="shared" si="13"/>
        <v>0</v>
      </c>
      <c r="EL29" s="52">
        <f t="shared" si="13"/>
        <v>0</v>
      </c>
      <c r="EM29" s="52">
        <f t="shared" si="13"/>
        <v>0</v>
      </c>
      <c r="EN29" s="52">
        <f t="shared" si="13"/>
        <v>0</v>
      </c>
      <c r="EO29" s="52">
        <f t="shared" si="13"/>
        <v>0</v>
      </c>
      <c r="EP29" s="52">
        <f t="shared" si="13"/>
        <v>0</v>
      </c>
      <c r="EQ29" s="52">
        <f t="shared" si="13"/>
        <v>0</v>
      </c>
      <c r="ER29" s="52">
        <f t="shared" si="13"/>
        <v>0</v>
      </c>
      <c r="ES29" s="52">
        <f t="shared" si="13"/>
        <v>0</v>
      </c>
      <c r="ET29" s="52">
        <f t="shared" si="13"/>
        <v>0</v>
      </c>
      <c r="EU29" s="52">
        <f t="shared" si="13"/>
        <v>0</v>
      </c>
      <c r="EV29" s="52">
        <f t="shared" si="13"/>
        <v>0</v>
      </c>
      <c r="EW29" s="52">
        <f t="shared" si="13"/>
        <v>0</v>
      </c>
      <c r="EX29" s="52">
        <f t="shared" si="13"/>
        <v>0</v>
      </c>
      <c r="EY29" s="52">
        <f t="shared" si="13"/>
        <v>0</v>
      </c>
      <c r="EZ29" s="52">
        <f t="shared" si="13"/>
        <v>0</v>
      </c>
      <c r="FA29" s="52">
        <f t="shared" si="13"/>
        <v>0</v>
      </c>
      <c r="FB29" s="52">
        <f t="shared" si="13"/>
        <v>0</v>
      </c>
      <c r="FC29" s="52">
        <f t="shared" si="13"/>
        <v>0</v>
      </c>
      <c r="FD29" s="52">
        <f t="shared" si="13"/>
        <v>0</v>
      </c>
    </row>
    <row r="30" spans="2:160">
      <c r="B30" s="51" t="s">
        <v>105</v>
      </c>
      <c r="C30" s="52">
        <f ca="1">IF(Startup!$C$3="Project",SUMIF(Startup!$C$7:$D$27,Overview!B30,Startup!$D$7:$D$27),(SUMIF(Startup!$C$7:$D$27,Overview!B30,Startup!$D$7:$D$27)*Startup!$C$4))+IF(Pilot!$C$3="Project",SUMIF(Pilot!$C$7:$D$27,Overview!B30,Pilot!$D$7:$D$27),(SUMIF(Pilot!$C$7:$D$27,Overview!B30,Pilot!$D$7:$D$27)*Pilot!$C$4))+IF(PMO!$C$3="Project",SUMIF(PMO!$C$7:$D$27,Overview!B30,PMO!$D$7:$D$27),(SUMIF(PMO!$C$7:$D$27,Overview!B30,PMO!$D$7:$D$27)*PMO!$C$4))+IF('Design &amp; Fulfillment'!$C$3="Project",SUMIF('Design &amp; Fulfillment'!$C$7:$D$27,Overview!B30,'Design &amp; Fulfillment'!$D$7:$D$27),(SUMIF('Design &amp; Fulfillment'!$C$7:$D$27,Overview!B30,'Design &amp; Fulfillment'!$D$7:$D$27)*'Design &amp; Fulfillment'!$C$4))+IF(Workplace!$C$3="Project",SUMIF(Workplace!$C$7:$D$27,Overview!B30,Workplace!$D$7:$D$27),(SUMIF(Workplace!$C$7:$D$27,Overview!B30,Workplace!$D$7:$D$27)*Workplace!$C$4))+IF(Integration!$C$3="Project",SUMIF(Integration!$C$7:$D$27,Overview!B30,Integration!$D$7:$D$27),(SUMIF(Integration!$C$7:$D$27,Overview!B30,Integration!$D$7:$D$27)*Integration!$C$4))+IF(Logistics!$C$3="Project",SUMIF(Logistics!$C$7:$D$27,Overview!B30,Logistics!$D$7:$D$27),(SUMIF(Logistics!$C$7:$D$27,Overview!B30,Logistics!$D$7:$D$27)*Logistics!$C$4))+IF('Service Desk'!$C$3="Project",SUMIF('Service Desk'!$C$7:$D$27,Overview!B30,'Service Desk'!$D$7:$D$27),(SUMIF('Service Desk'!$C$7:$D$27,Overview!B30,'Service Desk'!$D$7:$D$27)*'Service Desk'!$C$4))+IF('Pro Services'!$C$3="Project",SUMIF('Pro Services'!$C$7:$D$27,Overview!B30,'Pro Services'!$D$7:$D$27),(SUMIF('Pro Services'!$C$7:$D$27,Overview!B30,'Pro Services'!$D$7:$D$27)*'Pro Services'!$C$4))</f>
        <v>0</v>
      </c>
      <c r="D30" s="53">
        <f ca="1">IF(Startup!$C$3="Project",SUMIF(Startup!$C$7:$H$27,Overview!B30,Startup!$H$7:$H$27),(SUMIF(Startup!$C$7:$H$27,Overview!B30,Startup!$H$7:$H$27)*Startup!$C$4))+IF(Pilot!$C$3="Project",SUMIF(Pilot!$C$7:$H$27,Overview!B30,Pilot!$H$7:$H$27),(SUMIF(Pilot!$C$7:$H$27,Overview!B30,Pilot!$H$7:$H$27)*Pilot!$C$4))+IF(PMO!$C$3="Project",SUMIF(PMO!$C$7:$H$27,Overview!B30,PMO!$H$7:$H$27),(SUMIF(PMO!$C$7:$H$27,Overview!B30,PMO!$H$7:$H$27)*PMO!$C$4))+IF('Design &amp; Fulfillment'!$C$3="Project",SUMIF('Design &amp; Fulfillment'!$C$7:$H$27,Overview!B30,'Design &amp; Fulfillment'!$H$7:$H$27),(SUMIF('Design &amp; Fulfillment'!$C$7:$H$27,Overview!B30,'Design &amp; Fulfillment'!$H$7:$H$27)*'Design &amp; Fulfillment'!$C$4))+IF(Workplace!$C$3="Project",SUMIF(Workplace!$C$7:$H$27,Overview!B30,Workplace!$H$7:$H$27),(SUMIF(Workplace!$C$7:$H$27,Overview!B30,Workplace!$H$7:$H$27)*Workplace!$C$4))+IF(Integration!$C$3="Project",SUMIF(Integration!$C$7:$H$27,Overview!B30,Integration!$H$7:$H$27),(SUMIF(Integration!$C$7:$H$27,Overview!B30,Integration!$H$7:$H$27)*Integration!$C$4))+IF(Logistics!$C$3="Project",SUMIF(Logistics!$C$7:$H$27,Overview!B30,Logistics!$H$7:$H$27),(SUMIF(Logistics!$C$7:$H$27,Overview!B30,Logistics!$H$7:$H$27)*Logistics!$C$4))+IF('Service Desk'!$C$3="Project",SUMIF('Service Desk'!$C$7:$H$27,Overview!B30,'Service Desk'!$H$7:$H$27),(SUMIF('Service Desk'!$C$7:$H$27,Overview!B30,'Service Desk'!$H$7:$H$27)*'Service Desk'!$C$4))+IF('Pro Services'!$C$3="Project",SUMIF('Pro Services'!$C$7:$H$27,Overview!B30,'Pro Services'!$H$7:$H$27),(SUMIF('Pro Services'!$C$7:$H$27,Overview!B30,'Pro Services'!$H$7:$H$27)*'Pro Services'!$C$4))</f>
        <v>0</v>
      </c>
      <c r="E30" s="52">
        <f ca="1">IFERROR(C30/$C$8,0)</f>
        <v>0</v>
      </c>
      <c r="F30" s="52">
        <f t="shared" ref="F30:AK30" si="14">IFERROR(IF(F$28="FALSE",0,$C$30/$C$8),0)</f>
        <v>0</v>
      </c>
      <c r="G30" s="52">
        <f t="shared" si="14"/>
        <v>0</v>
      </c>
      <c r="H30" s="52">
        <f t="shared" si="14"/>
        <v>0</v>
      </c>
      <c r="I30" s="52">
        <f t="shared" si="14"/>
        <v>0</v>
      </c>
      <c r="J30" s="52">
        <f t="shared" si="14"/>
        <v>0</v>
      </c>
      <c r="K30" s="52">
        <f t="shared" si="14"/>
        <v>0</v>
      </c>
      <c r="L30" s="52">
        <f t="shared" si="14"/>
        <v>0</v>
      </c>
      <c r="M30" s="52">
        <f t="shared" si="14"/>
        <v>0</v>
      </c>
      <c r="N30" s="52">
        <f t="shared" si="14"/>
        <v>0</v>
      </c>
      <c r="O30" s="52">
        <f t="shared" si="14"/>
        <v>0</v>
      </c>
      <c r="P30" s="52">
        <f t="shared" si="14"/>
        <v>0</v>
      </c>
      <c r="Q30" s="52">
        <f t="shared" si="14"/>
        <v>0</v>
      </c>
      <c r="R30" s="52">
        <f t="shared" si="14"/>
        <v>0</v>
      </c>
      <c r="S30" s="52">
        <f t="shared" si="14"/>
        <v>0</v>
      </c>
      <c r="T30" s="52">
        <f t="shared" si="14"/>
        <v>0</v>
      </c>
      <c r="U30" s="52">
        <f t="shared" si="14"/>
        <v>0</v>
      </c>
      <c r="V30" s="52">
        <f t="shared" si="14"/>
        <v>0</v>
      </c>
      <c r="W30" s="52">
        <f t="shared" si="14"/>
        <v>0</v>
      </c>
      <c r="X30" s="52">
        <f t="shared" si="14"/>
        <v>0</v>
      </c>
      <c r="Y30" s="52">
        <f t="shared" si="14"/>
        <v>0</v>
      </c>
      <c r="Z30" s="52">
        <f t="shared" si="14"/>
        <v>0</v>
      </c>
      <c r="AA30" s="52">
        <f t="shared" si="14"/>
        <v>0</v>
      </c>
      <c r="AB30" s="52">
        <f t="shared" si="14"/>
        <v>0</v>
      </c>
      <c r="AC30" s="52">
        <f t="shared" si="14"/>
        <v>0</v>
      </c>
      <c r="AD30" s="52">
        <f t="shared" si="14"/>
        <v>0</v>
      </c>
      <c r="AE30" s="52">
        <f t="shared" si="14"/>
        <v>0</v>
      </c>
      <c r="AF30" s="52">
        <f t="shared" si="14"/>
        <v>0</v>
      </c>
      <c r="AG30" s="52">
        <f t="shared" si="14"/>
        <v>0</v>
      </c>
      <c r="AH30" s="52">
        <f t="shared" si="14"/>
        <v>0</v>
      </c>
      <c r="AI30" s="52">
        <f t="shared" si="14"/>
        <v>0</v>
      </c>
      <c r="AJ30" s="52">
        <f t="shared" si="14"/>
        <v>0</v>
      </c>
      <c r="AK30" s="52">
        <f t="shared" si="14"/>
        <v>0</v>
      </c>
      <c r="AL30" s="52">
        <f t="shared" ref="AL30:BQ30" si="15">IFERROR(IF(AL$28="FALSE",0,$C$30/$C$8),0)</f>
        <v>0</v>
      </c>
      <c r="AM30" s="52">
        <f t="shared" si="15"/>
        <v>0</v>
      </c>
      <c r="AN30" s="52">
        <f t="shared" si="15"/>
        <v>0</v>
      </c>
      <c r="AO30" s="52">
        <f t="shared" si="15"/>
        <v>0</v>
      </c>
      <c r="AP30" s="52">
        <f t="shared" si="15"/>
        <v>0</v>
      </c>
      <c r="AQ30" s="52">
        <f t="shared" si="15"/>
        <v>0</v>
      </c>
      <c r="AR30" s="52">
        <f t="shared" si="15"/>
        <v>0</v>
      </c>
      <c r="AS30" s="52">
        <f t="shared" si="15"/>
        <v>0</v>
      </c>
      <c r="AT30" s="52">
        <f t="shared" si="15"/>
        <v>0</v>
      </c>
      <c r="AU30" s="52">
        <f t="shared" si="15"/>
        <v>0</v>
      </c>
      <c r="AV30" s="52">
        <f t="shared" si="15"/>
        <v>0</v>
      </c>
      <c r="AW30" s="52">
        <f t="shared" si="15"/>
        <v>0</v>
      </c>
      <c r="AX30" s="52">
        <f t="shared" si="15"/>
        <v>0</v>
      </c>
      <c r="AY30" s="52">
        <f t="shared" si="15"/>
        <v>0</v>
      </c>
      <c r="AZ30" s="52">
        <f t="shared" si="15"/>
        <v>0</v>
      </c>
      <c r="BA30" s="52">
        <f t="shared" si="15"/>
        <v>0</v>
      </c>
      <c r="BB30" s="52">
        <f t="shared" si="15"/>
        <v>0</v>
      </c>
      <c r="BC30" s="52">
        <f t="shared" si="15"/>
        <v>0</v>
      </c>
      <c r="BD30" s="52">
        <f t="shared" si="15"/>
        <v>0</v>
      </c>
      <c r="BE30" s="52">
        <f t="shared" si="15"/>
        <v>0</v>
      </c>
      <c r="BF30" s="52">
        <f t="shared" si="15"/>
        <v>0</v>
      </c>
      <c r="BG30" s="52">
        <f t="shared" si="15"/>
        <v>0</v>
      </c>
      <c r="BH30" s="52">
        <f t="shared" si="15"/>
        <v>0</v>
      </c>
      <c r="BI30" s="52">
        <f t="shared" si="15"/>
        <v>0</v>
      </c>
      <c r="BJ30" s="52">
        <f t="shared" si="15"/>
        <v>0</v>
      </c>
      <c r="BK30" s="52">
        <f t="shared" si="15"/>
        <v>0</v>
      </c>
      <c r="BL30" s="52">
        <f t="shared" si="15"/>
        <v>0</v>
      </c>
      <c r="BM30" s="52">
        <f t="shared" si="15"/>
        <v>0</v>
      </c>
      <c r="BN30" s="52">
        <f t="shared" si="15"/>
        <v>0</v>
      </c>
      <c r="BO30" s="52">
        <f t="shared" si="15"/>
        <v>0</v>
      </c>
      <c r="BP30" s="52">
        <f t="shared" si="15"/>
        <v>0</v>
      </c>
      <c r="BQ30" s="52">
        <f t="shared" si="15"/>
        <v>0</v>
      </c>
      <c r="BR30" s="52">
        <f t="shared" ref="BR30:CW30" si="16">IFERROR(IF(BR$28="FALSE",0,$C$30/$C$8),0)</f>
        <v>0</v>
      </c>
      <c r="BS30" s="52">
        <f t="shared" si="16"/>
        <v>0</v>
      </c>
      <c r="BT30" s="52">
        <f t="shared" si="16"/>
        <v>0</v>
      </c>
      <c r="BU30" s="52">
        <f t="shared" si="16"/>
        <v>0</v>
      </c>
      <c r="BV30" s="52">
        <f t="shared" si="16"/>
        <v>0</v>
      </c>
      <c r="BW30" s="52">
        <f t="shared" si="16"/>
        <v>0</v>
      </c>
      <c r="BX30" s="52">
        <f t="shared" si="16"/>
        <v>0</v>
      </c>
      <c r="BY30" s="52">
        <f t="shared" si="16"/>
        <v>0</v>
      </c>
      <c r="BZ30" s="52">
        <f t="shared" si="16"/>
        <v>0</v>
      </c>
      <c r="CA30" s="52">
        <f t="shared" si="16"/>
        <v>0</v>
      </c>
      <c r="CB30" s="52">
        <f t="shared" si="16"/>
        <v>0</v>
      </c>
      <c r="CC30" s="52">
        <f t="shared" si="16"/>
        <v>0</v>
      </c>
      <c r="CD30" s="52">
        <f t="shared" si="16"/>
        <v>0</v>
      </c>
      <c r="CE30" s="52">
        <f t="shared" si="16"/>
        <v>0</v>
      </c>
      <c r="CF30" s="52">
        <f t="shared" si="16"/>
        <v>0</v>
      </c>
      <c r="CG30" s="52">
        <f t="shared" si="16"/>
        <v>0</v>
      </c>
      <c r="CH30" s="52">
        <f t="shared" si="16"/>
        <v>0</v>
      </c>
      <c r="CI30" s="52">
        <f t="shared" si="16"/>
        <v>0</v>
      </c>
      <c r="CJ30" s="52">
        <f t="shared" si="16"/>
        <v>0</v>
      </c>
      <c r="CK30" s="52">
        <f t="shared" si="16"/>
        <v>0</v>
      </c>
      <c r="CL30" s="52">
        <f t="shared" si="16"/>
        <v>0</v>
      </c>
      <c r="CM30" s="52">
        <f t="shared" si="16"/>
        <v>0</v>
      </c>
      <c r="CN30" s="52">
        <f t="shared" si="16"/>
        <v>0</v>
      </c>
      <c r="CO30" s="52">
        <f t="shared" si="16"/>
        <v>0</v>
      </c>
      <c r="CP30" s="52">
        <f t="shared" si="16"/>
        <v>0</v>
      </c>
      <c r="CQ30" s="52">
        <f t="shared" si="16"/>
        <v>0</v>
      </c>
      <c r="CR30" s="52">
        <f t="shared" si="16"/>
        <v>0</v>
      </c>
      <c r="CS30" s="52">
        <f t="shared" si="16"/>
        <v>0</v>
      </c>
      <c r="CT30" s="52">
        <f t="shared" si="16"/>
        <v>0</v>
      </c>
      <c r="CU30" s="52">
        <f t="shared" si="16"/>
        <v>0</v>
      </c>
      <c r="CV30" s="52">
        <f t="shared" si="16"/>
        <v>0</v>
      </c>
      <c r="CW30" s="52">
        <f t="shared" si="16"/>
        <v>0</v>
      </c>
      <c r="CX30" s="52">
        <f t="shared" ref="CX30:EC30" si="17">IFERROR(IF(CX$28="FALSE",0,$C$30/$C$8),0)</f>
        <v>0</v>
      </c>
      <c r="CY30" s="52">
        <f t="shared" si="17"/>
        <v>0</v>
      </c>
      <c r="CZ30" s="52">
        <f t="shared" si="17"/>
        <v>0</v>
      </c>
      <c r="DA30" s="52">
        <f t="shared" si="17"/>
        <v>0</v>
      </c>
      <c r="DB30" s="52">
        <f t="shared" si="17"/>
        <v>0</v>
      </c>
      <c r="DC30" s="52">
        <f t="shared" si="17"/>
        <v>0</v>
      </c>
      <c r="DD30" s="52">
        <f t="shared" si="17"/>
        <v>0</v>
      </c>
      <c r="DE30" s="52">
        <f t="shared" si="17"/>
        <v>0</v>
      </c>
      <c r="DF30" s="52">
        <f t="shared" si="17"/>
        <v>0</v>
      </c>
      <c r="DG30" s="52">
        <f t="shared" si="17"/>
        <v>0</v>
      </c>
      <c r="DH30" s="52">
        <f t="shared" si="17"/>
        <v>0</v>
      </c>
      <c r="DI30" s="52">
        <f t="shared" si="17"/>
        <v>0</v>
      </c>
      <c r="DJ30" s="52">
        <f t="shared" si="17"/>
        <v>0</v>
      </c>
      <c r="DK30" s="52">
        <f t="shared" si="17"/>
        <v>0</v>
      </c>
      <c r="DL30" s="52">
        <f t="shared" si="17"/>
        <v>0</v>
      </c>
      <c r="DM30" s="52">
        <f t="shared" si="17"/>
        <v>0</v>
      </c>
      <c r="DN30" s="52">
        <f t="shared" si="17"/>
        <v>0</v>
      </c>
      <c r="DO30" s="52">
        <f t="shared" si="17"/>
        <v>0</v>
      </c>
      <c r="DP30" s="52">
        <f t="shared" si="17"/>
        <v>0</v>
      </c>
      <c r="DQ30" s="52">
        <f t="shared" si="17"/>
        <v>0</v>
      </c>
      <c r="DR30" s="52">
        <f t="shared" si="17"/>
        <v>0</v>
      </c>
      <c r="DS30" s="52">
        <f t="shared" si="17"/>
        <v>0</v>
      </c>
      <c r="DT30" s="52">
        <f t="shared" si="17"/>
        <v>0</v>
      </c>
      <c r="DU30" s="52">
        <f t="shared" si="17"/>
        <v>0</v>
      </c>
      <c r="DV30" s="52">
        <f t="shared" si="17"/>
        <v>0</v>
      </c>
      <c r="DW30" s="52">
        <f t="shared" si="17"/>
        <v>0</v>
      </c>
      <c r="DX30" s="52">
        <f t="shared" si="17"/>
        <v>0</v>
      </c>
      <c r="DY30" s="52">
        <f t="shared" si="17"/>
        <v>0</v>
      </c>
      <c r="DZ30" s="52">
        <f t="shared" si="17"/>
        <v>0</v>
      </c>
      <c r="EA30" s="52">
        <f t="shared" si="17"/>
        <v>0</v>
      </c>
      <c r="EB30" s="52">
        <f t="shared" si="17"/>
        <v>0</v>
      </c>
      <c r="EC30" s="52">
        <f t="shared" si="17"/>
        <v>0</v>
      </c>
      <c r="ED30" s="52">
        <f t="shared" ref="ED30:FD30" si="18">IFERROR(IF(ED$28="FALSE",0,$C$30/$C$8),0)</f>
        <v>0</v>
      </c>
      <c r="EE30" s="52">
        <f t="shared" si="18"/>
        <v>0</v>
      </c>
      <c r="EF30" s="52">
        <f t="shared" si="18"/>
        <v>0</v>
      </c>
      <c r="EG30" s="52">
        <f t="shared" si="18"/>
        <v>0</v>
      </c>
      <c r="EH30" s="52">
        <f t="shared" si="18"/>
        <v>0</v>
      </c>
      <c r="EI30" s="52">
        <f t="shared" si="18"/>
        <v>0</v>
      </c>
      <c r="EJ30" s="52">
        <f t="shared" si="18"/>
        <v>0</v>
      </c>
      <c r="EK30" s="52">
        <f t="shared" si="18"/>
        <v>0</v>
      </c>
      <c r="EL30" s="52">
        <f t="shared" si="18"/>
        <v>0</v>
      </c>
      <c r="EM30" s="52">
        <f t="shared" si="18"/>
        <v>0</v>
      </c>
      <c r="EN30" s="52">
        <f t="shared" si="18"/>
        <v>0</v>
      </c>
      <c r="EO30" s="52">
        <f t="shared" si="18"/>
        <v>0</v>
      </c>
      <c r="EP30" s="52">
        <f t="shared" si="18"/>
        <v>0</v>
      </c>
      <c r="EQ30" s="52">
        <f t="shared" si="18"/>
        <v>0</v>
      </c>
      <c r="ER30" s="52">
        <f t="shared" si="18"/>
        <v>0</v>
      </c>
      <c r="ES30" s="52">
        <f t="shared" si="18"/>
        <v>0</v>
      </c>
      <c r="ET30" s="52">
        <f t="shared" si="18"/>
        <v>0</v>
      </c>
      <c r="EU30" s="52">
        <f t="shared" si="18"/>
        <v>0</v>
      </c>
      <c r="EV30" s="52">
        <f t="shared" si="18"/>
        <v>0</v>
      </c>
      <c r="EW30" s="52">
        <f t="shared" si="18"/>
        <v>0</v>
      </c>
      <c r="EX30" s="52">
        <f t="shared" si="18"/>
        <v>0</v>
      </c>
      <c r="EY30" s="52">
        <f t="shared" si="18"/>
        <v>0</v>
      </c>
      <c r="EZ30" s="52">
        <f t="shared" si="18"/>
        <v>0</v>
      </c>
      <c r="FA30" s="52">
        <f t="shared" si="18"/>
        <v>0</v>
      </c>
      <c r="FB30" s="52">
        <f t="shared" si="18"/>
        <v>0</v>
      </c>
      <c r="FC30" s="52">
        <f t="shared" si="18"/>
        <v>0</v>
      </c>
      <c r="FD30" s="52">
        <f t="shared" si="18"/>
        <v>0</v>
      </c>
    </row>
    <row r="31" spans="2:160">
      <c r="B31" s="51" t="s">
        <v>106</v>
      </c>
      <c r="C31" s="52">
        <f ca="1">IF(Startup!$C$3="Project",SUMIF(Startup!$C$7:$D$27,Overview!B31,Startup!$D$7:$D$27),(SUMIF(Startup!$C$7:$D$27,Overview!B31,Startup!$D$7:$D$27)*Startup!$C$4))+IF(Pilot!$C$3="Project",SUMIF(Pilot!$C$7:$D$27,Overview!B31,Pilot!$D$7:$D$27),(SUMIF(Pilot!$C$7:$D$27,Overview!B31,Pilot!$D$7:$D$27)*Pilot!$C$4))+IF(PMO!$C$3="Project",SUMIF(PMO!$C$7:$D$27,Overview!B31,PMO!$D$7:$D$27),(SUMIF(PMO!$C$7:$D$27,Overview!B31,PMO!$D$7:$D$27)*PMO!$C$4))+IF('Design &amp; Fulfillment'!$C$3="Project",SUMIF('Design &amp; Fulfillment'!$C$7:$D$27,Overview!B31,'Design &amp; Fulfillment'!$D$7:$D$27),(SUMIF('Design &amp; Fulfillment'!$C$7:$D$27,Overview!B31,'Design &amp; Fulfillment'!$D$7:$D$27)*'Design &amp; Fulfillment'!$C$4))+IF(Workplace!$C$3="Project",SUMIF(Workplace!$C$7:$D$27,Overview!B31,Workplace!$D$7:$D$27),(SUMIF(Workplace!$C$7:$D$27,Overview!B31,Workplace!$D$7:$D$27)*Workplace!$C$4))+IF(Integration!$C$3="Project",SUMIF(Integration!$C$7:$D$27,Overview!B31,Integration!$D$7:$D$27),(SUMIF(Integration!$C$7:$D$27,Overview!B31,Integration!$D$7:$D$27)*Integration!$C$4))+IF(Logistics!$C$3="Project",SUMIF(Logistics!$C$7:$D$27,Overview!B31,Logistics!$D$7:$D$27),(SUMIF(Logistics!$C$7:$D$27,Overview!B31,Logistics!$D$7:$D$27)*Logistics!$C$4))+IF('Service Desk'!$C$3="Project",SUMIF('Service Desk'!$C$7:$D$27,Overview!B31,'Service Desk'!$D$7:$D$27),(SUMIF('Service Desk'!$C$7:$D$27,Overview!B31,'Service Desk'!$D$7:$D$27)*'Service Desk'!$C$4))+IF('Pro Services'!$C$3="Project",SUMIF('Pro Services'!$C$7:$D$27,Overview!B31,'Pro Services'!$D$7:$D$27),(SUMIF('Pro Services'!$C$7:$D$27,Overview!B31,'Pro Services'!$D$7:$D$27)*'Pro Services'!$C$4))</f>
        <v>100</v>
      </c>
      <c r="D31" s="53">
        <f ca="1">IF(Startup!$C$3="Project",SUMIF(Startup!$C$7:$H$27,Overview!B31,Startup!$H$7:$H$27),(SUMIF(Startup!$C$7:$H$27,Overview!B31,Startup!$H$7:$H$27)*Startup!$C$4))+IF(Pilot!$C$3="Project",SUMIF(Pilot!$C$7:$H$27,Overview!B31,Pilot!$H$7:$H$27),(SUMIF(Pilot!$C$7:$H$27,Overview!B31,Pilot!$H$7:$H$27)*Pilot!$C$4))+IF(PMO!$C$3="Project",SUMIF(PMO!$C$7:$H$27,Overview!B31,PMO!$H$7:$H$27),(SUMIF(PMO!$C$7:$H$27,Overview!B31,PMO!$H$7:$H$27)*PMO!$C$4))+IF('Design &amp; Fulfillment'!$C$3="Project",SUMIF('Design &amp; Fulfillment'!$C$7:$H$27,Overview!B31,'Design &amp; Fulfillment'!$H$7:$H$27),(SUMIF('Design &amp; Fulfillment'!$C$7:$H$27,Overview!B31,'Design &amp; Fulfillment'!$H$7:$H$27)*'Design &amp; Fulfillment'!$C$4))+IF(Workplace!$C$3="Project",SUMIF(Workplace!$C$7:$H$27,Overview!B31,Workplace!$H$7:$H$27),(SUMIF(Workplace!$C$7:$H$27,Overview!B31,Workplace!$H$7:$H$27)*Workplace!$C$4))+IF(Integration!$C$3="Project",SUMIF(Integration!$C$7:$H$27,Overview!B31,Integration!$H$7:$H$27),(SUMIF(Integration!$C$7:$H$27,Overview!B31,Integration!$H$7:$H$27)*Integration!$C$4))+IF(Logistics!$C$3="Project",SUMIF(Logistics!$C$7:$H$27,Overview!B31,Logistics!$H$7:$H$27),(SUMIF(Logistics!$C$7:$H$27,Overview!B31,Logistics!$H$7:$H$27)*Logistics!$C$4))+IF('Service Desk'!$C$3="Project",SUMIF('Service Desk'!$C$7:$H$27,Overview!B31,'Service Desk'!$H$7:$H$27),(SUMIF('Service Desk'!$C$7:$H$27,Overview!B31,'Service Desk'!$H$7:$H$27)*'Service Desk'!$C$4))+IF('Pro Services'!$C$3="Project",SUMIF('Pro Services'!$C$7:$H$27,Overview!B31,'Pro Services'!$H$7:$H$27),(SUMIF('Pro Services'!$C$7:$H$27,Overview!B31,'Pro Services'!$H$7:$H$27)*'Pro Services'!$C$4))</f>
        <v>8639</v>
      </c>
      <c r="E31" s="52">
        <f t="shared" ref="E31:E50" ca="1" si="19">IFERROR(C31/$C$8,0)</f>
        <v>0</v>
      </c>
      <c r="F31" s="52">
        <f t="shared" ref="F31:AK31" si="20">IFERROR(IF(F$28="FALSE",0,$C$31/$C$8),0)</f>
        <v>0</v>
      </c>
      <c r="G31" s="52">
        <f t="shared" si="20"/>
        <v>0</v>
      </c>
      <c r="H31" s="52">
        <f t="shared" si="20"/>
        <v>0</v>
      </c>
      <c r="I31" s="52">
        <f t="shared" si="20"/>
        <v>0</v>
      </c>
      <c r="J31" s="52">
        <f t="shared" si="20"/>
        <v>0</v>
      </c>
      <c r="K31" s="52">
        <f t="shared" si="20"/>
        <v>0</v>
      </c>
      <c r="L31" s="52">
        <f t="shared" si="20"/>
        <v>0</v>
      </c>
      <c r="M31" s="52">
        <f t="shared" si="20"/>
        <v>0</v>
      </c>
      <c r="N31" s="52">
        <f t="shared" si="20"/>
        <v>0</v>
      </c>
      <c r="O31" s="52">
        <f t="shared" si="20"/>
        <v>0</v>
      </c>
      <c r="P31" s="52">
        <f t="shared" si="20"/>
        <v>0</v>
      </c>
      <c r="Q31" s="52">
        <f t="shared" si="20"/>
        <v>0</v>
      </c>
      <c r="R31" s="52">
        <f t="shared" si="20"/>
        <v>0</v>
      </c>
      <c r="S31" s="52">
        <f t="shared" si="20"/>
        <v>0</v>
      </c>
      <c r="T31" s="52">
        <f t="shared" si="20"/>
        <v>0</v>
      </c>
      <c r="U31" s="52">
        <f t="shared" si="20"/>
        <v>0</v>
      </c>
      <c r="V31" s="52">
        <f t="shared" si="20"/>
        <v>0</v>
      </c>
      <c r="W31" s="52">
        <f t="shared" si="20"/>
        <v>0</v>
      </c>
      <c r="X31" s="52">
        <f t="shared" si="20"/>
        <v>0</v>
      </c>
      <c r="Y31" s="52">
        <f t="shared" si="20"/>
        <v>0</v>
      </c>
      <c r="Z31" s="52">
        <f t="shared" si="20"/>
        <v>0</v>
      </c>
      <c r="AA31" s="52">
        <f t="shared" si="20"/>
        <v>0</v>
      </c>
      <c r="AB31" s="52">
        <f t="shared" si="20"/>
        <v>0</v>
      </c>
      <c r="AC31" s="52">
        <f t="shared" si="20"/>
        <v>0</v>
      </c>
      <c r="AD31" s="52">
        <f t="shared" si="20"/>
        <v>0</v>
      </c>
      <c r="AE31" s="52">
        <f t="shared" si="20"/>
        <v>0</v>
      </c>
      <c r="AF31" s="52">
        <f t="shared" si="20"/>
        <v>0</v>
      </c>
      <c r="AG31" s="52">
        <f t="shared" si="20"/>
        <v>0</v>
      </c>
      <c r="AH31" s="52">
        <f t="shared" si="20"/>
        <v>0</v>
      </c>
      <c r="AI31" s="52">
        <f t="shared" si="20"/>
        <v>0</v>
      </c>
      <c r="AJ31" s="52">
        <f t="shared" si="20"/>
        <v>0</v>
      </c>
      <c r="AK31" s="52">
        <f t="shared" si="20"/>
        <v>0</v>
      </c>
      <c r="AL31" s="52">
        <f t="shared" ref="AL31:BQ31" si="21">IFERROR(IF(AL$28="FALSE",0,$C$31/$C$8),0)</f>
        <v>0</v>
      </c>
      <c r="AM31" s="52">
        <f t="shared" si="21"/>
        <v>0</v>
      </c>
      <c r="AN31" s="52">
        <f t="shared" si="21"/>
        <v>0</v>
      </c>
      <c r="AO31" s="52">
        <f t="shared" si="21"/>
        <v>0</v>
      </c>
      <c r="AP31" s="52">
        <f t="shared" si="21"/>
        <v>0</v>
      </c>
      <c r="AQ31" s="52">
        <f t="shared" si="21"/>
        <v>0</v>
      </c>
      <c r="AR31" s="52">
        <f t="shared" si="21"/>
        <v>0</v>
      </c>
      <c r="AS31" s="52">
        <f t="shared" si="21"/>
        <v>0</v>
      </c>
      <c r="AT31" s="52">
        <f t="shared" si="21"/>
        <v>0</v>
      </c>
      <c r="AU31" s="52">
        <f t="shared" si="21"/>
        <v>0</v>
      </c>
      <c r="AV31" s="52">
        <f t="shared" si="21"/>
        <v>0</v>
      </c>
      <c r="AW31" s="52">
        <f t="shared" si="21"/>
        <v>0</v>
      </c>
      <c r="AX31" s="52">
        <f t="shared" si="21"/>
        <v>0</v>
      </c>
      <c r="AY31" s="52">
        <f t="shared" si="21"/>
        <v>0</v>
      </c>
      <c r="AZ31" s="52">
        <f t="shared" si="21"/>
        <v>0</v>
      </c>
      <c r="BA31" s="52">
        <f t="shared" si="21"/>
        <v>0</v>
      </c>
      <c r="BB31" s="52">
        <f t="shared" si="21"/>
        <v>0</v>
      </c>
      <c r="BC31" s="52">
        <f t="shared" si="21"/>
        <v>0</v>
      </c>
      <c r="BD31" s="52">
        <f t="shared" si="21"/>
        <v>0</v>
      </c>
      <c r="BE31" s="52">
        <f t="shared" si="21"/>
        <v>0</v>
      </c>
      <c r="BF31" s="52">
        <f t="shared" si="21"/>
        <v>0</v>
      </c>
      <c r="BG31" s="52">
        <f t="shared" si="21"/>
        <v>0</v>
      </c>
      <c r="BH31" s="52">
        <f t="shared" si="21"/>
        <v>0</v>
      </c>
      <c r="BI31" s="52">
        <f t="shared" si="21"/>
        <v>0</v>
      </c>
      <c r="BJ31" s="52">
        <f t="shared" si="21"/>
        <v>0</v>
      </c>
      <c r="BK31" s="52">
        <f t="shared" si="21"/>
        <v>0</v>
      </c>
      <c r="BL31" s="52">
        <f t="shared" si="21"/>
        <v>0</v>
      </c>
      <c r="BM31" s="52">
        <f t="shared" si="21"/>
        <v>0</v>
      </c>
      <c r="BN31" s="52">
        <f t="shared" si="21"/>
        <v>0</v>
      </c>
      <c r="BO31" s="52">
        <f t="shared" si="21"/>
        <v>0</v>
      </c>
      <c r="BP31" s="52">
        <f t="shared" si="21"/>
        <v>0</v>
      </c>
      <c r="BQ31" s="52">
        <f t="shared" si="21"/>
        <v>0</v>
      </c>
      <c r="BR31" s="52">
        <f t="shared" ref="BR31:CW31" si="22">IFERROR(IF(BR$28="FALSE",0,$C$31/$C$8),0)</f>
        <v>0</v>
      </c>
      <c r="BS31" s="52">
        <f t="shared" si="22"/>
        <v>0</v>
      </c>
      <c r="BT31" s="52">
        <f t="shared" si="22"/>
        <v>0</v>
      </c>
      <c r="BU31" s="52">
        <f t="shared" si="22"/>
        <v>0</v>
      </c>
      <c r="BV31" s="52">
        <f t="shared" si="22"/>
        <v>0</v>
      </c>
      <c r="BW31" s="52">
        <f t="shared" si="22"/>
        <v>0</v>
      </c>
      <c r="BX31" s="52">
        <f t="shared" si="22"/>
        <v>0</v>
      </c>
      <c r="BY31" s="52">
        <f t="shared" si="22"/>
        <v>0</v>
      </c>
      <c r="BZ31" s="52">
        <f t="shared" si="22"/>
        <v>0</v>
      </c>
      <c r="CA31" s="52">
        <f t="shared" si="22"/>
        <v>0</v>
      </c>
      <c r="CB31" s="52">
        <f t="shared" si="22"/>
        <v>0</v>
      </c>
      <c r="CC31" s="52">
        <f t="shared" si="22"/>
        <v>0</v>
      </c>
      <c r="CD31" s="52">
        <f t="shared" si="22"/>
        <v>0</v>
      </c>
      <c r="CE31" s="52">
        <f t="shared" si="22"/>
        <v>0</v>
      </c>
      <c r="CF31" s="52">
        <f t="shared" si="22"/>
        <v>0</v>
      </c>
      <c r="CG31" s="52">
        <f t="shared" si="22"/>
        <v>0</v>
      </c>
      <c r="CH31" s="52">
        <f t="shared" si="22"/>
        <v>0</v>
      </c>
      <c r="CI31" s="52">
        <f t="shared" si="22"/>
        <v>0</v>
      </c>
      <c r="CJ31" s="52">
        <f t="shared" si="22"/>
        <v>0</v>
      </c>
      <c r="CK31" s="52">
        <f t="shared" si="22"/>
        <v>0</v>
      </c>
      <c r="CL31" s="52">
        <f t="shared" si="22"/>
        <v>0</v>
      </c>
      <c r="CM31" s="52">
        <f t="shared" si="22"/>
        <v>0</v>
      </c>
      <c r="CN31" s="52">
        <f t="shared" si="22"/>
        <v>0</v>
      </c>
      <c r="CO31" s="52">
        <f t="shared" si="22"/>
        <v>0</v>
      </c>
      <c r="CP31" s="52">
        <f t="shared" si="22"/>
        <v>0</v>
      </c>
      <c r="CQ31" s="52">
        <f t="shared" si="22"/>
        <v>0</v>
      </c>
      <c r="CR31" s="52">
        <f t="shared" si="22"/>
        <v>0</v>
      </c>
      <c r="CS31" s="52">
        <f t="shared" si="22"/>
        <v>0</v>
      </c>
      <c r="CT31" s="52">
        <f t="shared" si="22"/>
        <v>0</v>
      </c>
      <c r="CU31" s="52">
        <f t="shared" si="22"/>
        <v>0</v>
      </c>
      <c r="CV31" s="52">
        <f t="shared" si="22"/>
        <v>0</v>
      </c>
      <c r="CW31" s="52">
        <f t="shared" si="22"/>
        <v>0</v>
      </c>
      <c r="CX31" s="52">
        <f t="shared" ref="CX31:EC31" si="23">IFERROR(IF(CX$28="FALSE",0,$C$31/$C$8),0)</f>
        <v>0</v>
      </c>
      <c r="CY31" s="52">
        <f t="shared" si="23"/>
        <v>0</v>
      </c>
      <c r="CZ31" s="52">
        <f t="shared" si="23"/>
        <v>0</v>
      </c>
      <c r="DA31" s="52">
        <f t="shared" si="23"/>
        <v>0</v>
      </c>
      <c r="DB31" s="52">
        <f t="shared" si="23"/>
        <v>0</v>
      </c>
      <c r="DC31" s="52">
        <f t="shared" si="23"/>
        <v>0</v>
      </c>
      <c r="DD31" s="52">
        <f t="shared" si="23"/>
        <v>0</v>
      </c>
      <c r="DE31" s="52">
        <f t="shared" si="23"/>
        <v>0</v>
      </c>
      <c r="DF31" s="52">
        <f t="shared" si="23"/>
        <v>0</v>
      </c>
      <c r="DG31" s="52">
        <f t="shared" si="23"/>
        <v>0</v>
      </c>
      <c r="DH31" s="52">
        <f t="shared" si="23"/>
        <v>0</v>
      </c>
      <c r="DI31" s="52">
        <f t="shared" si="23"/>
        <v>0</v>
      </c>
      <c r="DJ31" s="52">
        <f t="shared" si="23"/>
        <v>0</v>
      </c>
      <c r="DK31" s="52">
        <f t="shared" si="23"/>
        <v>0</v>
      </c>
      <c r="DL31" s="52">
        <f t="shared" si="23"/>
        <v>0</v>
      </c>
      <c r="DM31" s="52">
        <f t="shared" si="23"/>
        <v>0</v>
      </c>
      <c r="DN31" s="52">
        <f t="shared" si="23"/>
        <v>0</v>
      </c>
      <c r="DO31" s="52">
        <f t="shared" si="23"/>
        <v>0</v>
      </c>
      <c r="DP31" s="52">
        <f t="shared" si="23"/>
        <v>0</v>
      </c>
      <c r="DQ31" s="52">
        <f t="shared" si="23"/>
        <v>0</v>
      </c>
      <c r="DR31" s="52">
        <f t="shared" si="23"/>
        <v>0</v>
      </c>
      <c r="DS31" s="52">
        <f t="shared" si="23"/>
        <v>0</v>
      </c>
      <c r="DT31" s="52">
        <f t="shared" si="23"/>
        <v>0</v>
      </c>
      <c r="DU31" s="52">
        <f t="shared" si="23"/>
        <v>0</v>
      </c>
      <c r="DV31" s="52">
        <f t="shared" si="23"/>
        <v>0</v>
      </c>
      <c r="DW31" s="52">
        <f t="shared" si="23"/>
        <v>0</v>
      </c>
      <c r="DX31" s="52">
        <f t="shared" si="23"/>
        <v>0</v>
      </c>
      <c r="DY31" s="52">
        <f t="shared" si="23"/>
        <v>0</v>
      </c>
      <c r="DZ31" s="52">
        <f t="shared" si="23"/>
        <v>0</v>
      </c>
      <c r="EA31" s="52">
        <f t="shared" si="23"/>
        <v>0</v>
      </c>
      <c r="EB31" s="52">
        <f t="shared" si="23"/>
        <v>0</v>
      </c>
      <c r="EC31" s="52">
        <f t="shared" si="23"/>
        <v>0</v>
      </c>
      <c r="ED31" s="52">
        <f t="shared" ref="ED31:FD31" si="24">IFERROR(IF(ED$28="FALSE",0,$C$31/$C$8),0)</f>
        <v>0</v>
      </c>
      <c r="EE31" s="52">
        <f t="shared" si="24"/>
        <v>0</v>
      </c>
      <c r="EF31" s="52">
        <f t="shared" si="24"/>
        <v>0</v>
      </c>
      <c r="EG31" s="52">
        <f t="shared" si="24"/>
        <v>0</v>
      </c>
      <c r="EH31" s="52">
        <f t="shared" si="24"/>
        <v>0</v>
      </c>
      <c r="EI31" s="52">
        <f t="shared" si="24"/>
        <v>0</v>
      </c>
      <c r="EJ31" s="52">
        <f t="shared" si="24"/>
        <v>0</v>
      </c>
      <c r="EK31" s="52">
        <f t="shared" si="24"/>
        <v>0</v>
      </c>
      <c r="EL31" s="52">
        <f t="shared" si="24"/>
        <v>0</v>
      </c>
      <c r="EM31" s="52">
        <f t="shared" si="24"/>
        <v>0</v>
      </c>
      <c r="EN31" s="52">
        <f t="shared" si="24"/>
        <v>0</v>
      </c>
      <c r="EO31" s="52">
        <f t="shared" si="24"/>
        <v>0</v>
      </c>
      <c r="EP31" s="52">
        <f t="shared" si="24"/>
        <v>0</v>
      </c>
      <c r="EQ31" s="52">
        <f t="shared" si="24"/>
        <v>0</v>
      </c>
      <c r="ER31" s="52">
        <f t="shared" si="24"/>
        <v>0</v>
      </c>
      <c r="ES31" s="52">
        <f t="shared" si="24"/>
        <v>0</v>
      </c>
      <c r="ET31" s="52">
        <f t="shared" si="24"/>
        <v>0</v>
      </c>
      <c r="EU31" s="52">
        <f t="shared" si="24"/>
        <v>0</v>
      </c>
      <c r="EV31" s="52">
        <f t="shared" si="24"/>
        <v>0</v>
      </c>
      <c r="EW31" s="52">
        <f t="shared" si="24"/>
        <v>0</v>
      </c>
      <c r="EX31" s="52">
        <f t="shared" si="24"/>
        <v>0</v>
      </c>
      <c r="EY31" s="52">
        <f t="shared" si="24"/>
        <v>0</v>
      </c>
      <c r="EZ31" s="52">
        <f t="shared" si="24"/>
        <v>0</v>
      </c>
      <c r="FA31" s="52">
        <f t="shared" si="24"/>
        <v>0</v>
      </c>
      <c r="FB31" s="52">
        <f t="shared" si="24"/>
        <v>0</v>
      </c>
      <c r="FC31" s="52">
        <f t="shared" si="24"/>
        <v>0</v>
      </c>
      <c r="FD31" s="52">
        <f t="shared" si="24"/>
        <v>0</v>
      </c>
    </row>
    <row r="32" spans="2:160">
      <c r="B32" s="51" t="s">
        <v>107</v>
      </c>
      <c r="C32" s="52">
        <f ca="1">IF(Startup!$C$3="Project",SUMIF(Startup!$C$7:$D$27,Overview!B32,Startup!$D$7:$D$27),(SUMIF(Startup!$C$7:$D$27,Overview!B32,Startup!$D$7:$D$27)*Startup!$C$4))+IF(Pilot!$C$3="Project",SUMIF(Pilot!$C$7:$D$27,Overview!B32,Pilot!$D$7:$D$27),(SUMIF(Pilot!$C$7:$D$27,Overview!B32,Pilot!$D$7:$D$27)*Pilot!$C$4))+IF(PMO!$C$3="Project",SUMIF(PMO!$C$7:$D$27,Overview!B32,PMO!$D$7:$D$27),(SUMIF(PMO!$C$7:$D$27,Overview!B32,PMO!$D$7:$D$27)*PMO!$C$4))+IF('Design &amp; Fulfillment'!$C$3="Project",SUMIF('Design &amp; Fulfillment'!$C$7:$D$27,Overview!B32,'Design &amp; Fulfillment'!$D$7:$D$27),(SUMIF('Design &amp; Fulfillment'!$C$7:$D$27,Overview!B32,'Design &amp; Fulfillment'!$D$7:$D$27)*'Design &amp; Fulfillment'!$C$4))+IF(Workplace!$C$3="Project",SUMIF(Workplace!$C$7:$D$27,Overview!B32,Workplace!$D$7:$D$27),(SUMIF(Workplace!$C$7:$D$27,Overview!B32,Workplace!$D$7:$D$27)*Workplace!$C$4))+IF(Integration!$C$3="Project",SUMIF(Integration!$C$7:$D$27,Overview!B32,Integration!$D$7:$D$27),(SUMIF(Integration!$C$7:$D$27,Overview!B32,Integration!$D$7:$D$27)*Integration!$C$4))+IF(Logistics!$C$3="Project",SUMIF(Logistics!$C$7:$D$27,Overview!B32,Logistics!$D$7:$D$27),(SUMIF(Logistics!$C$7:$D$27,Overview!B32,Logistics!$D$7:$D$27)*Logistics!$C$4))+IF('Service Desk'!$C$3="Project",SUMIF('Service Desk'!$C$7:$D$27,Overview!B32,'Service Desk'!$D$7:$D$27),(SUMIF('Service Desk'!$C$7:$D$27,Overview!B32,'Service Desk'!$D$7:$D$27)*'Service Desk'!$C$4))+IF('Pro Services'!$C$3="Project",SUMIF('Pro Services'!$C$7:$D$27,Overview!B32,'Pro Services'!$D$7:$D$27),(SUMIF('Pro Services'!$C$7:$D$27,Overview!B32,'Pro Services'!$D$7:$D$27)*'Pro Services'!$C$4))</f>
        <v>0</v>
      </c>
      <c r="D32" s="53">
        <f ca="1">IF(Startup!$C$3="Project",SUMIF(Startup!$C$7:$H$27,Overview!B32,Startup!$H$7:$H$27),(SUMIF(Startup!$C$7:$H$27,Overview!B32,Startup!$H$7:$H$27)*Startup!$C$4))+IF(Pilot!$C$3="Project",SUMIF(Pilot!$C$7:$H$27,Overview!B32,Pilot!$H$7:$H$27),(SUMIF(Pilot!$C$7:$H$27,Overview!B32,Pilot!$H$7:$H$27)*Pilot!$C$4))+IF(PMO!$C$3="Project",SUMIF(PMO!$C$7:$H$27,Overview!B32,PMO!$H$7:$H$27),(SUMIF(PMO!$C$7:$H$27,Overview!B32,PMO!$H$7:$H$27)*PMO!$C$4))+IF('Design &amp; Fulfillment'!$C$3="Project",SUMIF('Design &amp; Fulfillment'!$C$7:$H$27,Overview!B32,'Design &amp; Fulfillment'!$H$7:$H$27),(SUMIF('Design &amp; Fulfillment'!$C$7:$H$27,Overview!B32,'Design &amp; Fulfillment'!$H$7:$H$27)*'Design &amp; Fulfillment'!$C$4))+IF(Workplace!$C$3="Project",SUMIF(Workplace!$C$7:$H$27,Overview!B32,Workplace!$H$7:$H$27),(SUMIF(Workplace!$C$7:$H$27,Overview!B32,Workplace!$H$7:$H$27)*Workplace!$C$4))+IF(Integration!$C$3="Project",SUMIF(Integration!$C$7:$H$27,Overview!B32,Integration!$H$7:$H$27),(SUMIF(Integration!$C$7:$H$27,Overview!B32,Integration!$H$7:$H$27)*Integration!$C$4))+IF(Logistics!$C$3="Project",SUMIF(Logistics!$C$7:$H$27,Overview!B32,Logistics!$H$7:$H$27),(SUMIF(Logistics!$C$7:$H$27,Overview!B32,Logistics!$H$7:$H$27)*Logistics!$C$4))+IF('Service Desk'!$C$3="Project",SUMIF('Service Desk'!$C$7:$H$27,Overview!B32,'Service Desk'!$H$7:$H$27),(SUMIF('Service Desk'!$C$7:$H$27,Overview!B32,'Service Desk'!$H$7:$H$27)*'Service Desk'!$C$4))+IF('Pro Services'!$C$3="Project",SUMIF('Pro Services'!$C$7:$H$27,Overview!B32,'Pro Services'!$H$7:$H$27),(SUMIF('Pro Services'!$C$7:$H$27,Overview!B32,'Pro Services'!$H$7:$H$27)*'Pro Services'!$C$4))</f>
        <v>0</v>
      </c>
      <c r="E32" s="52">
        <f t="shared" ca="1" si="19"/>
        <v>0</v>
      </c>
      <c r="F32" s="52">
        <f t="shared" ref="F32:AK32" si="25">IFERROR(IF(F$28="FALSE",0,$C$32/$C$8),0)</f>
        <v>0</v>
      </c>
      <c r="G32" s="52">
        <f t="shared" si="25"/>
        <v>0</v>
      </c>
      <c r="H32" s="52">
        <f t="shared" si="25"/>
        <v>0</v>
      </c>
      <c r="I32" s="52">
        <f t="shared" si="25"/>
        <v>0</v>
      </c>
      <c r="J32" s="52">
        <f t="shared" si="25"/>
        <v>0</v>
      </c>
      <c r="K32" s="52">
        <f t="shared" si="25"/>
        <v>0</v>
      </c>
      <c r="L32" s="52">
        <f t="shared" si="25"/>
        <v>0</v>
      </c>
      <c r="M32" s="52">
        <f t="shared" si="25"/>
        <v>0</v>
      </c>
      <c r="N32" s="52">
        <f t="shared" si="25"/>
        <v>0</v>
      </c>
      <c r="O32" s="52">
        <f t="shared" si="25"/>
        <v>0</v>
      </c>
      <c r="P32" s="52">
        <f t="shared" si="25"/>
        <v>0</v>
      </c>
      <c r="Q32" s="52">
        <f t="shared" si="25"/>
        <v>0</v>
      </c>
      <c r="R32" s="52">
        <f t="shared" si="25"/>
        <v>0</v>
      </c>
      <c r="S32" s="52">
        <f t="shared" si="25"/>
        <v>0</v>
      </c>
      <c r="T32" s="52">
        <f t="shared" si="25"/>
        <v>0</v>
      </c>
      <c r="U32" s="52">
        <f t="shared" si="25"/>
        <v>0</v>
      </c>
      <c r="V32" s="52">
        <f t="shared" si="25"/>
        <v>0</v>
      </c>
      <c r="W32" s="52">
        <f t="shared" si="25"/>
        <v>0</v>
      </c>
      <c r="X32" s="52">
        <f t="shared" si="25"/>
        <v>0</v>
      </c>
      <c r="Y32" s="52">
        <f t="shared" si="25"/>
        <v>0</v>
      </c>
      <c r="Z32" s="52">
        <f t="shared" si="25"/>
        <v>0</v>
      </c>
      <c r="AA32" s="52">
        <f t="shared" si="25"/>
        <v>0</v>
      </c>
      <c r="AB32" s="52">
        <f t="shared" si="25"/>
        <v>0</v>
      </c>
      <c r="AC32" s="52">
        <f t="shared" si="25"/>
        <v>0</v>
      </c>
      <c r="AD32" s="52">
        <f t="shared" si="25"/>
        <v>0</v>
      </c>
      <c r="AE32" s="52">
        <f t="shared" si="25"/>
        <v>0</v>
      </c>
      <c r="AF32" s="52">
        <f t="shared" si="25"/>
        <v>0</v>
      </c>
      <c r="AG32" s="52">
        <f t="shared" si="25"/>
        <v>0</v>
      </c>
      <c r="AH32" s="52">
        <f t="shared" si="25"/>
        <v>0</v>
      </c>
      <c r="AI32" s="52">
        <f t="shared" si="25"/>
        <v>0</v>
      </c>
      <c r="AJ32" s="52">
        <f t="shared" si="25"/>
        <v>0</v>
      </c>
      <c r="AK32" s="52">
        <f t="shared" si="25"/>
        <v>0</v>
      </c>
      <c r="AL32" s="52">
        <f t="shared" ref="AL32:BQ32" si="26">IFERROR(IF(AL$28="FALSE",0,$C$32/$C$8),0)</f>
        <v>0</v>
      </c>
      <c r="AM32" s="52">
        <f t="shared" si="26"/>
        <v>0</v>
      </c>
      <c r="AN32" s="52">
        <f t="shared" si="26"/>
        <v>0</v>
      </c>
      <c r="AO32" s="52">
        <f t="shared" si="26"/>
        <v>0</v>
      </c>
      <c r="AP32" s="52">
        <f t="shared" si="26"/>
        <v>0</v>
      </c>
      <c r="AQ32" s="52">
        <f t="shared" si="26"/>
        <v>0</v>
      </c>
      <c r="AR32" s="52">
        <f t="shared" si="26"/>
        <v>0</v>
      </c>
      <c r="AS32" s="52">
        <f t="shared" si="26"/>
        <v>0</v>
      </c>
      <c r="AT32" s="52">
        <f t="shared" si="26"/>
        <v>0</v>
      </c>
      <c r="AU32" s="52">
        <f t="shared" si="26"/>
        <v>0</v>
      </c>
      <c r="AV32" s="52">
        <f t="shared" si="26"/>
        <v>0</v>
      </c>
      <c r="AW32" s="52">
        <f t="shared" si="26"/>
        <v>0</v>
      </c>
      <c r="AX32" s="52">
        <f t="shared" si="26"/>
        <v>0</v>
      </c>
      <c r="AY32" s="52">
        <f t="shared" si="26"/>
        <v>0</v>
      </c>
      <c r="AZ32" s="52">
        <f t="shared" si="26"/>
        <v>0</v>
      </c>
      <c r="BA32" s="52">
        <f t="shared" si="26"/>
        <v>0</v>
      </c>
      <c r="BB32" s="52">
        <f t="shared" si="26"/>
        <v>0</v>
      </c>
      <c r="BC32" s="52">
        <f t="shared" si="26"/>
        <v>0</v>
      </c>
      <c r="BD32" s="52">
        <f t="shared" si="26"/>
        <v>0</v>
      </c>
      <c r="BE32" s="52">
        <f t="shared" si="26"/>
        <v>0</v>
      </c>
      <c r="BF32" s="52">
        <f t="shared" si="26"/>
        <v>0</v>
      </c>
      <c r="BG32" s="52">
        <f t="shared" si="26"/>
        <v>0</v>
      </c>
      <c r="BH32" s="52">
        <f t="shared" si="26"/>
        <v>0</v>
      </c>
      <c r="BI32" s="52">
        <f t="shared" si="26"/>
        <v>0</v>
      </c>
      <c r="BJ32" s="52">
        <f t="shared" si="26"/>
        <v>0</v>
      </c>
      <c r="BK32" s="52">
        <f t="shared" si="26"/>
        <v>0</v>
      </c>
      <c r="BL32" s="52">
        <f t="shared" si="26"/>
        <v>0</v>
      </c>
      <c r="BM32" s="52">
        <f t="shared" si="26"/>
        <v>0</v>
      </c>
      <c r="BN32" s="52">
        <f t="shared" si="26"/>
        <v>0</v>
      </c>
      <c r="BO32" s="52">
        <f t="shared" si="26"/>
        <v>0</v>
      </c>
      <c r="BP32" s="52">
        <f t="shared" si="26"/>
        <v>0</v>
      </c>
      <c r="BQ32" s="52">
        <f t="shared" si="26"/>
        <v>0</v>
      </c>
      <c r="BR32" s="52">
        <f t="shared" ref="BR32:CW32" si="27">IFERROR(IF(BR$28="FALSE",0,$C$32/$C$8),0)</f>
        <v>0</v>
      </c>
      <c r="BS32" s="52">
        <f t="shared" si="27"/>
        <v>0</v>
      </c>
      <c r="BT32" s="52">
        <f t="shared" si="27"/>
        <v>0</v>
      </c>
      <c r="BU32" s="52">
        <f t="shared" si="27"/>
        <v>0</v>
      </c>
      <c r="BV32" s="52">
        <f t="shared" si="27"/>
        <v>0</v>
      </c>
      <c r="BW32" s="52">
        <f t="shared" si="27"/>
        <v>0</v>
      </c>
      <c r="BX32" s="52">
        <f t="shared" si="27"/>
        <v>0</v>
      </c>
      <c r="BY32" s="52">
        <f t="shared" si="27"/>
        <v>0</v>
      </c>
      <c r="BZ32" s="52">
        <f t="shared" si="27"/>
        <v>0</v>
      </c>
      <c r="CA32" s="52">
        <f t="shared" si="27"/>
        <v>0</v>
      </c>
      <c r="CB32" s="52">
        <f t="shared" si="27"/>
        <v>0</v>
      </c>
      <c r="CC32" s="52">
        <f t="shared" si="27"/>
        <v>0</v>
      </c>
      <c r="CD32" s="52">
        <f t="shared" si="27"/>
        <v>0</v>
      </c>
      <c r="CE32" s="52">
        <f t="shared" si="27"/>
        <v>0</v>
      </c>
      <c r="CF32" s="52">
        <f t="shared" si="27"/>
        <v>0</v>
      </c>
      <c r="CG32" s="52">
        <f t="shared" si="27"/>
        <v>0</v>
      </c>
      <c r="CH32" s="52">
        <f t="shared" si="27"/>
        <v>0</v>
      </c>
      <c r="CI32" s="52">
        <f t="shared" si="27"/>
        <v>0</v>
      </c>
      <c r="CJ32" s="52">
        <f t="shared" si="27"/>
        <v>0</v>
      </c>
      <c r="CK32" s="52">
        <f t="shared" si="27"/>
        <v>0</v>
      </c>
      <c r="CL32" s="52">
        <f t="shared" si="27"/>
        <v>0</v>
      </c>
      <c r="CM32" s="52">
        <f t="shared" si="27"/>
        <v>0</v>
      </c>
      <c r="CN32" s="52">
        <f t="shared" si="27"/>
        <v>0</v>
      </c>
      <c r="CO32" s="52">
        <f t="shared" si="27"/>
        <v>0</v>
      </c>
      <c r="CP32" s="52">
        <f t="shared" si="27"/>
        <v>0</v>
      </c>
      <c r="CQ32" s="52">
        <f t="shared" si="27"/>
        <v>0</v>
      </c>
      <c r="CR32" s="52">
        <f t="shared" si="27"/>
        <v>0</v>
      </c>
      <c r="CS32" s="52">
        <f t="shared" si="27"/>
        <v>0</v>
      </c>
      <c r="CT32" s="52">
        <f t="shared" si="27"/>
        <v>0</v>
      </c>
      <c r="CU32" s="52">
        <f t="shared" si="27"/>
        <v>0</v>
      </c>
      <c r="CV32" s="52">
        <f t="shared" si="27"/>
        <v>0</v>
      </c>
      <c r="CW32" s="52">
        <f t="shared" si="27"/>
        <v>0</v>
      </c>
      <c r="CX32" s="52">
        <f t="shared" ref="CX32:EC32" si="28">IFERROR(IF(CX$28="FALSE",0,$C$32/$C$8),0)</f>
        <v>0</v>
      </c>
      <c r="CY32" s="52">
        <f t="shared" si="28"/>
        <v>0</v>
      </c>
      <c r="CZ32" s="52">
        <f t="shared" si="28"/>
        <v>0</v>
      </c>
      <c r="DA32" s="52">
        <f t="shared" si="28"/>
        <v>0</v>
      </c>
      <c r="DB32" s="52">
        <f t="shared" si="28"/>
        <v>0</v>
      </c>
      <c r="DC32" s="52">
        <f t="shared" si="28"/>
        <v>0</v>
      </c>
      <c r="DD32" s="52">
        <f t="shared" si="28"/>
        <v>0</v>
      </c>
      <c r="DE32" s="52">
        <f t="shared" si="28"/>
        <v>0</v>
      </c>
      <c r="DF32" s="52">
        <f t="shared" si="28"/>
        <v>0</v>
      </c>
      <c r="DG32" s="52">
        <f t="shared" si="28"/>
        <v>0</v>
      </c>
      <c r="DH32" s="52">
        <f t="shared" si="28"/>
        <v>0</v>
      </c>
      <c r="DI32" s="52">
        <f t="shared" si="28"/>
        <v>0</v>
      </c>
      <c r="DJ32" s="52">
        <f t="shared" si="28"/>
        <v>0</v>
      </c>
      <c r="DK32" s="52">
        <f t="shared" si="28"/>
        <v>0</v>
      </c>
      <c r="DL32" s="52">
        <f t="shared" si="28"/>
        <v>0</v>
      </c>
      <c r="DM32" s="52">
        <f t="shared" si="28"/>
        <v>0</v>
      </c>
      <c r="DN32" s="52">
        <f t="shared" si="28"/>
        <v>0</v>
      </c>
      <c r="DO32" s="52">
        <f t="shared" si="28"/>
        <v>0</v>
      </c>
      <c r="DP32" s="52">
        <f t="shared" si="28"/>
        <v>0</v>
      </c>
      <c r="DQ32" s="52">
        <f t="shared" si="28"/>
        <v>0</v>
      </c>
      <c r="DR32" s="52">
        <f t="shared" si="28"/>
        <v>0</v>
      </c>
      <c r="DS32" s="52">
        <f t="shared" si="28"/>
        <v>0</v>
      </c>
      <c r="DT32" s="52">
        <f t="shared" si="28"/>
        <v>0</v>
      </c>
      <c r="DU32" s="52">
        <f t="shared" si="28"/>
        <v>0</v>
      </c>
      <c r="DV32" s="52">
        <f t="shared" si="28"/>
        <v>0</v>
      </c>
      <c r="DW32" s="52">
        <f t="shared" si="28"/>
        <v>0</v>
      </c>
      <c r="DX32" s="52">
        <f t="shared" si="28"/>
        <v>0</v>
      </c>
      <c r="DY32" s="52">
        <f t="shared" si="28"/>
        <v>0</v>
      </c>
      <c r="DZ32" s="52">
        <f t="shared" si="28"/>
        <v>0</v>
      </c>
      <c r="EA32" s="52">
        <f t="shared" si="28"/>
        <v>0</v>
      </c>
      <c r="EB32" s="52">
        <f t="shared" si="28"/>
        <v>0</v>
      </c>
      <c r="EC32" s="52">
        <f t="shared" si="28"/>
        <v>0</v>
      </c>
      <c r="ED32" s="52">
        <f t="shared" ref="ED32:FD32" si="29">IFERROR(IF(ED$28="FALSE",0,$C$32/$C$8),0)</f>
        <v>0</v>
      </c>
      <c r="EE32" s="52">
        <f t="shared" si="29"/>
        <v>0</v>
      </c>
      <c r="EF32" s="52">
        <f t="shared" si="29"/>
        <v>0</v>
      </c>
      <c r="EG32" s="52">
        <f t="shared" si="29"/>
        <v>0</v>
      </c>
      <c r="EH32" s="52">
        <f t="shared" si="29"/>
        <v>0</v>
      </c>
      <c r="EI32" s="52">
        <f t="shared" si="29"/>
        <v>0</v>
      </c>
      <c r="EJ32" s="52">
        <f t="shared" si="29"/>
        <v>0</v>
      </c>
      <c r="EK32" s="52">
        <f t="shared" si="29"/>
        <v>0</v>
      </c>
      <c r="EL32" s="52">
        <f t="shared" si="29"/>
        <v>0</v>
      </c>
      <c r="EM32" s="52">
        <f t="shared" si="29"/>
        <v>0</v>
      </c>
      <c r="EN32" s="52">
        <f t="shared" si="29"/>
        <v>0</v>
      </c>
      <c r="EO32" s="52">
        <f t="shared" si="29"/>
        <v>0</v>
      </c>
      <c r="EP32" s="52">
        <f t="shared" si="29"/>
        <v>0</v>
      </c>
      <c r="EQ32" s="52">
        <f t="shared" si="29"/>
        <v>0</v>
      </c>
      <c r="ER32" s="52">
        <f t="shared" si="29"/>
        <v>0</v>
      </c>
      <c r="ES32" s="52">
        <f t="shared" si="29"/>
        <v>0</v>
      </c>
      <c r="ET32" s="52">
        <f t="shared" si="29"/>
        <v>0</v>
      </c>
      <c r="EU32" s="52">
        <f t="shared" si="29"/>
        <v>0</v>
      </c>
      <c r="EV32" s="52">
        <f t="shared" si="29"/>
        <v>0</v>
      </c>
      <c r="EW32" s="52">
        <f t="shared" si="29"/>
        <v>0</v>
      </c>
      <c r="EX32" s="52">
        <f t="shared" si="29"/>
        <v>0</v>
      </c>
      <c r="EY32" s="52">
        <f t="shared" si="29"/>
        <v>0</v>
      </c>
      <c r="EZ32" s="52">
        <f t="shared" si="29"/>
        <v>0</v>
      </c>
      <c r="FA32" s="52">
        <f t="shared" si="29"/>
        <v>0</v>
      </c>
      <c r="FB32" s="52">
        <f t="shared" si="29"/>
        <v>0</v>
      </c>
      <c r="FC32" s="52">
        <f t="shared" si="29"/>
        <v>0</v>
      </c>
      <c r="FD32" s="52">
        <f t="shared" si="29"/>
        <v>0</v>
      </c>
    </row>
    <row r="33" spans="2:160">
      <c r="B33" s="51" t="s">
        <v>108</v>
      </c>
      <c r="C33" s="52">
        <f ca="1">IF(Startup!$C$3="Project",SUMIF(Startup!$C$7:$D$27,Overview!B33,Startup!$D$7:$D$27),(SUMIF(Startup!$C$7:$D$27,Overview!B33,Startup!$D$7:$D$27)*Startup!$C$4))+IF(Pilot!$C$3="Project",SUMIF(Pilot!$C$7:$D$27,Overview!B33,Pilot!$D$7:$D$27),(SUMIF(Pilot!$C$7:$D$27,Overview!B33,Pilot!$D$7:$D$27)*Pilot!$C$4))+IF(PMO!$C$3="Project",SUMIF(PMO!$C$7:$D$27,Overview!B33,PMO!$D$7:$D$27),(SUMIF(PMO!$C$7:$D$27,Overview!B33,PMO!$D$7:$D$27)*PMO!$C$4))+IF('Design &amp; Fulfillment'!$C$3="Project",SUMIF('Design &amp; Fulfillment'!$C$7:$D$27,Overview!B33,'Design &amp; Fulfillment'!$D$7:$D$27),(SUMIF('Design &amp; Fulfillment'!$C$7:$D$27,Overview!B33,'Design &amp; Fulfillment'!$D$7:$D$27)*'Design &amp; Fulfillment'!$C$4))+IF(Workplace!$C$3="Project",SUMIF(Workplace!$C$7:$D$27,Overview!B33,Workplace!$D$7:$D$27),(SUMIF(Workplace!$C$7:$D$27,Overview!B33,Workplace!$D$7:$D$27)*Workplace!$C$4))+IF(Integration!$C$3="Project",SUMIF(Integration!$C$7:$D$27,Overview!B33,Integration!$D$7:$D$27),(SUMIF(Integration!$C$7:$D$27,Overview!B33,Integration!$D$7:$D$27)*Integration!$C$4))+IF(Logistics!$C$3="Project",SUMIF(Logistics!$C$7:$D$27,Overview!B33,Logistics!$D$7:$D$27),(SUMIF(Logistics!$C$7:$D$27,Overview!B33,Logistics!$D$7:$D$27)*Logistics!$C$4))+IF('Service Desk'!$C$3="Project",SUMIF('Service Desk'!$C$7:$D$27,Overview!B33,'Service Desk'!$D$7:$D$27),(SUMIF('Service Desk'!$C$7:$D$27,Overview!B33,'Service Desk'!$D$7:$D$27)*'Service Desk'!$C$4))+IF('Pro Services'!$C$3="Project",SUMIF('Pro Services'!$C$7:$D$27,Overview!B33,'Pro Services'!$D$7:$D$27),(SUMIF('Pro Services'!$C$7:$D$27,Overview!B33,'Pro Services'!$D$7:$D$27)*'Pro Services'!$C$4))</f>
        <v>0</v>
      </c>
      <c r="D33" s="53">
        <f ca="1">IF(Startup!$C$3="Project",SUMIF(Startup!$C$7:$H$27,Overview!B33,Startup!$H$7:$H$27),(SUMIF(Startup!$C$7:$H$27,Overview!B33,Startup!$H$7:$H$27)*Startup!$C$4))+IF(Pilot!$C$3="Project",SUMIF(Pilot!$C$7:$H$27,Overview!B33,Pilot!$H$7:$H$27),(SUMIF(Pilot!$C$7:$H$27,Overview!B33,Pilot!$H$7:$H$27)*Pilot!$C$4))+IF(PMO!$C$3="Project",SUMIF(PMO!$C$7:$H$27,Overview!B33,PMO!$H$7:$H$27),(SUMIF(PMO!$C$7:$H$27,Overview!B33,PMO!$H$7:$H$27)*PMO!$C$4))+IF('Design &amp; Fulfillment'!$C$3="Project",SUMIF('Design &amp; Fulfillment'!$C$7:$H$27,Overview!B33,'Design &amp; Fulfillment'!$H$7:$H$27),(SUMIF('Design &amp; Fulfillment'!$C$7:$H$27,Overview!B33,'Design &amp; Fulfillment'!$H$7:$H$27)*'Design &amp; Fulfillment'!$C$4))+IF(Workplace!$C$3="Project",SUMIF(Workplace!$C$7:$H$27,Overview!B33,Workplace!$H$7:$H$27),(SUMIF(Workplace!$C$7:$H$27,Overview!B33,Workplace!$H$7:$H$27)*Workplace!$C$4))+IF(Integration!$C$3="Project",SUMIF(Integration!$C$7:$H$27,Overview!B33,Integration!$H$7:$H$27),(SUMIF(Integration!$C$7:$H$27,Overview!B33,Integration!$H$7:$H$27)*Integration!$C$4))+IF(Logistics!$C$3="Project",SUMIF(Logistics!$C$7:$H$27,Overview!B33,Logistics!$H$7:$H$27),(SUMIF(Logistics!$C$7:$H$27,Overview!B33,Logistics!$H$7:$H$27)*Logistics!$C$4))+IF('Service Desk'!$C$3="Project",SUMIF('Service Desk'!$C$7:$H$27,Overview!B33,'Service Desk'!$H$7:$H$27),(SUMIF('Service Desk'!$C$7:$H$27,Overview!B33,'Service Desk'!$H$7:$H$27)*'Service Desk'!$C$4))+IF('Pro Services'!$C$3="Project",SUMIF('Pro Services'!$C$7:$H$27,Overview!B33,'Pro Services'!$H$7:$H$27),(SUMIF('Pro Services'!$C$7:$H$27,Overview!B33,'Pro Services'!$H$7:$H$27)*'Pro Services'!$C$4))</f>
        <v>0</v>
      </c>
      <c r="E33" s="52">
        <f t="shared" ca="1" si="19"/>
        <v>0</v>
      </c>
      <c r="F33" s="52">
        <f t="shared" ref="F33:AK33" si="30">IFERROR(IF(F$28="FALSE",0,$C$33/$C$8),0)</f>
        <v>0</v>
      </c>
      <c r="G33" s="52">
        <f t="shared" si="30"/>
        <v>0</v>
      </c>
      <c r="H33" s="52">
        <f t="shared" si="30"/>
        <v>0</v>
      </c>
      <c r="I33" s="52">
        <f t="shared" si="30"/>
        <v>0</v>
      </c>
      <c r="J33" s="52">
        <f t="shared" si="30"/>
        <v>0</v>
      </c>
      <c r="K33" s="52">
        <f t="shared" si="30"/>
        <v>0</v>
      </c>
      <c r="L33" s="52">
        <f t="shared" si="30"/>
        <v>0</v>
      </c>
      <c r="M33" s="52">
        <f t="shared" si="30"/>
        <v>0</v>
      </c>
      <c r="N33" s="52">
        <f t="shared" si="30"/>
        <v>0</v>
      </c>
      <c r="O33" s="52">
        <f t="shared" si="30"/>
        <v>0</v>
      </c>
      <c r="P33" s="52">
        <f t="shared" si="30"/>
        <v>0</v>
      </c>
      <c r="Q33" s="52">
        <f t="shared" si="30"/>
        <v>0</v>
      </c>
      <c r="R33" s="52">
        <f t="shared" si="30"/>
        <v>0</v>
      </c>
      <c r="S33" s="52">
        <f t="shared" si="30"/>
        <v>0</v>
      </c>
      <c r="T33" s="52">
        <f t="shared" si="30"/>
        <v>0</v>
      </c>
      <c r="U33" s="52">
        <f t="shared" si="30"/>
        <v>0</v>
      </c>
      <c r="V33" s="52">
        <f t="shared" si="30"/>
        <v>0</v>
      </c>
      <c r="W33" s="52">
        <f t="shared" si="30"/>
        <v>0</v>
      </c>
      <c r="X33" s="52">
        <f t="shared" si="30"/>
        <v>0</v>
      </c>
      <c r="Y33" s="52">
        <f t="shared" si="30"/>
        <v>0</v>
      </c>
      <c r="Z33" s="52">
        <f t="shared" si="30"/>
        <v>0</v>
      </c>
      <c r="AA33" s="52">
        <f t="shared" si="30"/>
        <v>0</v>
      </c>
      <c r="AB33" s="52">
        <f t="shared" si="30"/>
        <v>0</v>
      </c>
      <c r="AC33" s="52">
        <f t="shared" si="30"/>
        <v>0</v>
      </c>
      <c r="AD33" s="52">
        <f t="shared" si="30"/>
        <v>0</v>
      </c>
      <c r="AE33" s="52">
        <f t="shared" si="30"/>
        <v>0</v>
      </c>
      <c r="AF33" s="52">
        <f t="shared" si="30"/>
        <v>0</v>
      </c>
      <c r="AG33" s="52">
        <f t="shared" si="30"/>
        <v>0</v>
      </c>
      <c r="AH33" s="52">
        <f t="shared" si="30"/>
        <v>0</v>
      </c>
      <c r="AI33" s="52">
        <f t="shared" si="30"/>
        <v>0</v>
      </c>
      <c r="AJ33" s="52">
        <f t="shared" si="30"/>
        <v>0</v>
      </c>
      <c r="AK33" s="52">
        <f t="shared" si="30"/>
        <v>0</v>
      </c>
      <c r="AL33" s="52">
        <f t="shared" ref="AL33:BQ33" si="31">IFERROR(IF(AL$28="FALSE",0,$C$33/$C$8),0)</f>
        <v>0</v>
      </c>
      <c r="AM33" s="52">
        <f t="shared" si="31"/>
        <v>0</v>
      </c>
      <c r="AN33" s="52">
        <f t="shared" si="31"/>
        <v>0</v>
      </c>
      <c r="AO33" s="52">
        <f t="shared" si="31"/>
        <v>0</v>
      </c>
      <c r="AP33" s="52">
        <f t="shared" si="31"/>
        <v>0</v>
      </c>
      <c r="AQ33" s="52">
        <f t="shared" si="31"/>
        <v>0</v>
      </c>
      <c r="AR33" s="52">
        <f t="shared" si="31"/>
        <v>0</v>
      </c>
      <c r="AS33" s="52">
        <f t="shared" si="31"/>
        <v>0</v>
      </c>
      <c r="AT33" s="52">
        <f t="shared" si="31"/>
        <v>0</v>
      </c>
      <c r="AU33" s="52">
        <f t="shared" si="31"/>
        <v>0</v>
      </c>
      <c r="AV33" s="52">
        <f t="shared" si="31"/>
        <v>0</v>
      </c>
      <c r="AW33" s="52">
        <f t="shared" si="31"/>
        <v>0</v>
      </c>
      <c r="AX33" s="52">
        <f t="shared" si="31"/>
        <v>0</v>
      </c>
      <c r="AY33" s="52">
        <f t="shared" si="31"/>
        <v>0</v>
      </c>
      <c r="AZ33" s="52">
        <f t="shared" si="31"/>
        <v>0</v>
      </c>
      <c r="BA33" s="52">
        <f t="shared" si="31"/>
        <v>0</v>
      </c>
      <c r="BB33" s="52">
        <f t="shared" si="31"/>
        <v>0</v>
      </c>
      <c r="BC33" s="52">
        <f t="shared" si="31"/>
        <v>0</v>
      </c>
      <c r="BD33" s="52">
        <f t="shared" si="31"/>
        <v>0</v>
      </c>
      <c r="BE33" s="52">
        <f t="shared" si="31"/>
        <v>0</v>
      </c>
      <c r="BF33" s="52">
        <f t="shared" si="31"/>
        <v>0</v>
      </c>
      <c r="BG33" s="52">
        <f t="shared" si="31"/>
        <v>0</v>
      </c>
      <c r="BH33" s="52">
        <f t="shared" si="31"/>
        <v>0</v>
      </c>
      <c r="BI33" s="52">
        <f t="shared" si="31"/>
        <v>0</v>
      </c>
      <c r="BJ33" s="52">
        <f t="shared" si="31"/>
        <v>0</v>
      </c>
      <c r="BK33" s="52">
        <f t="shared" si="31"/>
        <v>0</v>
      </c>
      <c r="BL33" s="52">
        <f t="shared" si="31"/>
        <v>0</v>
      </c>
      <c r="BM33" s="52">
        <f t="shared" si="31"/>
        <v>0</v>
      </c>
      <c r="BN33" s="52">
        <f t="shared" si="31"/>
        <v>0</v>
      </c>
      <c r="BO33" s="52">
        <f t="shared" si="31"/>
        <v>0</v>
      </c>
      <c r="BP33" s="52">
        <f t="shared" si="31"/>
        <v>0</v>
      </c>
      <c r="BQ33" s="52">
        <f t="shared" si="31"/>
        <v>0</v>
      </c>
      <c r="BR33" s="52">
        <f t="shared" ref="BR33:CW33" si="32">IFERROR(IF(BR$28="FALSE",0,$C$33/$C$8),0)</f>
        <v>0</v>
      </c>
      <c r="BS33" s="52">
        <f t="shared" si="32"/>
        <v>0</v>
      </c>
      <c r="BT33" s="52">
        <f t="shared" si="32"/>
        <v>0</v>
      </c>
      <c r="BU33" s="52">
        <f t="shared" si="32"/>
        <v>0</v>
      </c>
      <c r="BV33" s="52">
        <f t="shared" si="32"/>
        <v>0</v>
      </c>
      <c r="BW33" s="52">
        <f t="shared" si="32"/>
        <v>0</v>
      </c>
      <c r="BX33" s="52">
        <f t="shared" si="32"/>
        <v>0</v>
      </c>
      <c r="BY33" s="52">
        <f t="shared" si="32"/>
        <v>0</v>
      </c>
      <c r="BZ33" s="52">
        <f t="shared" si="32"/>
        <v>0</v>
      </c>
      <c r="CA33" s="52">
        <f t="shared" si="32"/>
        <v>0</v>
      </c>
      <c r="CB33" s="52">
        <f t="shared" si="32"/>
        <v>0</v>
      </c>
      <c r="CC33" s="52">
        <f t="shared" si="32"/>
        <v>0</v>
      </c>
      <c r="CD33" s="52">
        <f t="shared" si="32"/>
        <v>0</v>
      </c>
      <c r="CE33" s="52">
        <f t="shared" si="32"/>
        <v>0</v>
      </c>
      <c r="CF33" s="52">
        <f t="shared" si="32"/>
        <v>0</v>
      </c>
      <c r="CG33" s="52">
        <f t="shared" si="32"/>
        <v>0</v>
      </c>
      <c r="CH33" s="52">
        <f t="shared" si="32"/>
        <v>0</v>
      </c>
      <c r="CI33" s="52">
        <f t="shared" si="32"/>
        <v>0</v>
      </c>
      <c r="CJ33" s="52">
        <f t="shared" si="32"/>
        <v>0</v>
      </c>
      <c r="CK33" s="52">
        <f t="shared" si="32"/>
        <v>0</v>
      </c>
      <c r="CL33" s="52">
        <f t="shared" si="32"/>
        <v>0</v>
      </c>
      <c r="CM33" s="52">
        <f t="shared" si="32"/>
        <v>0</v>
      </c>
      <c r="CN33" s="52">
        <f t="shared" si="32"/>
        <v>0</v>
      </c>
      <c r="CO33" s="52">
        <f t="shared" si="32"/>
        <v>0</v>
      </c>
      <c r="CP33" s="52">
        <f t="shared" si="32"/>
        <v>0</v>
      </c>
      <c r="CQ33" s="52">
        <f t="shared" si="32"/>
        <v>0</v>
      </c>
      <c r="CR33" s="52">
        <f t="shared" si="32"/>
        <v>0</v>
      </c>
      <c r="CS33" s="52">
        <f t="shared" si="32"/>
        <v>0</v>
      </c>
      <c r="CT33" s="52">
        <f t="shared" si="32"/>
        <v>0</v>
      </c>
      <c r="CU33" s="52">
        <f t="shared" si="32"/>
        <v>0</v>
      </c>
      <c r="CV33" s="52">
        <f t="shared" si="32"/>
        <v>0</v>
      </c>
      <c r="CW33" s="52">
        <f t="shared" si="32"/>
        <v>0</v>
      </c>
      <c r="CX33" s="52">
        <f t="shared" ref="CX33:EC33" si="33">IFERROR(IF(CX$28="FALSE",0,$C$33/$C$8),0)</f>
        <v>0</v>
      </c>
      <c r="CY33" s="52">
        <f t="shared" si="33"/>
        <v>0</v>
      </c>
      <c r="CZ33" s="52">
        <f t="shared" si="33"/>
        <v>0</v>
      </c>
      <c r="DA33" s="52">
        <f t="shared" si="33"/>
        <v>0</v>
      </c>
      <c r="DB33" s="52">
        <f t="shared" si="33"/>
        <v>0</v>
      </c>
      <c r="DC33" s="52">
        <f t="shared" si="33"/>
        <v>0</v>
      </c>
      <c r="DD33" s="52">
        <f t="shared" si="33"/>
        <v>0</v>
      </c>
      <c r="DE33" s="52">
        <f t="shared" si="33"/>
        <v>0</v>
      </c>
      <c r="DF33" s="52">
        <f t="shared" si="33"/>
        <v>0</v>
      </c>
      <c r="DG33" s="52">
        <f t="shared" si="33"/>
        <v>0</v>
      </c>
      <c r="DH33" s="52">
        <f t="shared" si="33"/>
        <v>0</v>
      </c>
      <c r="DI33" s="52">
        <f t="shared" si="33"/>
        <v>0</v>
      </c>
      <c r="DJ33" s="52">
        <f t="shared" si="33"/>
        <v>0</v>
      </c>
      <c r="DK33" s="52">
        <f t="shared" si="33"/>
        <v>0</v>
      </c>
      <c r="DL33" s="52">
        <f t="shared" si="33"/>
        <v>0</v>
      </c>
      <c r="DM33" s="52">
        <f t="shared" si="33"/>
        <v>0</v>
      </c>
      <c r="DN33" s="52">
        <f t="shared" si="33"/>
        <v>0</v>
      </c>
      <c r="DO33" s="52">
        <f t="shared" si="33"/>
        <v>0</v>
      </c>
      <c r="DP33" s="52">
        <f t="shared" si="33"/>
        <v>0</v>
      </c>
      <c r="DQ33" s="52">
        <f t="shared" si="33"/>
        <v>0</v>
      </c>
      <c r="DR33" s="52">
        <f t="shared" si="33"/>
        <v>0</v>
      </c>
      <c r="DS33" s="52">
        <f t="shared" si="33"/>
        <v>0</v>
      </c>
      <c r="DT33" s="52">
        <f t="shared" si="33"/>
        <v>0</v>
      </c>
      <c r="DU33" s="52">
        <f t="shared" si="33"/>
        <v>0</v>
      </c>
      <c r="DV33" s="52">
        <f t="shared" si="33"/>
        <v>0</v>
      </c>
      <c r="DW33" s="52">
        <f t="shared" si="33"/>
        <v>0</v>
      </c>
      <c r="DX33" s="52">
        <f t="shared" si="33"/>
        <v>0</v>
      </c>
      <c r="DY33" s="52">
        <f t="shared" si="33"/>
        <v>0</v>
      </c>
      <c r="DZ33" s="52">
        <f t="shared" si="33"/>
        <v>0</v>
      </c>
      <c r="EA33" s="52">
        <f t="shared" si="33"/>
        <v>0</v>
      </c>
      <c r="EB33" s="52">
        <f t="shared" si="33"/>
        <v>0</v>
      </c>
      <c r="EC33" s="52">
        <f t="shared" si="33"/>
        <v>0</v>
      </c>
      <c r="ED33" s="52">
        <f t="shared" ref="ED33:FD33" si="34">IFERROR(IF(ED$28="FALSE",0,$C$33/$C$8),0)</f>
        <v>0</v>
      </c>
      <c r="EE33" s="52">
        <f t="shared" si="34"/>
        <v>0</v>
      </c>
      <c r="EF33" s="52">
        <f t="shared" si="34"/>
        <v>0</v>
      </c>
      <c r="EG33" s="52">
        <f t="shared" si="34"/>
        <v>0</v>
      </c>
      <c r="EH33" s="52">
        <f t="shared" si="34"/>
        <v>0</v>
      </c>
      <c r="EI33" s="52">
        <f t="shared" si="34"/>
        <v>0</v>
      </c>
      <c r="EJ33" s="52">
        <f t="shared" si="34"/>
        <v>0</v>
      </c>
      <c r="EK33" s="52">
        <f t="shared" si="34"/>
        <v>0</v>
      </c>
      <c r="EL33" s="52">
        <f t="shared" si="34"/>
        <v>0</v>
      </c>
      <c r="EM33" s="52">
        <f t="shared" si="34"/>
        <v>0</v>
      </c>
      <c r="EN33" s="52">
        <f t="shared" si="34"/>
        <v>0</v>
      </c>
      <c r="EO33" s="52">
        <f t="shared" si="34"/>
        <v>0</v>
      </c>
      <c r="EP33" s="52">
        <f t="shared" si="34"/>
        <v>0</v>
      </c>
      <c r="EQ33" s="52">
        <f t="shared" si="34"/>
        <v>0</v>
      </c>
      <c r="ER33" s="52">
        <f t="shared" si="34"/>
        <v>0</v>
      </c>
      <c r="ES33" s="52">
        <f t="shared" si="34"/>
        <v>0</v>
      </c>
      <c r="ET33" s="52">
        <f t="shared" si="34"/>
        <v>0</v>
      </c>
      <c r="EU33" s="52">
        <f t="shared" si="34"/>
        <v>0</v>
      </c>
      <c r="EV33" s="52">
        <f t="shared" si="34"/>
        <v>0</v>
      </c>
      <c r="EW33" s="52">
        <f t="shared" si="34"/>
        <v>0</v>
      </c>
      <c r="EX33" s="52">
        <f t="shared" si="34"/>
        <v>0</v>
      </c>
      <c r="EY33" s="52">
        <f t="shared" si="34"/>
        <v>0</v>
      </c>
      <c r="EZ33" s="52">
        <f t="shared" si="34"/>
        <v>0</v>
      </c>
      <c r="FA33" s="52">
        <f t="shared" si="34"/>
        <v>0</v>
      </c>
      <c r="FB33" s="52">
        <f t="shared" si="34"/>
        <v>0</v>
      </c>
      <c r="FC33" s="52">
        <f t="shared" si="34"/>
        <v>0</v>
      </c>
      <c r="FD33" s="52">
        <f t="shared" si="34"/>
        <v>0</v>
      </c>
    </row>
    <row r="34" spans="2:160">
      <c r="B34" s="51" t="s">
        <v>109</v>
      </c>
      <c r="C34" s="52">
        <f ca="1">IF(Startup!$C$3="Project",SUMIF(Startup!$C$7:$D$27,Overview!B34,Startup!$D$7:$D$27),(SUMIF(Startup!$C$7:$D$27,Overview!B34,Startup!$D$7:$D$27)*Startup!$C$4))+IF(Pilot!$C$3="Project",SUMIF(Pilot!$C$7:$D$27,Overview!B34,Pilot!$D$7:$D$27),(SUMIF(Pilot!$C$7:$D$27,Overview!B34,Pilot!$D$7:$D$27)*Pilot!$C$4))+IF(PMO!$C$3="Project",SUMIF(PMO!$C$7:$D$27,Overview!B34,PMO!$D$7:$D$27),(SUMIF(PMO!$C$7:$D$27,Overview!B34,PMO!$D$7:$D$27)*PMO!$C$4))+IF('Design &amp; Fulfillment'!$C$3="Project",SUMIF('Design &amp; Fulfillment'!$C$7:$D$27,Overview!B34,'Design &amp; Fulfillment'!$D$7:$D$27),(SUMIF('Design &amp; Fulfillment'!$C$7:$D$27,Overview!B34,'Design &amp; Fulfillment'!$D$7:$D$27)*'Design &amp; Fulfillment'!$C$4))+IF(Workplace!$C$3="Project",SUMIF(Workplace!$C$7:$D$27,Overview!B34,Workplace!$D$7:$D$27),(SUMIF(Workplace!$C$7:$D$27,Overview!B34,Workplace!$D$7:$D$27)*Workplace!$C$4))+IF(Integration!$C$3="Project",SUMIF(Integration!$C$7:$D$27,Overview!B34,Integration!$D$7:$D$27),(SUMIF(Integration!$C$7:$D$27,Overview!B34,Integration!$D$7:$D$27)*Integration!$C$4))+IF(Logistics!$C$3="Project",SUMIF(Logistics!$C$7:$D$27,Overview!B34,Logistics!$D$7:$D$27),(SUMIF(Logistics!$C$7:$D$27,Overview!B34,Logistics!$D$7:$D$27)*Logistics!$C$4))+IF('Service Desk'!$C$3="Project",SUMIF('Service Desk'!$C$7:$D$27,Overview!B34,'Service Desk'!$D$7:$D$27),(SUMIF('Service Desk'!$C$7:$D$27,Overview!B34,'Service Desk'!$D$7:$D$27)*'Service Desk'!$C$4))+IF('Pro Services'!$C$3="Project",SUMIF('Pro Services'!$C$7:$D$27,Overview!B34,'Pro Services'!$D$7:$D$27),(SUMIF('Pro Services'!$C$7:$D$27,Overview!B34,'Pro Services'!$D$7:$D$27)*'Pro Services'!$C$4))</f>
        <v>0</v>
      </c>
      <c r="D34" s="53">
        <f ca="1">IF(Startup!$C$3="Project",SUMIF(Startup!$C$7:$H$27,Overview!B34,Startup!$H$7:$H$27),(SUMIF(Startup!$C$7:$H$27,Overview!B34,Startup!$H$7:$H$27)*Startup!$C$4))+IF(Pilot!$C$3="Project",SUMIF(Pilot!$C$7:$H$27,Overview!B34,Pilot!$H$7:$H$27),(SUMIF(Pilot!$C$7:$H$27,Overview!B34,Pilot!$H$7:$H$27)*Pilot!$C$4))+IF(PMO!$C$3="Project",SUMIF(PMO!$C$7:$H$27,Overview!B34,PMO!$H$7:$H$27),(SUMIF(PMO!$C$7:$H$27,Overview!B34,PMO!$H$7:$H$27)*PMO!$C$4))+IF('Design &amp; Fulfillment'!$C$3="Project",SUMIF('Design &amp; Fulfillment'!$C$7:$H$27,Overview!B34,'Design &amp; Fulfillment'!$H$7:$H$27),(SUMIF('Design &amp; Fulfillment'!$C$7:$H$27,Overview!B34,'Design &amp; Fulfillment'!$H$7:$H$27)*'Design &amp; Fulfillment'!$C$4))+IF(Workplace!$C$3="Project",SUMIF(Workplace!$C$7:$H$27,Overview!B34,Workplace!$H$7:$H$27),(SUMIF(Workplace!$C$7:$H$27,Overview!B34,Workplace!$H$7:$H$27)*Workplace!$C$4))+IF(Integration!$C$3="Project",SUMIF(Integration!$C$7:$H$27,Overview!B34,Integration!$H$7:$H$27),(SUMIF(Integration!$C$7:$H$27,Overview!B34,Integration!$H$7:$H$27)*Integration!$C$4))+IF(Logistics!$C$3="Project",SUMIF(Logistics!$C$7:$H$27,Overview!B34,Logistics!$H$7:$H$27),(SUMIF(Logistics!$C$7:$H$27,Overview!B34,Logistics!$H$7:$H$27)*Logistics!$C$4))+IF('Service Desk'!$C$3="Project",SUMIF('Service Desk'!$C$7:$H$27,Overview!B34,'Service Desk'!$H$7:$H$27),(SUMIF('Service Desk'!$C$7:$H$27,Overview!B34,'Service Desk'!$H$7:$H$27)*'Service Desk'!$C$4))+IF('Pro Services'!$C$3="Project",SUMIF('Pro Services'!$C$7:$H$27,Overview!B34,'Pro Services'!$H$7:$H$27),(SUMIF('Pro Services'!$C$7:$H$27,Overview!B34,'Pro Services'!$H$7:$H$27)*'Pro Services'!$C$4))</f>
        <v>0</v>
      </c>
      <c r="E34" s="52">
        <f t="shared" ca="1" si="19"/>
        <v>0</v>
      </c>
      <c r="F34" s="52">
        <f t="shared" ref="F34:AK34" si="35">IFERROR(IF(F$28="FALSE",0,$C$34/$C$8),0)</f>
        <v>0</v>
      </c>
      <c r="G34" s="52">
        <f t="shared" si="35"/>
        <v>0</v>
      </c>
      <c r="H34" s="52">
        <f t="shared" si="35"/>
        <v>0</v>
      </c>
      <c r="I34" s="52">
        <f t="shared" si="35"/>
        <v>0</v>
      </c>
      <c r="J34" s="52">
        <f t="shared" si="35"/>
        <v>0</v>
      </c>
      <c r="K34" s="52">
        <f t="shared" si="35"/>
        <v>0</v>
      </c>
      <c r="L34" s="52">
        <f t="shared" si="35"/>
        <v>0</v>
      </c>
      <c r="M34" s="52">
        <f t="shared" si="35"/>
        <v>0</v>
      </c>
      <c r="N34" s="52">
        <f t="shared" si="35"/>
        <v>0</v>
      </c>
      <c r="O34" s="52">
        <f t="shared" si="35"/>
        <v>0</v>
      </c>
      <c r="P34" s="52">
        <f t="shared" si="35"/>
        <v>0</v>
      </c>
      <c r="Q34" s="52">
        <f t="shared" si="35"/>
        <v>0</v>
      </c>
      <c r="R34" s="52">
        <f t="shared" si="35"/>
        <v>0</v>
      </c>
      <c r="S34" s="52">
        <f t="shared" si="35"/>
        <v>0</v>
      </c>
      <c r="T34" s="52">
        <f t="shared" si="35"/>
        <v>0</v>
      </c>
      <c r="U34" s="52">
        <f t="shared" si="35"/>
        <v>0</v>
      </c>
      <c r="V34" s="52">
        <f t="shared" si="35"/>
        <v>0</v>
      </c>
      <c r="W34" s="52">
        <f t="shared" si="35"/>
        <v>0</v>
      </c>
      <c r="X34" s="52">
        <f t="shared" si="35"/>
        <v>0</v>
      </c>
      <c r="Y34" s="52">
        <f t="shared" si="35"/>
        <v>0</v>
      </c>
      <c r="Z34" s="52">
        <f t="shared" si="35"/>
        <v>0</v>
      </c>
      <c r="AA34" s="52">
        <f t="shared" si="35"/>
        <v>0</v>
      </c>
      <c r="AB34" s="52">
        <f t="shared" si="35"/>
        <v>0</v>
      </c>
      <c r="AC34" s="52">
        <f t="shared" si="35"/>
        <v>0</v>
      </c>
      <c r="AD34" s="52">
        <f t="shared" si="35"/>
        <v>0</v>
      </c>
      <c r="AE34" s="52">
        <f t="shared" si="35"/>
        <v>0</v>
      </c>
      <c r="AF34" s="52">
        <f t="shared" si="35"/>
        <v>0</v>
      </c>
      <c r="AG34" s="52">
        <f t="shared" si="35"/>
        <v>0</v>
      </c>
      <c r="AH34" s="52">
        <f t="shared" si="35"/>
        <v>0</v>
      </c>
      <c r="AI34" s="52">
        <f t="shared" si="35"/>
        <v>0</v>
      </c>
      <c r="AJ34" s="52">
        <f t="shared" si="35"/>
        <v>0</v>
      </c>
      <c r="AK34" s="52">
        <f t="shared" si="35"/>
        <v>0</v>
      </c>
      <c r="AL34" s="52">
        <f t="shared" ref="AL34:BQ34" si="36">IFERROR(IF(AL$28="FALSE",0,$C$34/$C$8),0)</f>
        <v>0</v>
      </c>
      <c r="AM34" s="52">
        <f t="shared" si="36"/>
        <v>0</v>
      </c>
      <c r="AN34" s="52">
        <f t="shared" si="36"/>
        <v>0</v>
      </c>
      <c r="AO34" s="52">
        <f t="shared" si="36"/>
        <v>0</v>
      </c>
      <c r="AP34" s="52">
        <f t="shared" si="36"/>
        <v>0</v>
      </c>
      <c r="AQ34" s="52">
        <f t="shared" si="36"/>
        <v>0</v>
      </c>
      <c r="AR34" s="52">
        <f t="shared" si="36"/>
        <v>0</v>
      </c>
      <c r="AS34" s="52">
        <f t="shared" si="36"/>
        <v>0</v>
      </c>
      <c r="AT34" s="52">
        <f t="shared" si="36"/>
        <v>0</v>
      </c>
      <c r="AU34" s="52">
        <f t="shared" si="36"/>
        <v>0</v>
      </c>
      <c r="AV34" s="52">
        <f t="shared" si="36"/>
        <v>0</v>
      </c>
      <c r="AW34" s="52">
        <f t="shared" si="36"/>
        <v>0</v>
      </c>
      <c r="AX34" s="52">
        <f t="shared" si="36"/>
        <v>0</v>
      </c>
      <c r="AY34" s="52">
        <f t="shared" si="36"/>
        <v>0</v>
      </c>
      <c r="AZ34" s="52">
        <f t="shared" si="36"/>
        <v>0</v>
      </c>
      <c r="BA34" s="52">
        <f t="shared" si="36"/>
        <v>0</v>
      </c>
      <c r="BB34" s="52">
        <f t="shared" si="36"/>
        <v>0</v>
      </c>
      <c r="BC34" s="52">
        <f t="shared" si="36"/>
        <v>0</v>
      </c>
      <c r="BD34" s="52">
        <f t="shared" si="36"/>
        <v>0</v>
      </c>
      <c r="BE34" s="52">
        <f t="shared" si="36"/>
        <v>0</v>
      </c>
      <c r="BF34" s="52">
        <f t="shared" si="36"/>
        <v>0</v>
      </c>
      <c r="BG34" s="52">
        <f t="shared" si="36"/>
        <v>0</v>
      </c>
      <c r="BH34" s="52">
        <f t="shared" si="36"/>
        <v>0</v>
      </c>
      <c r="BI34" s="52">
        <f t="shared" si="36"/>
        <v>0</v>
      </c>
      <c r="BJ34" s="52">
        <f t="shared" si="36"/>
        <v>0</v>
      </c>
      <c r="BK34" s="52">
        <f t="shared" si="36"/>
        <v>0</v>
      </c>
      <c r="BL34" s="52">
        <f t="shared" si="36"/>
        <v>0</v>
      </c>
      <c r="BM34" s="52">
        <f t="shared" si="36"/>
        <v>0</v>
      </c>
      <c r="BN34" s="52">
        <f t="shared" si="36"/>
        <v>0</v>
      </c>
      <c r="BO34" s="52">
        <f t="shared" si="36"/>
        <v>0</v>
      </c>
      <c r="BP34" s="52">
        <f t="shared" si="36"/>
        <v>0</v>
      </c>
      <c r="BQ34" s="52">
        <f t="shared" si="36"/>
        <v>0</v>
      </c>
      <c r="BR34" s="52">
        <f t="shared" ref="BR34:CW34" si="37">IFERROR(IF(BR$28="FALSE",0,$C$34/$C$8),0)</f>
        <v>0</v>
      </c>
      <c r="BS34" s="52">
        <f t="shared" si="37"/>
        <v>0</v>
      </c>
      <c r="BT34" s="52">
        <f t="shared" si="37"/>
        <v>0</v>
      </c>
      <c r="BU34" s="52">
        <f t="shared" si="37"/>
        <v>0</v>
      </c>
      <c r="BV34" s="52">
        <f t="shared" si="37"/>
        <v>0</v>
      </c>
      <c r="BW34" s="52">
        <f t="shared" si="37"/>
        <v>0</v>
      </c>
      <c r="BX34" s="52">
        <f t="shared" si="37"/>
        <v>0</v>
      </c>
      <c r="BY34" s="52">
        <f t="shared" si="37"/>
        <v>0</v>
      </c>
      <c r="BZ34" s="52">
        <f t="shared" si="37"/>
        <v>0</v>
      </c>
      <c r="CA34" s="52">
        <f t="shared" si="37"/>
        <v>0</v>
      </c>
      <c r="CB34" s="52">
        <f t="shared" si="37"/>
        <v>0</v>
      </c>
      <c r="CC34" s="52">
        <f t="shared" si="37"/>
        <v>0</v>
      </c>
      <c r="CD34" s="52">
        <f t="shared" si="37"/>
        <v>0</v>
      </c>
      <c r="CE34" s="52">
        <f t="shared" si="37"/>
        <v>0</v>
      </c>
      <c r="CF34" s="52">
        <f t="shared" si="37"/>
        <v>0</v>
      </c>
      <c r="CG34" s="52">
        <f t="shared" si="37"/>
        <v>0</v>
      </c>
      <c r="CH34" s="52">
        <f t="shared" si="37"/>
        <v>0</v>
      </c>
      <c r="CI34" s="52">
        <f t="shared" si="37"/>
        <v>0</v>
      </c>
      <c r="CJ34" s="52">
        <f t="shared" si="37"/>
        <v>0</v>
      </c>
      <c r="CK34" s="52">
        <f t="shared" si="37"/>
        <v>0</v>
      </c>
      <c r="CL34" s="52">
        <f t="shared" si="37"/>
        <v>0</v>
      </c>
      <c r="CM34" s="52">
        <f t="shared" si="37"/>
        <v>0</v>
      </c>
      <c r="CN34" s="52">
        <f t="shared" si="37"/>
        <v>0</v>
      </c>
      <c r="CO34" s="52">
        <f t="shared" si="37"/>
        <v>0</v>
      </c>
      <c r="CP34" s="52">
        <f t="shared" si="37"/>
        <v>0</v>
      </c>
      <c r="CQ34" s="52">
        <f t="shared" si="37"/>
        <v>0</v>
      </c>
      <c r="CR34" s="52">
        <f t="shared" si="37"/>
        <v>0</v>
      </c>
      <c r="CS34" s="52">
        <f t="shared" si="37"/>
        <v>0</v>
      </c>
      <c r="CT34" s="52">
        <f t="shared" si="37"/>
        <v>0</v>
      </c>
      <c r="CU34" s="52">
        <f t="shared" si="37"/>
        <v>0</v>
      </c>
      <c r="CV34" s="52">
        <f t="shared" si="37"/>
        <v>0</v>
      </c>
      <c r="CW34" s="52">
        <f t="shared" si="37"/>
        <v>0</v>
      </c>
      <c r="CX34" s="52">
        <f t="shared" ref="CX34:EC34" si="38">IFERROR(IF(CX$28="FALSE",0,$C$34/$C$8),0)</f>
        <v>0</v>
      </c>
      <c r="CY34" s="52">
        <f t="shared" si="38"/>
        <v>0</v>
      </c>
      <c r="CZ34" s="52">
        <f t="shared" si="38"/>
        <v>0</v>
      </c>
      <c r="DA34" s="52">
        <f t="shared" si="38"/>
        <v>0</v>
      </c>
      <c r="DB34" s="52">
        <f t="shared" si="38"/>
        <v>0</v>
      </c>
      <c r="DC34" s="52">
        <f t="shared" si="38"/>
        <v>0</v>
      </c>
      <c r="DD34" s="52">
        <f t="shared" si="38"/>
        <v>0</v>
      </c>
      <c r="DE34" s="52">
        <f t="shared" si="38"/>
        <v>0</v>
      </c>
      <c r="DF34" s="52">
        <f t="shared" si="38"/>
        <v>0</v>
      </c>
      <c r="DG34" s="52">
        <f t="shared" si="38"/>
        <v>0</v>
      </c>
      <c r="DH34" s="52">
        <f t="shared" si="38"/>
        <v>0</v>
      </c>
      <c r="DI34" s="52">
        <f t="shared" si="38"/>
        <v>0</v>
      </c>
      <c r="DJ34" s="52">
        <f t="shared" si="38"/>
        <v>0</v>
      </c>
      <c r="DK34" s="52">
        <f t="shared" si="38"/>
        <v>0</v>
      </c>
      <c r="DL34" s="52">
        <f t="shared" si="38"/>
        <v>0</v>
      </c>
      <c r="DM34" s="52">
        <f t="shared" si="38"/>
        <v>0</v>
      </c>
      <c r="DN34" s="52">
        <f t="shared" si="38"/>
        <v>0</v>
      </c>
      <c r="DO34" s="52">
        <f t="shared" si="38"/>
        <v>0</v>
      </c>
      <c r="DP34" s="52">
        <f t="shared" si="38"/>
        <v>0</v>
      </c>
      <c r="DQ34" s="52">
        <f t="shared" si="38"/>
        <v>0</v>
      </c>
      <c r="DR34" s="52">
        <f t="shared" si="38"/>
        <v>0</v>
      </c>
      <c r="DS34" s="52">
        <f t="shared" si="38"/>
        <v>0</v>
      </c>
      <c r="DT34" s="52">
        <f t="shared" si="38"/>
        <v>0</v>
      </c>
      <c r="DU34" s="52">
        <f t="shared" si="38"/>
        <v>0</v>
      </c>
      <c r="DV34" s="52">
        <f t="shared" si="38"/>
        <v>0</v>
      </c>
      <c r="DW34" s="52">
        <f t="shared" si="38"/>
        <v>0</v>
      </c>
      <c r="DX34" s="52">
        <f t="shared" si="38"/>
        <v>0</v>
      </c>
      <c r="DY34" s="52">
        <f t="shared" si="38"/>
        <v>0</v>
      </c>
      <c r="DZ34" s="52">
        <f t="shared" si="38"/>
        <v>0</v>
      </c>
      <c r="EA34" s="52">
        <f t="shared" si="38"/>
        <v>0</v>
      </c>
      <c r="EB34" s="52">
        <f t="shared" si="38"/>
        <v>0</v>
      </c>
      <c r="EC34" s="52">
        <f t="shared" si="38"/>
        <v>0</v>
      </c>
      <c r="ED34" s="52">
        <f t="shared" ref="ED34:FD34" si="39">IFERROR(IF(ED$28="FALSE",0,$C$34/$C$8),0)</f>
        <v>0</v>
      </c>
      <c r="EE34" s="52">
        <f t="shared" si="39"/>
        <v>0</v>
      </c>
      <c r="EF34" s="52">
        <f t="shared" si="39"/>
        <v>0</v>
      </c>
      <c r="EG34" s="52">
        <f t="shared" si="39"/>
        <v>0</v>
      </c>
      <c r="EH34" s="52">
        <f t="shared" si="39"/>
        <v>0</v>
      </c>
      <c r="EI34" s="52">
        <f t="shared" si="39"/>
        <v>0</v>
      </c>
      <c r="EJ34" s="52">
        <f t="shared" si="39"/>
        <v>0</v>
      </c>
      <c r="EK34" s="52">
        <f t="shared" si="39"/>
        <v>0</v>
      </c>
      <c r="EL34" s="52">
        <f t="shared" si="39"/>
        <v>0</v>
      </c>
      <c r="EM34" s="52">
        <f t="shared" si="39"/>
        <v>0</v>
      </c>
      <c r="EN34" s="52">
        <f t="shared" si="39"/>
        <v>0</v>
      </c>
      <c r="EO34" s="52">
        <f t="shared" si="39"/>
        <v>0</v>
      </c>
      <c r="EP34" s="52">
        <f t="shared" si="39"/>
        <v>0</v>
      </c>
      <c r="EQ34" s="52">
        <f t="shared" si="39"/>
        <v>0</v>
      </c>
      <c r="ER34" s="52">
        <f t="shared" si="39"/>
        <v>0</v>
      </c>
      <c r="ES34" s="52">
        <f t="shared" si="39"/>
        <v>0</v>
      </c>
      <c r="ET34" s="52">
        <f t="shared" si="39"/>
        <v>0</v>
      </c>
      <c r="EU34" s="52">
        <f t="shared" si="39"/>
        <v>0</v>
      </c>
      <c r="EV34" s="52">
        <f t="shared" si="39"/>
        <v>0</v>
      </c>
      <c r="EW34" s="52">
        <f t="shared" si="39"/>
        <v>0</v>
      </c>
      <c r="EX34" s="52">
        <f t="shared" si="39"/>
        <v>0</v>
      </c>
      <c r="EY34" s="52">
        <f t="shared" si="39"/>
        <v>0</v>
      </c>
      <c r="EZ34" s="52">
        <f t="shared" si="39"/>
        <v>0</v>
      </c>
      <c r="FA34" s="52">
        <f t="shared" si="39"/>
        <v>0</v>
      </c>
      <c r="FB34" s="52">
        <f t="shared" si="39"/>
        <v>0</v>
      </c>
      <c r="FC34" s="52">
        <f t="shared" si="39"/>
        <v>0</v>
      </c>
      <c r="FD34" s="52">
        <f t="shared" si="39"/>
        <v>0</v>
      </c>
    </row>
    <row r="35" spans="2:160">
      <c r="B35" s="51" t="s">
        <v>110</v>
      </c>
      <c r="C35" s="52">
        <f ca="1">IF(Startup!$C$3="Project",SUMIF(Startup!$C$7:$D$27,Overview!B35,Startup!$D$7:$D$27),(SUMIF(Startup!$C$7:$D$27,Overview!B35,Startup!$D$7:$D$27)*Startup!$C$4))+IF(Pilot!$C$3="Project",SUMIF(Pilot!$C$7:$D$27,Overview!B35,Pilot!$D$7:$D$27),(SUMIF(Pilot!$C$7:$D$27,Overview!B35,Pilot!$D$7:$D$27)*Pilot!$C$4))+IF(PMO!$C$3="Project",SUMIF(PMO!$C$7:$D$27,Overview!B35,PMO!$D$7:$D$27),(SUMIF(PMO!$C$7:$D$27,Overview!B35,PMO!$D$7:$D$27)*PMO!$C$4))+IF('Design &amp; Fulfillment'!$C$3="Project",SUMIF('Design &amp; Fulfillment'!$C$7:$D$27,Overview!B35,'Design &amp; Fulfillment'!$D$7:$D$27),(SUMIF('Design &amp; Fulfillment'!$C$7:$D$27,Overview!B35,'Design &amp; Fulfillment'!$D$7:$D$27)*'Design &amp; Fulfillment'!$C$4))+IF(Workplace!$C$3="Project",SUMIF(Workplace!$C$7:$D$27,Overview!B35,Workplace!$D$7:$D$27),(SUMIF(Workplace!$C$7:$D$27,Overview!B35,Workplace!$D$7:$D$27)*Workplace!$C$4))+IF(Integration!$C$3="Project",SUMIF(Integration!$C$7:$D$27,Overview!B35,Integration!$D$7:$D$27),(SUMIF(Integration!$C$7:$D$27,Overview!B35,Integration!$D$7:$D$27)*Integration!$C$4))+IF(Logistics!$C$3="Project",SUMIF(Logistics!$C$7:$D$27,Overview!B35,Logistics!$D$7:$D$27),(SUMIF(Logistics!$C$7:$D$27,Overview!B35,Logistics!$D$7:$D$27)*Logistics!$C$4))+IF('Service Desk'!$C$3="Project",SUMIF('Service Desk'!$C$7:$D$27,Overview!B35,'Service Desk'!$D$7:$D$27),(SUMIF('Service Desk'!$C$7:$D$27,Overview!B35,'Service Desk'!$D$7:$D$27)*'Service Desk'!$C$4))+IF('Pro Services'!$C$3="Project",SUMIF('Pro Services'!$C$7:$D$27,Overview!B35,'Pro Services'!$D$7:$D$27),(SUMIF('Pro Services'!$C$7:$D$27,Overview!B35,'Pro Services'!$D$7:$D$27)*'Pro Services'!$C$4))</f>
        <v>0</v>
      </c>
      <c r="D35" s="53">
        <f ca="1">IF(Startup!$C$3="Project",SUMIF(Startup!$C$7:$H$27,Overview!B35,Startup!$H$7:$H$27),(SUMIF(Startup!$C$7:$H$27,Overview!B35,Startup!$H$7:$H$27)*Startup!$C$4))+IF(Pilot!$C$3="Project",SUMIF(Pilot!$C$7:$H$27,Overview!B35,Pilot!$H$7:$H$27),(SUMIF(Pilot!$C$7:$H$27,Overview!B35,Pilot!$H$7:$H$27)*Pilot!$C$4))+IF(PMO!$C$3="Project",SUMIF(PMO!$C$7:$H$27,Overview!B35,PMO!$H$7:$H$27),(SUMIF(PMO!$C$7:$H$27,Overview!B35,PMO!$H$7:$H$27)*PMO!$C$4))+IF('Design &amp; Fulfillment'!$C$3="Project",SUMIF('Design &amp; Fulfillment'!$C$7:$H$27,Overview!B35,'Design &amp; Fulfillment'!$H$7:$H$27),(SUMIF('Design &amp; Fulfillment'!$C$7:$H$27,Overview!B35,'Design &amp; Fulfillment'!$H$7:$H$27)*'Design &amp; Fulfillment'!$C$4))+IF(Workplace!$C$3="Project",SUMIF(Workplace!$C$7:$H$27,Overview!B35,Workplace!$H$7:$H$27),(SUMIF(Workplace!$C$7:$H$27,Overview!B35,Workplace!$H$7:$H$27)*Workplace!$C$4))+IF(Integration!$C$3="Project",SUMIF(Integration!$C$7:$H$27,Overview!B35,Integration!$H$7:$H$27),(SUMIF(Integration!$C$7:$H$27,Overview!B35,Integration!$H$7:$H$27)*Integration!$C$4))+IF(Logistics!$C$3="Project",SUMIF(Logistics!$C$7:$H$27,Overview!B35,Logistics!$H$7:$H$27),(SUMIF(Logistics!$C$7:$H$27,Overview!B35,Logistics!$H$7:$H$27)*Logistics!$C$4))+IF('Service Desk'!$C$3="Project",SUMIF('Service Desk'!$C$7:$H$27,Overview!B35,'Service Desk'!$H$7:$H$27),(SUMIF('Service Desk'!$C$7:$H$27,Overview!B35,'Service Desk'!$H$7:$H$27)*'Service Desk'!$C$4))+IF('Pro Services'!$C$3="Project",SUMIF('Pro Services'!$C$7:$H$27,Overview!B35,'Pro Services'!$H$7:$H$27),(SUMIF('Pro Services'!$C$7:$H$27,Overview!B35,'Pro Services'!$H$7:$H$27)*'Pro Services'!$C$4))</f>
        <v>0</v>
      </c>
      <c r="E35" s="52">
        <f t="shared" ca="1" si="19"/>
        <v>0</v>
      </c>
      <c r="F35" s="52">
        <f t="shared" ref="F35:AK35" si="40">IFERROR(IF(F$28="FALSE",0,$C$35/$C$8),0)</f>
        <v>0</v>
      </c>
      <c r="G35" s="52">
        <f t="shared" si="40"/>
        <v>0</v>
      </c>
      <c r="H35" s="52">
        <f t="shared" si="40"/>
        <v>0</v>
      </c>
      <c r="I35" s="52">
        <f t="shared" si="40"/>
        <v>0</v>
      </c>
      <c r="J35" s="52">
        <f t="shared" si="40"/>
        <v>0</v>
      </c>
      <c r="K35" s="52">
        <f t="shared" si="40"/>
        <v>0</v>
      </c>
      <c r="L35" s="52">
        <f t="shared" si="40"/>
        <v>0</v>
      </c>
      <c r="M35" s="52">
        <f t="shared" si="40"/>
        <v>0</v>
      </c>
      <c r="N35" s="52">
        <f t="shared" si="40"/>
        <v>0</v>
      </c>
      <c r="O35" s="52">
        <f t="shared" si="40"/>
        <v>0</v>
      </c>
      <c r="P35" s="52">
        <f t="shared" si="40"/>
        <v>0</v>
      </c>
      <c r="Q35" s="52">
        <f t="shared" si="40"/>
        <v>0</v>
      </c>
      <c r="R35" s="52">
        <f t="shared" si="40"/>
        <v>0</v>
      </c>
      <c r="S35" s="52">
        <f t="shared" si="40"/>
        <v>0</v>
      </c>
      <c r="T35" s="52">
        <f t="shared" si="40"/>
        <v>0</v>
      </c>
      <c r="U35" s="52">
        <f t="shared" si="40"/>
        <v>0</v>
      </c>
      <c r="V35" s="52">
        <f t="shared" si="40"/>
        <v>0</v>
      </c>
      <c r="W35" s="52">
        <f t="shared" si="40"/>
        <v>0</v>
      </c>
      <c r="X35" s="52">
        <f t="shared" si="40"/>
        <v>0</v>
      </c>
      <c r="Y35" s="52">
        <f t="shared" si="40"/>
        <v>0</v>
      </c>
      <c r="Z35" s="52">
        <f t="shared" si="40"/>
        <v>0</v>
      </c>
      <c r="AA35" s="52">
        <f t="shared" si="40"/>
        <v>0</v>
      </c>
      <c r="AB35" s="52">
        <f t="shared" si="40"/>
        <v>0</v>
      </c>
      <c r="AC35" s="52">
        <f t="shared" si="40"/>
        <v>0</v>
      </c>
      <c r="AD35" s="52">
        <f t="shared" si="40"/>
        <v>0</v>
      </c>
      <c r="AE35" s="52">
        <f t="shared" si="40"/>
        <v>0</v>
      </c>
      <c r="AF35" s="52">
        <f t="shared" si="40"/>
        <v>0</v>
      </c>
      <c r="AG35" s="52">
        <f t="shared" si="40"/>
        <v>0</v>
      </c>
      <c r="AH35" s="52">
        <f t="shared" si="40"/>
        <v>0</v>
      </c>
      <c r="AI35" s="52">
        <f t="shared" si="40"/>
        <v>0</v>
      </c>
      <c r="AJ35" s="52">
        <f t="shared" si="40"/>
        <v>0</v>
      </c>
      <c r="AK35" s="52">
        <f t="shared" si="40"/>
        <v>0</v>
      </c>
      <c r="AL35" s="52">
        <f t="shared" ref="AL35:BQ35" si="41">IFERROR(IF(AL$28="FALSE",0,$C$35/$C$8),0)</f>
        <v>0</v>
      </c>
      <c r="AM35" s="52">
        <f t="shared" si="41"/>
        <v>0</v>
      </c>
      <c r="AN35" s="52">
        <f t="shared" si="41"/>
        <v>0</v>
      </c>
      <c r="AO35" s="52">
        <f t="shared" si="41"/>
        <v>0</v>
      </c>
      <c r="AP35" s="52">
        <f t="shared" si="41"/>
        <v>0</v>
      </c>
      <c r="AQ35" s="52">
        <f t="shared" si="41"/>
        <v>0</v>
      </c>
      <c r="AR35" s="52">
        <f t="shared" si="41"/>
        <v>0</v>
      </c>
      <c r="AS35" s="52">
        <f t="shared" si="41"/>
        <v>0</v>
      </c>
      <c r="AT35" s="52">
        <f t="shared" si="41"/>
        <v>0</v>
      </c>
      <c r="AU35" s="52">
        <f t="shared" si="41"/>
        <v>0</v>
      </c>
      <c r="AV35" s="52">
        <f t="shared" si="41"/>
        <v>0</v>
      </c>
      <c r="AW35" s="52">
        <f t="shared" si="41"/>
        <v>0</v>
      </c>
      <c r="AX35" s="52">
        <f t="shared" si="41"/>
        <v>0</v>
      </c>
      <c r="AY35" s="52">
        <f t="shared" si="41"/>
        <v>0</v>
      </c>
      <c r="AZ35" s="52">
        <f t="shared" si="41"/>
        <v>0</v>
      </c>
      <c r="BA35" s="52">
        <f t="shared" si="41"/>
        <v>0</v>
      </c>
      <c r="BB35" s="52">
        <f t="shared" si="41"/>
        <v>0</v>
      </c>
      <c r="BC35" s="52">
        <f t="shared" si="41"/>
        <v>0</v>
      </c>
      <c r="BD35" s="52">
        <f t="shared" si="41"/>
        <v>0</v>
      </c>
      <c r="BE35" s="52">
        <f t="shared" si="41"/>
        <v>0</v>
      </c>
      <c r="BF35" s="52">
        <f t="shared" si="41"/>
        <v>0</v>
      </c>
      <c r="BG35" s="52">
        <f t="shared" si="41"/>
        <v>0</v>
      </c>
      <c r="BH35" s="52">
        <f t="shared" si="41"/>
        <v>0</v>
      </c>
      <c r="BI35" s="52">
        <f t="shared" si="41"/>
        <v>0</v>
      </c>
      <c r="BJ35" s="52">
        <f t="shared" si="41"/>
        <v>0</v>
      </c>
      <c r="BK35" s="52">
        <f t="shared" si="41"/>
        <v>0</v>
      </c>
      <c r="BL35" s="52">
        <f t="shared" si="41"/>
        <v>0</v>
      </c>
      <c r="BM35" s="52">
        <f t="shared" si="41"/>
        <v>0</v>
      </c>
      <c r="BN35" s="52">
        <f t="shared" si="41"/>
        <v>0</v>
      </c>
      <c r="BO35" s="52">
        <f t="shared" si="41"/>
        <v>0</v>
      </c>
      <c r="BP35" s="52">
        <f t="shared" si="41"/>
        <v>0</v>
      </c>
      <c r="BQ35" s="52">
        <f t="shared" si="41"/>
        <v>0</v>
      </c>
      <c r="BR35" s="52">
        <f t="shared" ref="BR35:CW35" si="42">IFERROR(IF(BR$28="FALSE",0,$C$35/$C$8),0)</f>
        <v>0</v>
      </c>
      <c r="BS35" s="52">
        <f t="shared" si="42"/>
        <v>0</v>
      </c>
      <c r="BT35" s="52">
        <f t="shared" si="42"/>
        <v>0</v>
      </c>
      <c r="BU35" s="52">
        <f t="shared" si="42"/>
        <v>0</v>
      </c>
      <c r="BV35" s="52">
        <f t="shared" si="42"/>
        <v>0</v>
      </c>
      <c r="BW35" s="52">
        <f t="shared" si="42"/>
        <v>0</v>
      </c>
      <c r="BX35" s="52">
        <f t="shared" si="42"/>
        <v>0</v>
      </c>
      <c r="BY35" s="52">
        <f t="shared" si="42"/>
        <v>0</v>
      </c>
      <c r="BZ35" s="52">
        <f t="shared" si="42"/>
        <v>0</v>
      </c>
      <c r="CA35" s="52">
        <f t="shared" si="42"/>
        <v>0</v>
      </c>
      <c r="CB35" s="52">
        <f t="shared" si="42"/>
        <v>0</v>
      </c>
      <c r="CC35" s="52">
        <f t="shared" si="42"/>
        <v>0</v>
      </c>
      <c r="CD35" s="52">
        <f t="shared" si="42"/>
        <v>0</v>
      </c>
      <c r="CE35" s="52">
        <f t="shared" si="42"/>
        <v>0</v>
      </c>
      <c r="CF35" s="52">
        <f t="shared" si="42"/>
        <v>0</v>
      </c>
      <c r="CG35" s="52">
        <f t="shared" si="42"/>
        <v>0</v>
      </c>
      <c r="CH35" s="52">
        <f t="shared" si="42"/>
        <v>0</v>
      </c>
      <c r="CI35" s="52">
        <f t="shared" si="42"/>
        <v>0</v>
      </c>
      <c r="CJ35" s="52">
        <f t="shared" si="42"/>
        <v>0</v>
      </c>
      <c r="CK35" s="52">
        <f t="shared" si="42"/>
        <v>0</v>
      </c>
      <c r="CL35" s="52">
        <f t="shared" si="42"/>
        <v>0</v>
      </c>
      <c r="CM35" s="52">
        <f t="shared" si="42"/>
        <v>0</v>
      </c>
      <c r="CN35" s="52">
        <f t="shared" si="42"/>
        <v>0</v>
      </c>
      <c r="CO35" s="52">
        <f t="shared" si="42"/>
        <v>0</v>
      </c>
      <c r="CP35" s="52">
        <f t="shared" si="42"/>
        <v>0</v>
      </c>
      <c r="CQ35" s="52">
        <f t="shared" si="42"/>
        <v>0</v>
      </c>
      <c r="CR35" s="52">
        <f t="shared" si="42"/>
        <v>0</v>
      </c>
      <c r="CS35" s="52">
        <f t="shared" si="42"/>
        <v>0</v>
      </c>
      <c r="CT35" s="52">
        <f t="shared" si="42"/>
        <v>0</v>
      </c>
      <c r="CU35" s="52">
        <f t="shared" si="42"/>
        <v>0</v>
      </c>
      <c r="CV35" s="52">
        <f t="shared" si="42"/>
        <v>0</v>
      </c>
      <c r="CW35" s="52">
        <f t="shared" si="42"/>
        <v>0</v>
      </c>
      <c r="CX35" s="52">
        <f t="shared" ref="CX35:EC35" si="43">IFERROR(IF(CX$28="FALSE",0,$C$35/$C$8),0)</f>
        <v>0</v>
      </c>
      <c r="CY35" s="52">
        <f t="shared" si="43"/>
        <v>0</v>
      </c>
      <c r="CZ35" s="52">
        <f t="shared" si="43"/>
        <v>0</v>
      </c>
      <c r="DA35" s="52">
        <f t="shared" si="43"/>
        <v>0</v>
      </c>
      <c r="DB35" s="52">
        <f t="shared" si="43"/>
        <v>0</v>
      </c>
      <c r="DC35" s="52">
        <f t="shared" si="43"/>
        <v>0</v>
      </c>
      <c r="DD35" s="52">
        <f t="shared" si="43"/>
        <v>0</v>
      </c>
      <c r="DE35" s="52">
        <f t="shared" si="43"/>
        <v>0</v>
      </c>
      <c r="DF35" s="52">
        <f t="shared" si="43"/>
        <v>0</v>
      </c>
      <c r="DG35" s="52">
        <f t="shared" si="43"/>
        <v>0</v>
      </c>
      <c r="DH35" s="52">
        <f t="shared" si="43"/>
        <v>0</v>
      </c>
      <c r="DI35" s="52">
        <f t="shared" si="43"/>
        <v>0</v>
      </c>
      <c r="DJ35" s="52">
        <f t="shared" si="43"/>
        <v>0</v>
      </c>
      <c r="DK35" s="52">
        <f t="shared" si="43"/>
        <v>0</v>
      </c>
      <c r="DL35" s="52">
        <f t="shared" si="43"/>
        <v>0</v>
      </c>
      <c r="DM35" s="52">
        <f t="shared" si="43"/>
        <v>0</v>
      </c>
      <c r="DN35" s="52">
        <f t="shared" si="43"/>
        <v>0</v>
      </c>
      <c r="DO35" s="52">
        <f t="shared" si="43"/>
        <v>0</v>
      </c>
      <c r="DP35" s="52">
        <f t="shared" si="43"/>
        <v>0</v>
      </c>
      <c r="DQ35" s="52">
        <f t="shared" si="43"/>
        <v>0</v>
      </c>
      <c r="DR35" s="52">
        <f t="shared" si="43"/>
        <v>0</v>
      </c>
      <c r="DS35" s="52">
        <f t="shared" si="43"/>
        <v>0</v>
      </c>
      <c r="DT35" s="52">
        <f t="shared" si="43"/>
        <v>0</v>
      </c>
      <c r="DU35" s="52">
        <f t="shared" si="43"/>
        <v>0</v>
      </c>
      <c r="DV35" s="52">
        <f t="shared" si="43"/>
        <v>0</v>
      </c>
      <c r="DW35" s="52">
        <f t="shared" si="43"/>
        <v>0</v>
      </c>
      <c r="DX35" s="52">
        <f t="shared" si="43"/>
        <v>0</v>
      </c>
      <c r="DY35" s="52">
        <f t="shared" si="43"/>
        <v>0</v>
      </c>
      <c r="DZ35" s="52">
        <f t="shared" si="43"/>
        <v>0</v>
      </c>
      <c r="EA35" s="52">
        <f t="shared" si="43"/>
        <v>0</v>
      </c>
      <c r="EB35" s="52">
        <f t="shared" si="43"/>
        <v>0</v>
      </c>
      <c r="EC35" s="52">
        <f t="shared" si="43"/>
        <v>0</v>
      </c>
      <c r="ED35" s="52">
        <f t="shared" ref="ED35:FD35" si="44">IFERROR(IF(ED$28="FALSE",0,$C$35/$C$8),0)</f>
        <v>0</v>
      </c>
      <c r="EE35" s="52">
        <f t="shared" si="44"/>
        <v>0</v>
      </c>
      <c r="EF35" s="52">
        <f t="shared" si="44"/>
        <v>0</v>
      </c>
      <c r="EG35" s="52">
        <f t="shared" si="44"/>
        <v>0</v>
      </c>
      <c r="EH35" s="52">
        <f t="shared" si="44"/>
        <v>0</v>
      </c>
      <c r="EI35" s="52">
        <f t="shared" si="44"/>
        <v>0</v>
      </c>
      <c r="EJ35" s="52">
        <f t="shared" si="44"/>
        <v>0</v>
      </c>
      <c r="EK35" s="52">
        <f t="shared" si="44"/>
        <v>0</v>
      </c>
      <c r="EL35" s="52">
        <f t="shared" si="44"/>
        <v>0</v>
      </c>
      <c r="EM35" s="52">
        <f t="shared" si="44"/>
        <v>0</v>
      </c>
      <c r="EN35" s="52">
        <f t="shared" si="44"/>
        <v>0</v>
      </c>
      <c r="EO35" s="52">
        <f t="shared" si="44"/>
        <v>0</v>
      </c>
      <c r="EP35" s="52">
        <f t="shared" si="44"/>
        <v>0</v>
      </c>
      <c r="EQ35" s="52">
        <f t="shared" si="44"/>
        <v>0</v>
      </c>
      <c r="ER35" s="52">
        <f t="shared" si="44"/>
        <v>0</v>
      </c>
      <c r="ES35" s="52">
        <f t="shared" si="44"/>
        <v>0</v>
      </c>
      <c r="ET35" s="52">
        <f t="shared" si="44"/>
        <v>0</v>
      </c>
      <c r="EU35" s="52">
        <f t="shared" si="44"/>
        <v>0</v>
      </c>
      <c r="EV35" s="52">
        <f t="shared" si="44"/>
        <v>0</v>
      </c>
      <c r="EW35" s="52">
        <f t="shared" si="44"/>
        <v>0</v>
      </c>
      <c r="EX35" s="52">
        <f t="shared" si="44"/>
        <v>0</v>
      </c>
      <c r="EY35" s="52">
        <f t="shared" si="44"/>
        <v>0</v>
      </c>
      <c r="EZ35" s="52">
        <f t="shared" si="44"/>
        <v>0</v>
      </c>
      <c r="FA35" s="52">
        <f t="shared" si="44"/>
        <v>0</v>
      </c>
      <c r="FB35" s="52">
        <f t="shared" si="44"/>
        <v>0</v>
      </c>
      <c r="FC35" s="52">
        <f t="shared" si="44"/>
        <v>0</v>
      </c>
      <c r="FD35" s="52">
        <f t="shared" si="44"/>
        <v>0</v>
      </c>
    </row>
    <row r="36" spans="2:160">
      <c r="B36" s="51" t="s">
        <v>111</v>
      </c>
      <c r="C36" s="52">
        <f ca="1">IF(Startup!$C$3="Project",SUMIF(Startup!$C$7:$D$27,Overview!B36,Startup!$D$7:$D$27),(SUMIF(Startup!$C$7:$D$27,Overview!B36,Startup!$D$7:$D$27)*Startup!$C$4))+IF(Pilot!$C$3="Project",SUMIF(Pilot!$C$7:$D$27,Overview!B36,Pilot!$D$7:$D$27),(SUMIF(Pilot!$C$7:$D$27,Overview!B36,Pilot!$D$7:$D$27)*Pilot!$C$4))+IF(PMO!$C$3="Project",SUMIF(PMO!$C$7:$D$27,Overview!B36,PMO!$D$7:$D$27),(SUMIF(PMO!$C$7:$D$27,Overview!B36,PMO!$D$7:$D$27)*PMO!$C$4))+IF('Design &amp; Fulfillment'!$C$3="Project",SUMIF('Design &amp; Fulfillment'!$C$7:$D$27,Overview!B36,'Design &amp; Fulfillment'!$D$7:$D$27),(SUMIF('Design &amp; Fulfillment'!$C$7:$D$27,Overview!B36,'Design &amp; Fulfillment'!$D$7:$D$27)*'Design &amp; Fulfillment'!$C$4))+IF(Workplace!$C$3="Project",SUMIF(Workplace!$C$7:$D$27,Overview!B36,Workplace!$D$7:$D$27),(SUMIF(Workplace!$C$7:$D$27,Overview!B36,Workplace!$D$7:$D$27)*Workplace!$C$4))+IF(Integration!$C$3="Project",SUMIF(Integration!$C$7:$D$27,Overview!B36,Integration!$D$7:$D$27),(SUMIF(Integration!$C$7:$D$27,Overview!B36,Integration!$D$7:$D$27)*Integration!$C$4))+IF(Logistics!$C$3="Project",SUMIF(Logistics!$C$7:$D$27,Overview!B36,Logistics!$D$7:$D$27),(SUMIF(Logistics!$C$7:$D$27,Overview!B36,Logistics!$D$7:$D$27)*Logistics!$C$4))+IF('Service Desk'!$C$3="Project",SUMIF('Service Desk'!$C$7:$D$27,Overview!B36,'Service Desk'!$D$7:$D$27),(SUMIF('Service Desk'!$C$7:$D$27,Overview!B36,'Service Desk'!$D$7:$D$27)*'Service Desk'!$C$4))+IF('Pro Services'!$C$3="Project",SUMIF('Pro Services'!$C$7:$D$27,Overview!B36,'Pro Services'!$D$7:$D$27),(SUMIF('Pro Services'!$C$7:$D$27,Overview!B36,'Pro Services'!$D$7:$D$27)*'Pro Services'!$C$4))</f>
        <v>0</v>
      </c>
      <c r="D36" s="53">
        <f ca="1">IF(Startup!$C$3="Project",SUMIF(Startup!$C$7:$H$27,Overview!B36,Startup!$H$7:$H$27),(SUMIF(Startup!$C$7:$H$27,Overview!B36,Startup!$H$7:$H$27)*Startup!$C$4))+IF(Pilot!$C$3="Project",SUMIF(Pilot!$C$7:$H$27,Overview!B36,Pilot!$H$7:$H$27),(SUMIF(Pilot!$C$7:$H$27,Overview!B36,Pilot!$H$7:$H$27)*Pilot!$C$4))+IF(PMO!$C$3="Project",SUMIF(PMO!$C$7:$H$27,Overview!B36,PMO!$H$7:$H$27),(SUMIF(PMO!$C$7:$H$27,Overview!B36,PMO!$H$7:$H$27)*PMO!$C$4))+IF('Design &amp; Fulfillment'!$C$3="Project",SUMIF('Design &amp; Fulfillment'!$C$7:$H$27,Overview!B36,'Design &amp; Fulfillment'!$H$7:$H$27),(SUMIF('Design &amp; Fulfillment'!$C$7:$H$27,Overview!B36,'Design &amp; Fulfillment'!$H$7:$H$27)*'Design &amp; Fulfillment'!$C$4))+IF(Workplace!$C$3="Project",SUMIF(Workplace!$C$7:$H$27,Overview!B36,Workplace!$H$7:$H$27),(SUMIF(Workplace!$C$7:$H$27,Overview!B36,Workplace!$H$7:$H$27)*Workplace!$C$4))+IF(Integration!$C$3="Project",SUMIF(Integration!$C$7:$H$27,Overview!B36,Integration!$H$7:$H$27),(SUMIF(Integration!$C$7:$H$27,Overview!B36,Integration!$H$7:$H$27)*Integration!$C$4))+IF(Logistics!$C$3="Project",SUMIF(Logistics!$C$7:$H$27,Overview!B36,Logistics!$H$7:$H$27),(SUMIF(Logistics!$C$7:$H$27,Overview!B36,Logistics!$H$7:$H$27)*Logistics!$C$4))+IF('Service Desk'!$C$3="Project",SUMIF('Service Desk'!$C$7:$H$27,Overview!B36,'Service Desk'!$H$7:$H$27),(SUMIF('Service Desk'!$C$7:$H$27,Overview!B36,'Service Desk'!$H$7:$H$27)*'Service Desk'!$C$4))+IF('Pro Services'!$C$3="Project",SUMIF('Pro Services'!$C$7:$H$27,Overview!B36,'Pro Services'!$H$7:$H$27),(SUMIF('Pro Services'!$C$7:$H$27,Overview!B36,'Pro Services'!$H$7:$H$27)*'Pro Services'!$C$4))</f>
        <v>0</v>
      </c>
      <c r="E36" s="52">
        <f t="shared" ca="1" si="19"/>
        <v>0</v>
      </c>
      <c r="F36" s="52">
        <f t="shared" ref="F36:AK36" si="45">IFERROR(IF(F$28="FALSE",0,$C$36/$C$8),0)</f>
        <v>0</v>
      </c>
      <c r="G36" s="52">
        <f t="shared" si="45"/>
        <v>0</v>
      </c>
      <c r="H36" s="52">
        <f t="shared" si="45"/>
        <v>0</v>
      </c>
      <c r="I36" s="52">
        <f t="shared" si="45"/>
        <v>0</v>
      </c>
      <c r="J36" s="52">
        <f t="shared" si="45"/>
        <v>0</v>
      </c>
      <c r="K36" s="52">
        <f t="shared" si="45"/>
        <v>0</v>
      </c>
      <c r="L36" s="52">
        <f t="shared" si="45"/>
        <v>0</v>
      </c>
      <c r="M36" s="52">
        <f t="shared" si="45"/>
        <v>0</v>
      </c>
      <c r="N36" s="52">
        <f t="shared" si="45"/>
        <v>0</v>
      </c>
      <c r="O36" s="52">
        <f t="shared" si="45"/>
        <v>0</v>
      </c>
      <c r="P36" s="52">
        <f t="shared" si="45"/>
        <v>0</v>
      </c>
      <c r="Q36" s="52">
        <f t="shared" si="45"/>
        <v>0</v>
      </c>
      <c r="R36" s="52">
        <f t="shared" si="45"/>
        <v>0</v>
      </c>
      <c r="S36" s="52">
        <f t="shared" si="45"/>
        <v>0</v>
      </c>
      <c r="T36" s="52">
        <f t="shared" si="45"/>
        <v>0</v>
      </c>
      <c r="U36" s="52">
        <f t="shared" si="45"/>
        <v>0</v>
      </c>
      <c r="V36" s="52">
        <f t="shared" si="45"/>
        <v>0</v>
      </c>
      <c r="W36" s="52">
        <f t="shared" si="45"/>
        <v>0</v>
      </c>
      <c r="X36" s="52">
        <f t="shared" si="45"/>
        <v>0</v>
      </c>
      <c r="Y36" s="52">
        <f t="shared" si="45"/>
        <v>0</v>
      </c>
      <c r="Z36" s="52">
        <f t="shared" si="45"/>
        <v>0</v>
      </c>
      <c r="AA36" s="52">
        <f t="shared" si="45"/>
        <v>0</v>
      </c>
      <c r="AB36" s="52">
        <f t="shared" si="45"/>
        <v>0</v>
      </c>
      <c r="AC36" s="52">
        <f t="shared" si="45"/>
        <v>0</v>
      </c>
      <c r="AD36" s="52">
        <f t="shared" si="45"/>
        <v>0</v>
      </c>
      <c r="AE36" s="52">
        <f t="shared" si="45"/>
        <v>0</v>
      </c>
      <c r="AF36" s="52">
        <f t="shared" si="45"/>
        <v>0</v>
      </c>
      <c r="AG36" s="52">
        <f t="shared" si="45"/>
        <v>0</v>
      </c>
      <c r="AH36" s="52">
        <f t="shared" si="45"/>
        <v>0</v>
      </c>
      <c r="AI36" s="52">
        <f t="shared" si="45"/>
        <v>0</v>
      </c>
      <c r="AJ36" s="52">
        <f t="shared" si="45"/>
        <v>0</v>
      </c>
      <c r="AK36" s="52">
        <f t="shared" si="45"/>
        <v>0</v>
      </c>
      <c r="AL36" s="52">
        <f t="shared" ref="AL36:BQ36" si="46">IFERROR(IF(AL$28="FALSE",0,$C$36/$C$8),0)</f>
        <v>0</v>
      </c>
      <c r="AM36" s="52">
        <f t="shared" si="46"/>
        <v>0</v>
      </c>
      <c r="AN36" s="52">
        <f t="shared" si="46"/>
        <v>0</v>
      </c>
      <c r="AO36" s="52">
        <f t="shared" si="46"/>
        <v>0</v>
      </c>
      <c r="AP36" s="52">
        <f t="shared" si="46"/>
        <v>0</v>
      </c>
      <c r="AQ36" s="52">
        <f t="shared" si="46"/>
        <v>0</v>
      </c>
      <c r="AR36" s="52">
        <f t="shared" si="46"/>
        <v>0</v>
      </c>
      <c r="AS36" s="52">
        <f t="shared" si="46"/>
        <v>0</v>
      </c>
      <c r="AT36" s="52">
        <f t="shared" si="46"/>
        <v>0</v>
      </c>
      <c r="AU36" s="52">
        <f t="shared" si="46"/>
        <v>0</v>
      </c>
      <c r="AV36" s="52">
        <f t="shared" si="46"/>
        <v>0</v>
      </c>
      <c r="AW36" s="52">
        <f t="shared" si="46"/>
        <v>0</v>
      </c>
      <c r="AX36" s="52">
        <f t="shared" si="46"/>
        <v>0</v>
      </c>
      <c r="AY36" s="52">
        <f t="shared" si="46"/>
        <v>0</v>
      </c>
      <c r="AZ36" s="52">
        <f t="shared" si="46"/>
        <v>0</v>
      </c>
      <c r="BA36" s="52">
        <f t="shared" si="46"/>
        <v>0</v>
      </c>
      <c r="BB36" s="52">
        <f t="shared" si="46"/>
        <v>0</v>
      </c>
      <c r="BC36" s="52">
        <f t="shared" si="46"/>
        <v>0</v>
      </c>
      <c r="BD36" s="52">
        <f t="shared" si="46"/>
        <v>0</v>
      </c>
      <c r="BE36" s="52">
        <f t="shared" si="46"/>
        <v>0</v>
      </c>
      <c r="BF36" s="52">
        <f t="shared" si="46"/>
        <v>0</v>
      </c>
      <c r="BG36" s="52">
        <f t="shared" si="46"/>
        <v>0</v>
      </c>
      <c r="BH36" s="52">
        <f t="shared" si="46"/>
        <v>0</v>
      </c>
      <c r="BI36" s="52">
        <f t="shared" si="46"/>
        <v>0</v>
      </c>
      <c r="BJ36" s="52">
        <f t="shared" si="46"/>
        <v>0</v>
      </c>
      <c r="BK36" s="52">
        <f t="shared" si="46"/>
        <v>0</v>
      </c>
      <c r="BL36" s="52">
        <f t="shared" si="46"/>
        <v>0</v>
      </c>
      <c r="BM36" s="52">
        <f t="shared" si="46"/>
        <v>0</v>
      </c>
      <c r="BN36" s="52">
        <f t="shared" si="46"/>
        <v>0</v>
      </c>
      <c r="BO36" s="52">
        <f t="shared" si="46"/>
        <v>0</v>
      </c>
      <c r="BP36" s="52">
        <f t="shared" si="46"/>
        <v>0</v>
      </c>
      <c r="BQ36" s="52">
        <f t="shared" si="46"/>
        <v>0</v>
      </c>
      <c r="BR36" s="52">
        <f t="shared" ref="BR36:CW36" si="47">IFERROR(IF(BR$28="FALSE",0,$C$36/$C$8),0)</f>
        <v>0</v>
      </c>
      <c r="BS36" s="52">
        <f t="shared" si="47"/>
        <v>0</v>
      </c>
      <c r="BT36" s="52">
        <f t="shared" si="47"/>
        <v>0</v>
      </c>
      <c r="BU36" s="52">
        <f t="shared" si="47"/>
        <v>0</v>
      </c>
      <c r="BV36" s="52">
        <f t="shared" si="47"/>
        <v>0</v>
      </c>
      <c r="BW36" s="52">
        <f t="shared" si="47"/>
        <v>0</v>
      </c>
      <c r="BX36" s="52">
        <f t="shared" si="47"/>
        <v>0</v>
      </c>
      <c r="BY36" s="52">
        <f t="shared" si="47"/>
        <v>0</v>
      </c>
      <c r="BZ36" s="52">
        <f t="shared" si="47"/>
        <v>0</v>
      </c>
      <c r="CA36" s="52">
        <f t="shared" si="47"/>
        <v>0</v>
      </c>
      <c r="CB36" s="52">
        <f t="shared" si="47"/>
        <v>0</v>
      </c>
      <c r="CC36" s="52">
        <f t="shared" si="47"/>
        <v>0</v>
      </c>
      <c r="CD36" s="52">
        <f t="shared" si="47"/>
        <v>0</v>
      </c>
      <c r="CE36" s="52">
        <f t="shared" si="47"/>
        <v>0</v>
      </c>
      <c r="CF36" s="52">
        <f t="shared" si="47"/>
        <v>0</v>
      </c>
      <c r="CG36" s="52">
        <f t="shared" si="47"/>
        <v>0</v>
      </c>
      <c r="CH36" s="52">
        <f t="shared" si="47"/>
        <v>0</v>
      </c>
      <c r="CI36" s="52">
        <f t="shared" si="47"/>
        <v>0</v>
      </c>
      <c r="CJ36" s="52">
        <f t="shared" si="47"/>
        <v>0</v>
      </c>
      <c r="CK36" s="52">
        <f t="shared" si="47"/>
        <v>0</v>
      </c>
      <c r="CL36" s="52">
        <f t="shared" si="47"/>
        <v>0</v>
      </c>
      <c r="CM36" s="52">
        <f t="shared" si="47"/>
        <v>0</v>
      </c>
      <c r="CN36" s="52">
        <f t="shared" si="47"/>
        <v>0</v>
      </c>
      <c r="CO36" s="52">
        <f t="shared" si="47"/>
        <v>0</v>
      </c>
      <c r="CP36" s="52">
        <f t="shared" si="47"/>
        <v>0</v>
      </c>
      <c r="CQ36" s="52">
        <f t="shared" si="47"/>
        <v>0</v>
      </c>
      <c r="CR36" s="52">
        <f t="shared" si="47"/>
        <v>0</v>
      </c>
      <c r="CS36" s="52">
        <f t="shared" si="47"/>
        <v>0</v>
      </c>
      <c r="CT36" s="52">
        <f t="shared" si="47"/>
        <v>0</v>
      </c>
      <c r="CU36" s="52">
        <f t="shared" si="47"/>
        <v>0</v>
      </c>
      <c r="CV36" s="52">
        <f t="shared" si="47"/>
        <v>0</v>
      </c>
      <c r="CW36" s="52">
        <f t="shared" si="47"/>
        <v>0</v>
      </c>
      <c r="CX36" s="52">
        <f t="shared" ref="CX36:EC36" si="48">IFERROR(IF(CX$28="FALSE",0,$C$36/$C$8),0)</f>
        <v>0</v>
      </c>
      <c r="CY36" s="52">
        <f t="shared" si="48"/>
        <v>0</v>
      </c>
      <c r="CZ36" s="52">
        <f t="shared" si="48"/>
        <v>0</v>
      </c>
      <c r="DA36" s="52">
        <f t="shared" si="48"/>
        <v>0</v>
      </c>
      <c r="DB36" s="52">
        <f t="shared" si="48"/>
        <v>0</v>
      </c>
      <c r="DC36" s="52">
        <f t="shared" si="48"/>
        <v>0</v>
      </c>
      <c r="DD36" s="52">
        <f t="shared" si="48"/>
        <v>0</v>
      </c>
      <c r="DE36" s="52">
        <f t="shared" si="48"/>
        <v>0</v>
      </c>
      <c r="DF36" s="52">
        <f t="shared" si="48"/>
        <v>0</v>
      </c>
      <c r="DG36" s="52">
        <f t="shared" si="48"/>
        <v>0</v>
      </c>
      <c r="DH36" s="52">
        <f t="shared" si="48"/>
        <v>0</v>
      </c>
      <c r="DI36" s="52">
        <f t="shared" si="48"/>
        <v>0</v>
      </c>
      <c r="DJ36" s="52">
        <f t="shared" si="48"/>
        <v>0</v>
      </c>
      <c r="DK36" s="52">
        <f t="shared" si="48"/>
        <v>0</v>
      </c>
      <c r="DL36" s="52">
        <f t="shared" si="48"/>
        <v>0</v>
      </c>
      <c r="DM36" s="52">
        <f t="shared" si="48"/>
        <v>0</v>
      </c>
      <c r="DN36" s="52">
        <f t="shared" si="48"/>
        <v>0</v>
      </c>
      <c r="DO36" s="52">
        <f t="shared" si="48"/>
        <v>0</v>
      </c>
      <c r="DP36" s="52">
        <f t="shared" si="48"/>
        <v>0</v>
      </c>
      <c r="DQ36" s="52">
        <f t="shared" si="48"/>
        <v>0</v>
      </c>
      <c r="DR36" s="52">
        <f t="shared" si="48"/>
        <v>0</v>
      </c>
      <c r="DS36" s="52">
        <f t="shared" si="48"/>
        <v>0</v>
      </c>
      <c r="DT36" s="52">
        <f t="shared" si="48"/>
        <v>0</v>
      </c>
      <c r="DU36" s="52">
        <f t="shared" si="48"/>
        <v>0</v>
      </c>
      <c r="DV36" s="52">
        <f t="shared" si="48"/>
        <v>0</v>
      </c>
      <c r="DW36" s="52">
        <f t="shared" si="48"/>
        <v>0</v>
      </c>
      <c r="DX36" s="52">
        <f t="shared" si="48"/>
        <v>0</v>
      </c>
      <c r="DY36" s="52">
        <f t="shared" si="48"/>
        <v>0</v>
      </c>
      <c r="DZ36" s="52">
        <f t="shared" si="48"/>
        <v>0</v>
      </c>
      <c r="EA36" s="52">
        <f t="shared" si="48"/>
        <v>0</v>
      </c>
      <c r="EB36" s="52">
        <f t="shared" si="48"/>
        <v>0</v>
      </c>
      <c r="EC36" s="52">
        <f t="shared" si="48"/>
        <v>0</v>
      </c>
      <c r="ED36" s="52">
        <f t="shared" ref="ED36:FD36" si="49">IFERROR(IF(ED$28="FALSE",0,$C$36/$C$8),0)</f>
        <v>0</v>
      </c>
      <c r="EE36" s="52">
        <f t="shared" si="49"/>
        <v>0</v>
      </c>
      <c r="EF36" s="52">
        <f t="shared" si="49"/>
        <v>0</v>
      </c>
      <c r="EG36" s="52">
        <f t="shared" si="49"/>
        <v>0</v>
      </c>
      <c r="EH36" s="52">
        <f t="shared" si="49"/>
        <v>0</v>
      </c>
      <c r="EI36" s="52">
        <f t="shared" si="49"/>
        <v>0</v>
      </c>
      <c r="EJ36" s="52">
        <f t="shared" si="49"/>
        <v>0</v>
      </c>
      <c r="EK36" s="52">
        <f t="shared" si="49"/>
        <v>0</v>
      </c>
      <c r="EL36" s="52">
        <f t="shared" si="49"/>
        <v>0</v>
      </c>
      <c r="EM36" s="52">
        <f t="shared" si="49"/>
        <v>0</v>
      </c>
      <c r="EN36" s="52">
        <f t="shared" si="49"/>
        <v>0</v>
      </c>
      <c r="EO36" s="52">
        <f t="shared" si="49"/>
        <v>0</v>
      </c>
      <c r="EP36" s="52">
        <f t="shared" si="49"/>
        <v>0</v>
      </c>
      <c r="EQ36" s="52">
        <f t="shared" si="49"/>
        <v>0</v>
      </c>
      <c r="ER36" s="52">
        <f t="shared" si="49"/>
        <v>0</v>
      </c>
      <c r="ES36" s="52">
        <f t="shared" si="49"/>
        <v>0</v>
      </c>
      <c r="ET36" s="52">
        <f t="shared" si="49"/>
        <v>0</v>
      </c>
      <c r="EU36" s="52">
        <f t="shared" si="49"/>
        <v>0</v>
      </c>
      <c r="EV36" s="52">
        <f t="shared" si="49"/>
        <v>0</v>
      </c>
      <c r="EW36" s="52">
        <f t="shared" si="49"/>
        <v>0</v>
      </c>
      <c r="EX36" s="52">
        <f t="shared" si="49"/>
        <v>0</v>
      </c>
      <c r="EY36" s="52">
        <f t="shared" si="49"/>
        <v>0</v>
      </c>
      <c r="EZ36" s="52">
        <f t="shared" si="49"/>
        <v>0</v>
      </c>
      <c r="FA36" s="52">
        <f t="shared" si="49"/>
        <v>0</v>
      </c>
      <c r="FB36" s="52">
        <f t="shared" si="49"/>
        <v>0</v>
      </c>
      <c r="FC36" s="52">
        <f t="shared" si="49"/>
        <v>0</v>
      </c>
      <c r="FD36" s="52">
        <f t="shared" si="49"/>
        <v>0</v>
      </c>
    </row>
    <row r="37" spans="2:160">
      <c r="B37" s="51" t="s">
        <v>112</v>
      </c>
      <c r="C37" s="52">
        <f ca="1">IF(Startup!$C$3="Project",SUMIF(Startup!$C$7:$D$27,Overview!B37,Startup!$D$7:$D$27),(SUMIF(Startup!$C$7:$D$27,Overview!B37,Startup!$D$7:$D$27)*Startup!$C$4))+IF(Pilot!$C$3="Project",SUMIF(Pilot!$C$7:$D$27,Overview!B37,Pilot!$D$7:$D$27),(SUMIF(Pilot!$C$7:$D$27,Overview!B37,Pilot!$D$7:$D$27)*Pilot!$C$4))+IF(PMO!$C$3="Project",SUMIF(PMO!$C$7:$D$27,Overview!B37,PMO!$D$7:$D$27),(SUMIF(PMO!$C$7:$D$27,Overview!B37,PMO!$D$7:$D$27)*PMO!$C$4))+IF('Design &amp; Fulfillment'!$C$3="Project",SUMIF('Design &amp; Fulfillment'!$C$7:$D$27,Overview!B37,'Design &amp; Fulfillment'!$D$7:$D$27),(SUMIF('Design &amp; Fulfillment'!$C$7:$D$27,Overview!B37,'Design &amp; Fulfillment'!$D$7:$D$27)*'Design &amp; Fulfillment'!$C$4))+IF(Workplace!$C$3="Project",SUMIF(Workplace!$C$7:$D$27,Overview!B37,Workplace!$D$7:$D$27),(SUMIF(Workplace!$C$7:$D$27,Overview!B37,Workplace!$D$7:$D$27)*Workplace!$C$4))+IF(Integration!$C$3="Project",SUMIF(Integration!$C$7:$D$27,Overview!B37,Integration!$D$7:$D$27),(SUMIF(Integration!$C$7:$D$27,Overview!B37,Integration!$D$7:$D$27)*Integration!$C$4))+IF(Logistics!$C$3="Project",SUMIF(Logistics!$C$7:$D$27,Overview!B37,Logistics!$D$7:$D$27),(SUMIF(Logistics!$C$7:$D$27,Overview!B37,Logistics!$D$7:$D$27)*Logistics!$C$4))+IF('Service Desk'!$C$3="Project",SUMIF('Service Desk'!$C$7:$D$27,Overview!B37,'Service Desk'!$D$7:$D$27),(SUMIF('Service Desk'!$C$7:$D$27,Overview!B37,'Service Desk'!$D$7:$D$27)*'Service Desk'!$C$4))+IF('Pro Services'!$C$3="Project",SUMIF('Pro Services'!$C$7:$D$27,Overview!B37,'Pro Services'!$D$7:$D$27),(SUMIF('Pro Services'!$C$7:$D$27,Overview!B37,'Pro Services'!$D$7:$D$27)*'Pro Services'!$C$4))</f>
        <v>0</v>
      </c>
      <c r="D37" s="53">
        <f ca="1">IF(Startup!$C$3="Project",SUMIF(Startup!$C$7:$H$27,Overview!B37,Startup!$H$7:$H$27),(SUMIF(Startup!$C$7:$H$27,Overview!B37,Startup!$H$7:$H$27)*Startup!$C$4))+IF(Pilot!$C$3="Project",SUMIF(Pilot!$C$7:$H$27,Overview!B37,Pilot!$H$7:$H$27),(SUMIF(Pilot!$C$7:$H$27,Overview!B37,Pilot!$H$7:$H$27)*Pilot!$C$4))+IF(PMO!$C$3="Project",SUMIF(PMO!$C$7:$H$27,Overview!B37,PMO!$H$7:$H$27),(SUMIF(PMO!$C$7:$H$27,Overview!B37,PMO!$H$7:$H$27)*PMO!$C$4))+IF('Design &amp; Fulfillment'!$C$3="Project",SUMIF('Design &amp; Fulfillment'!$C$7:$H$27,Overview!B37,'Design &amp; Fulfillment'!$H$7:$H$27),(SUMIF('Design &amp; Fulfillment'!$C$7:$H$27,Overview!B37,'Design &amp; Fulfillment'!$H$7:$H$27)*'Design &amp; Fulfillment'!$C$4))+IF(Workplace!$C$3="Project",SUMIF(Workplace!$C$7:$H$27,Overview!B37,Workplace!$H$7:$H$27),(SUMIF(Workplace!$C$7:$H$27,Overview!B37,Workplace!$H$7:$H$27)*Workplace!$C$4))+IF(Integration!$C$3="Project",SUMIF(Integration!$C$7:$H$27,Overview!B37,Integration!$H$7:$H$27),(SUMIF(Integration!$C$7:$H$27,Overview!B37,Integration!$H$7:$H$27)*Integration!$C$4))+IF(Logistics!$C$3="Project",SUMIF(Logistics!$C$7:$H$27,Overview!B37,Logistics!$H$7:$H$27),(SUMIF(Logistics!$C$7:$H$27,Overview!B37,Logistics!$H$7:$H$27)*Logistics!$C$4))+IF('Service Desk'!$C$3="Project",SUMIF('Service Desk'!$C$7:$H$27,Overview!B37,'Service Desk'!$H$7:$H$27),(SUMIF('Service Desk'!$C$7:$H$27,Overview!B37,'Service Desk'!$H$7:$H$27)*'Service Desk'!$C$4))+IF('Pro Services'!$C$3="Project",SUMIF('Pro Services'!$C$7:$H$27,Overview!B37,'Pro Services'!$H$7:$H$27),(SUMIF('Pro Services'!$C$7:$H$27,Overview!B37,'Pro Services'!$H$7:$H$27)*'Pro Services'!$C$4))</f>
        <v>0</v>
      </c>
      <c r="E37" s="52">
        <f t="shared" ca="1" si="19"/>
        <v>0</v>
      </c>
      <c r="F37" s="52">
        <f t="shared" ref="F37:AK37" si="50">IFERROR(IF(F$28="FALSE",0,$C$37/$C$8),0)</f>
        <v>0</v>
      </c>
      <c r="G37" s="52">
        <f t="shared" si="50"/>
        <v>0</v>
      </c>
      <c r="H37" s="52">
        <f t="shared" si="50"/>
        <v>0</v>
      </c>
      <c r="I37" s="52">
        <f t="shared" si="50"/>
        <v>0</v>
      </c>
      <c r="J37" s="52">
        <f t="shared" si="50"/>
        <v>0</v>
      </c>
      <c r="K37" s="52">
        <f t="shared" si="50"/>
        <v>0</v>
      </c>
      <c r="L37" s="52">
        <f t="shared" si="50"/>
        <v>0</v>
      </c>
      <c r="M37" s="52">
        <f t="shared" si="50"/>
        <v>0</v>
      </c>
      <c r="N37" s="52">
        <f t="shared" si="50"/>
        <v>0</v>
      </c>
      <c r="O37" s="52">
        <f t="shared" si="50"/>
        <v>0</v>
      </c>
      <c r="P37" s="52">
        <f t="shared" si="50"/>
        <v>0</v>
      </c>
      <c r="Q37" s="52">
        <f t="shared" si="50"/>
        <v>0</v>
      </c>
      <c r="R37" s="52">
        <f t="shared" si="50"/>
        <v>0</v>
      </c>
      <c r="S37" s="52">
        <f t="shared" si="50"/>
        <v>0</v>
      </c>
      <c r="T37" s="52">
        <f t="shared" si="50"/>
        <v>0</v>
      </c>
      <c r="U37" s="52">
        <f t="shared" si="50"/>
        <v>0</v>
      </c>
      <c r="V37" s="52">
        <f t="shared" si="50"/>
        <v>0</v>
      </c>
      <c r="W37" s="52">
        <f t="shared" si="50"/>
        <v>0</v>
      </c>
      <c r="X37" s="52">
        <f t="shared" si="50"/>
        <v>0</v>
      </c>
      <c r="Y37" s="52">
        <f t="shared" si="50"/>
        <v>0</v>
      </c>
      <c r="Z37" s="52">
        <f t="shared" si="50"/>
        <v>0</v>
      </c>
      <c r="AA37" s="52">
        <f t="shared" si="50"/>
        <v>0</v>
      </c>
      <c r="AB37" s="52">
        <f t="shared" si="50"/>
        <v>0</v>
      </c>
      <c r="AC37" s="52">
        <f t="shared" si="50"/>
        <v>0</v>
      </c>
      <c r="AD37" s="52">
        <f t="shared" si="50"/>
        <v>0</v>
      </c>
      <c r="AE37" s="52">
        <f t="shared" si="50"/>
        <v>0</v>
      </c>
      <c r="AF37" s="52">
        <f t="shared" si="50"/>
        <v>0</v>
      </c>
      <c r="AG37" s="52">
        <f t="shared" si="50"/>
        <v>0</v>
      </c>
      <c r="AH37" s="52">
        <f t="shared" si="50"/>
        <v>0</v>
      </c>
      <c r="AI37" s="52">
        <f t="shared" si="50"/>
        <v>0</v>
      </c>
      <c r="AJ37" s="52">
        <f t="shared" si="50"/>
        <v>0</v>
      </c>
      <c r="AK37" s="52">
        <f t="shared" si="50"/>
        <v>0</v>
      </c>
      <c r="AL37" s="52">
        <f t="shared" ref="AL37:BQ37" si="51">IFERROR(IF(AL$28="FALSE",0,$C$37/$C$8),0)</f>
        <v>0</v>
      </c>
      <c r="AM37" s="52">
        <f t="shared" si="51"/>
        <v>0</v>
      </c>
      <c r="AN37" s="52">
        <f t="shared" si="51"/>
        <v>0</v>
      </c>
      <c r="AO37" s="52">
        <f t="shared" si="51"/>
        <v>0</v>
      </c>
      <c r="AP37" s="52">
        <f t="shared" si="51"/>
        <v>0</v>
      </c>
      <c r="AQ37" s="52">
        <f t="shared" si="51"/>
        <v>0</v>
      </c>
      <c r="AR37" s="52">
        <f t="shared" si="51"/>
        <v>0</v>
      </c>
      <c r="AS37" s="52">
        <f t="shared" si="51"/>
        <v>0</v>
      </c>
      <c r="AT37" s="52">
        <f t="shared" si="51"/>
        <v>0</v>
      </c>
      <c r="AU37" s="52">
        <f t="shared" si="51"/>
        <v>0</v>
      </c>
      <c r="AV37" s="52">
        <f t="shared" si="51"/>
        <v>0</v>
      </c>
      <c r="AW37" s="52">
        <f t="shared" si="51"/>
        <v>0</v>
      </c>
      <c r="AX37" s="52">
        <f t="shared" si="51"/>
        <v>0</v>
      </c>
      <c r="AY37" s="52">
        <f t="shared" si="51"/>
        <v>0</v>
      </c>
      <c r="AZ37" s="52">
        <f t="shared" si="51"/>
        <v>0</v>
      </c>
      <c r="BA37" s="52">
        <f t="shared" si="51"/>
        <v>0</v>
      </c>
      <c r="BB37" s="52">
        <f t="shared" si="51"/>
        <v>0</v>
      </c>
      <c r="BC37" s="52">
        <f t="shared" si="51"/>
        <v>0</v>
      </c>
      <c r="BD37" s="52">
        <f t="shared" si="51"/>
        <v>0</v>
      </c>
      <c r="BE37" s="52">
        <f t="shared" si="51"/>
        <v>0</v>
      </c>
      <c r="BF37" s="52">
        <f t="shared" si="51"/>
        <v>0</v>
      </c>
      <c r="BG37" s="52">
        <f t="shared" si="51"/>
        <v>0</v>
      </c>
      <c r="BH37" s="52">
        <f t="shared" si="51"/>
        <v>0</v>
      </c>
      <c r="BI37" s="52">
        <f t="shared" si="51"/>
        <v>0</v>
      </c>
      <c r="BJ37" s="52">
        <f t="shared" si="51"/>
        <v>0</v>
      </c>
      <c r="BK37" s="52">
        <f t="shared" si="51"/>
        <v>0</v>
      </c>
      <c r="BL37" s="52">
        <f t="shared" si="51"/>
        <v>0</v>
      </c>
      <c r="BM37" s="52">
        <f t="shared" si="51"/>
        <v>0</v>
      </c>
      <c r="BN37" s="52">
        <f t="shared" si="51"/>
        <v>0</v>
      </c>
      <c r="BO37" s="52">
        <f t="shared" si="51"/>
        <v>0</v>
      </c>
      <c r="BP37" s="52">
        <f t="shared" si="51"/>
        <v>0</v>
      </c>
      <c r="BQ37" s="52">
        <f t="shared" si="51"/>
        <v>0</v>
      </c>
      <c r="BR37" s="52">
        <f t="shared" ref="BR37:CW37" si="52">IFERROR(IF(BR$28="FALSE",0,$C$37/$C$8),0)</f>
        <v>0</v>
      </c>
      <c r="BS37" s="52">
        <f t="shared" si="52"/>
        <v>0</v>
      </c>
      <c r="BT37" s="52">
        <f t="shared" si="52"/>
        <v>0</v>
      </c>
      <c r="BU37" s="52">
        <f t="shared" si="52"/>
        <v>0</v>
      </c>
      <c r="BV37" s="52">
        <f t="shared" si="52"/>
        <v>0</v>
      </c>
      <c r="BW37" s="52">
        <f t="shared" si="52"/>
        <v>0</v>
      </c>
      <c r="BX37" s="52">
        <f t="shared" si="52"/>
        <v>0</v>
      </c>
      <c r="BY37" s="52">
        <f t="shared" si="52"/>
        <v>0</v>
      </c>
      <c r="BZ37" s="52">
        <f t="shared" si="52"/>
        <v>0</v>
      </c>
      <c r="CA37" s="52">
        <f t="shared" si="52"/>
        <v>0</v>
      </c>
      <c r="CB37" s="52">
        <f t="shared" si="52"/>
        <v>0</v>
      </c>
      <c r="CC37" s="52">
        <f t="shared" si="52"/>
        <v>0</v>
      </c>
      <c r="CD37" s="52">
        <f t="shared" si="52"/>
        <v>0</v>
      </c>
      <c r="CE37" s="52">
        <f t="shared" si="52"/>
        <v>0</v>
      </c>
      <c r="CF37" s="52">
        <f t="shared" si="52"/>
        <v>0</v>
      </c>
      <c r="CG37" s="52">
        <f t="shared" si="52"/>
        <v>0</v>
      </c>
      <c r="CH37" s="52">
        <f t="shared" si="52"/>
        <v>0</v>
      </c>
      <c r="CI37" s="52">
        <f t="shared" si="52"/>
        <v>0</v>
      </c>
      <c r="CJ37" s="52">
        <f t="shared" si="52"/>
        <v>0</v>
      </c>
      <c r="CK37" s="52">
        <f t="shared" si="52"/>
        <v>0</v>
      </c>
      <c r="CL37" s="52">
        <f t="shared" si="52"/>
        <v>0</v>
      </c>
      <c r="CM37" s="52">
        <f t="shared" si="52"/>
        <v>0</v>
      </c>
      <c r="CN37" s="52">
        <f t="shared" si="52"/>
        <v>0</v>
      </c>
      <c r="CO37" s="52">
        <f t="shared" si="52"/>
        <v>0</v>
      </c>
      <c r="CP37" s="52">
        <f t="shared" si="52"/>
        <v>0</v>
      </c>
      <c r="CQ37" s="52">
        <f t="shared" si="52"/>
        <v>0</v>
      </c>
      <c r="CR37" s="52">
        <f t="shared" si="52"/>
        <v>0</v>
      </c>
      <c r="CS37" s="52">
        <f t="shared" si="52"/>
        <v>0</v>
      </c>
      <c r="CT37" s="52">
        <f t="shared" si="52"/>
        <v>0</v>
      </c>
      <c r="CU37" s="52">
        <f t="shared" si="52"/>
        <v>0</v>
      </c>
      <c r="CV37" s="52">
        <f t="shared" si="52"/>
        <v>0</v>
      </c>
      <c r="CW37" s="52">
        <f t="shared" si="52"/>
        <v>0</v>
      </c>
      <c r="CX37" s="52">
        <f t="shared" ref="CX37:EC37" si="53">IFERROR(IF(CX$28="FALSE",0,$C$37/$C$8),0)</f>
        <v>0</v>
      </c>
      <c r="CY37" s="52">
        <f t="shared" si="53"/>
        <v>0</v>
      </c>
      <c r="CZ37" s="52">
        <f t="shared" si="53"/>
        <v>0</v>
      </c>
      <c r="DA37" s="52">
        <f t="shared" si="53"/>
        <v>0</v>
      </c>
      <c r="DB37" s="52">
        <f t="shared" si="53"/>
        <v>0</v>
      </c>
      <c r="DC37" s="52">
        <f t="shared" si="53"/>
        <v>0</v>
      </c>
      <c r="DD37" s="52">
        <f t="shared" si="53"/>
        <v>0</v>
      </c>
      <c r="DE37" s="52">
        <f t="shared" si="53"/>
        <v>0</v>
      </c>
      <c r="DF37" s="52">
        <f t="shared" si="53"/>
        <v>0</v>
      </c>
      <c r="DG37" s="52">
        <f t="shared" si="53"/>
        <v>0</v>
      </c>
      <c r="DH37" s="52">
        <f t="shared" si="53"/>
        <v>0</v>
      </c>
      <c r="DI37" s="52">
        <f t="shared" si="53"/>
        <v>0</v>
      </c>
      <c r="DJ37" s="52">
        <f t="shared" si="53"/>
        <v>0</v>
      </c>
      <c r="DK37" s="52">
        <f t="shared" si="53"/>
        <v>0</v>
      </c>
      <c r="DL37" s="52">
        <f t="shared" si="53"/>
        <v>0</v>
      </c>
      <c r="DM37" s="52">
        <f t="shared" si="53"/>
        <v>0</v>
      </c>
      <c r="DN37" s="52">
        <f t="shared" si="53"/>
        <v>0</v>
      </c>
      <c r="DO37" s="52">
        <f t="shared" si="53"/>
        <v>0</v>
      </c>
      <c r="DP37" s="52">
        <f t="shared" si="53"/>
        <v>0</v>
      </c>
      <c r="DQ37" s="52">
        <f t="shared" si="53"/>
        <v>0</v>
      </c>
      <c r="DR37" s="52">
        <f t="shared" si="53"/>
        <v>0</v>
      </c>
      <c r="DS37" s="52">
        <f t="shared" si="53"/>
        <v>0</v>
      </c>
      <c r="DT37" s="52">
        <f t="shared" si="53"/>
        <v>0</v>
      </c>
      <c r="DU37" s="52">
        <f t="shared" si="53"/>
        <v>0</v>
      </c>
      <c r="DV37" s="52">
        <f t="shared" si="53"/>
        <v>0</v>
      </c>
      <c r="DW37" s="52">
        <f t="shared" si="53"/>
        <v>0</v>
      </c>
      <c r="DX37" s="52">
        <f t="shared" si="53"/>
        <v>0</v>
      </c>
      <c r="DY37" s="52">
        <f t="shared" si="53"/>
        <v>0</v>
      </c>
      <c r="DZ37" s="52">
        <f t="shared" si="53"/>
        <v>0</v>
      </c>
      <c r="EA37" s="52">
        <f t="shared" si="53"/>
        <v>0</v>
      </c>
      <c r="EB37" s="52">
        <f t="shared" si="53"/>
        <v>0</v>
      </c>
      <c r="EC37" s="52">
        <f t="shared" si="53"/>
        <v>0</v>
      </c>
      <c r="ED37" s="52">
        <f t="shared" ref="ED37:FD37" si="54">IFERROR(IF(ED$28="FALSE",0,$C$37/$C$8),0)</f>
        <v>0</v>
      </c>
      <c r="EE37" s="52">
        <f t="shared" si="54"/>
        <v>0</v>
      </c>
      <c r="EF37" s="52">
        <f t="shared" si="54"/>
        <v>0</v>
      </c>
      <c r="EG37" s="52">
        <f t="shared" si="54"/>
        <v>0</v>
      </c>
      <c r="EH37" s="52">
        <f t="shared" si="54"/>
        <v>0</v>
      </c>
      <c r="EI37" s="52">
        <f t="shared" si="54"/>
        <v>0</v>
      </c>
      <c r="EJ37" s="52">
        <f t="shared" si="54"/>
        <v>0</v>
      </c>
      <c r="EK37" s="52">
        <f t="shared" si="54"/>
        <v>0</v>
      </c>
      <c r="EL37" s="52">
        <f t="shared" si="54"/>
        <v>0</v>
      </c>
      <c r="EM37" s="52">
        <f t="shared" si="54"/>
        <v>0</v>
      </c>
      <c r="EN37" s="52">
        <f t="shared" si="54"/>
        <v>0</v>
      </c>
      <c r="EO37" s="52">
        <f t="shared" si="54"/>
        <v>0</v>
      </c>
      <c r="EP37" s="52">
        <f t="shared" si="54"/>
        <v>0</v>
      </c>
      <c r="EQ37" s="52">
        <f t="shared" si="54"/>
        <v>0</v>
      </c>
      <c r="ER37" s="52">
        <f t="shared" si="54"/>
        <v>0</v>
      </c>
      <c r="ES37" s="52">
        <f t="shared" si="54"/>
        <v>0</v>
      </c>
      <c r="ET37" s="52">
        <f t="shared" si="54"/>
        <v>0</v>
      </c>
      <c r="EU37" s="52">
        <f t="shared" si="54"/>
        <v>0</v>
      </c>
      <c r="EV37" s="52">
        <f t="shared" si="54"/>
        <v>0</v>
      </c>
      <c r="EW37" s="52">
        <f t="shared" si="54"/>
        <v>0</v>
      </c>
      <c r="EX37" s="52">
        <f t="shared" si="54"/>
        <v>0</v>
      </c>
      <c r="EY37" s="52">
        <f t="shared" si="54"/>
        <v>0</v>
      </c>
      <c r="EZ37" s="52">
        <f t="shared" si="54"/>
        <v>0</v>
      </c>
      <c r="FA37" s="52">
        <f t="shared" si="54"/>
        <v>0</v>
      </c>
      <c r="FB37" s="52">
        <f t="shared" si="54"/>
        <v>0</v>
      </c>
      <c r="FC37" s="52">
        <f t="shared" si="54"/>
        <v>0</v>
      </c>
      <c r="FD37" s="52">
        <f t="shared" si="54"/>
        <v>0</v>
      </c>
    </row>
    <row r="38" spans="2:160">
      <c r="B38" s="51" t="s">
        <v>113</v>
      </c>
      <c r="C38" s="52">
        <f ca="1">IF(Startup!$C$3="Project",SUMIF(Startup!$C$7:$D$27,Overview!B38,Startup!$D$7:$D$27),(SUMIF(Startup!$C$7:$D$27,Overview!B38,Startup!$D$7:$D$27)*Startup!$C$4))+IF(Pilot!$C$3="Project",SUMIF(Pilot!$C$7:$D$27,Overview!B38,Pilot!$D$7:$D$27),(SUMIF(Pilot!$C$7:$D$27,Overview!B38,Pilot!$D$7:$D$27)*Pilot!$C$4))+IF(PMO!$C$3="Project",SUMIF(PMO!$C$7:$D$27,Overview!B38,PMO!$D$7:$D$27),(SUMIF(PMO!$C$7:$D$27,Overview!B38,PMO!$D$7:$D$27)*PMO!$C$4))+IF('Design &amp; Fulfillment'!$C$3="Project",SUMIF('Design &amp; Fulfillment'!$C$7:$D$27,Overview!B38,'Design &amp; Fulfillment'!$D$7:$D$27),(SUMIF('Design &amp; Fulfillment'!$C$7:$D$27,Overview!B38,'Design &amp; Fulfillment'!$D$7:$D$27)*'Design &amp; Fulfillment'!$C$4))+IF(Workplace!$C$3="Project",SUMIF(Workplace!$C$7:$D$27,Overview!B38,Workplace!$D$7:$D$27),(SUMIF(Workplace!$C$7:$D$27,Overview!B38,Workplace!$D$7:$D$27)*Workplace!$C$4))+IF(Integration!$C$3="Project",SUMIF(Integration!$C$7:$D$27,Overview!B38,Integration!$D$7:$D$27),(SUMIF(Integration!$C$7:$D$27,Overview!B38,Integration!$D$7:$D$27)*Integration!$C$4))+IF(Logistics!$C$3="Project",SUMIF(Logistics!$C$7:$D$27,Overview!B38,Logistics!$D$7:$D$27),(SUMIF(Logistics!$C$7:$D$27,Overview!B38,Logistics!$D$7:$D$27)*Logistics!$C$4))+IF('Service Desk'!$C$3="Project",SUMIF('Service Desk'!$C$7:$D$27,Overview!B38,'Service Desk'!$D$7:$D$27),(SUMIF('Service Desk'!$C$7:$D$27,Overview!B38,'Service Desk'!$D$7:$D$27)*'Service Desk'!$C$4))+IF('Pro Services'!$C$3="Project",SUMIF('Pro Services'!$C$7:$D$27,Overview!B38,'Pro Services'!$D$7:$D$27),(SUMIF('Pro Services'!$C$7:$D$27,Overview!B38,'Pro Services'!$D$7:$D$27)*'Pro Services'!$C$4))</f>
        <v>0</v>
      </c>
      <c r="D38" s="53">
        <f ca="1">IF(Startup!$C$3="Project",SUMIF(Startup!$C$7:$H$27,Overview!B38,Startup!$H$7:$H$27),(SUMIF(Startup!$C$7:$H$27,Overview!B38,Startup!$H$7:$H$27)*Startup!$C$4))+IF(Pilot!$C$3="Project",SUMIF(Pilot!$C$7:$H$27,Overview!B38,Pilot!$H$7:$H$27),(SUMIF(Pilot!$C$7:$H$27,Overview!B38,Pilot!$H$7:$H$27)*Pilot!$C$4))+IF(PMO!$C$3="Project",SUMIF(PMO!$C$7:$H$27,Overview!B38,PMO!$H$7:$H$27),(SUMIF(PMO!$C$7:$H$27,Overview!B38,PMO!$H$7:$H$27)*PMO!$C$4))+IF('Design &amp; Fulfillment'!$C$3="Project",SUMIF('Design &amp; Fulfillment'!$C$7:$H$27,Overview!B38,'Design &amp; Fulfillment'!$H$7:$H$27),(SUMIF('Design &amp; Fulfillment'!$C$7:$H$27,Overview!B38,'Design &amp; Fulfillment'!$H$7:$H$27)*'Design &amp; Fulfillment'!$C$4))+IF(Workplace!$C$3="Project",SUMIF(Workplace!$C$7:$H$27,Overview!B38,Workplace!$H$7:$H$27),(SUMIF(Workplace!$C$7:$H$27,Overview!B38,Workplace!$H$7:$H$27)*Workplace!$C$4))+IF(Integration!$C$3="Project",SUMIF(Integration!$C$7:$H$27,Overview!B38,Integration!$H$7:$H$27),(SUMIF(Integration!$C$7:$H$27,Overview!B38,Integration!$H$7:$H$27)*Integration!$C$4))+IF(Logistics!$C$3="Project",SUMIF(Logistics!$C$7:$H$27,Overview!B38,Logistics!$H$7:$H$27),(SUMIF(Logistics!$C$7:$H$27,Overview!B38,Logistics!$H$7:$H$27)*Logistics!$C$4))+IF('Service Desk'!$C$3="Project",SUMIF('Service Desk'!$C$7:$H$27,Overview!B38,'Service Desk'!$H$7:$H$27),(SUMIF('Service Desk'!$C$7:$H$27,Overview!B38,'Service Desk'!$H$7:$H$27)*'Service Desk'!$C$4))+IF('Pro Services'!$C$3="Project",SUMIF('Pro Services'!$C$7:$H$27,Overview!B38,'Pro Services'!$H$7:$H$27),(SUMIF('Pro Services'!$C$7:$H$27,Overview!B38,'Pro Services'!$H$7:$H$27)*'Pro Services'!$C$4))</f>
        <v>0</v>
      </c>
      <c r="E38" s="52">
        <f t="shared" ca="1" si="19"/>
        <v>0</v>
      </c>
      <c r="F38" s="52">
        <f t="shared" ref="F38:AK38" si="55">IFERROR(IF(F$28="FALSE",0,$C$38/$C$8),0)</f>
        <v>0</v>
      </c>
      <c r="G38" s="52">
        <f t="shared" si="55"/>
        <v>0</v>
      </c>
      <c r="H38" s="52">
        <f t="shared" si="55"/>
        <v>0</v>
      </c>
      <c r="I38" s="52">
        <f t="shared" si="55"/>
        <v>0</v>
      </c>
      <c r="J38" s="52">
        <f t="shared" si="55"/>
        <v>0</v>
      </c>
      <c r="K38" s="52">
        <f t="shared" si="55"/>
        <v>0</v>
      </c>
      <c r="L38" s="52">
        <f t="shared" si="55"/>
        <v>0</v>
      </c>
      <c r="M38" s="52">
        <f t="shared" si="55"/>
        <v>0</v>
      </c>
      <c r="N38" s="52">
        <f t="shared" si="55"/>
        <v>0</v>
      </c>
      <c r="O38" s="52">
        <f t="shared" si="55"/>
        <v>0</v>
      </c>
      <c r="P38" s="52">
        <f t="shared" si="55"/>
        <v>0</v>
      </c>
      <c r="Q38" s="52">
        <f t="shared" si="55"/>
        <v>0</v>
      </c>
      <c r="R38" s="52">
        <f t="shared" si="55"/>
        <v>0</v>
      </c>
      <c r="S38" s="52">
        <f t="shared" si="55"/>
        <v>0</v>
      </c>
      <c r="T38" s="52">
        <f t="shared" si="55"/>
        <v>0</v>
      </c>
      <c r="U38" s="52">
        <f t="shared" si="55"/>
        <v>0</v>
      </c>
      <c r="V38" s="52">
        <f t="shared" si="55"/>
        <v>0</v>
      </c>
      <c r="W38" s="52">
        <f t="shared" si="55"/>
        <v>0</v>
      </c>
      <c r="X38" s="52">
        <f t="shared" si="55"/>
        <v>0</v>
      </c>
      <c r="Y38" s="52">
        <f t="shared" si="55"/>
        <v>0</v>
      </c>
      <c r="Z38" s="52">
        <f t="shared" si="55"/>
        <v>0</v>
      </c>
      <c r="AA38" s="52">
        <f t="shared" si="55"/>
        <v>0</v>
      </c>
      <c r="AB38" s="52">
        <f t="shared" si="55"/>
        <v>0</v>
      </c>
      <c r="AC38" s="52">
        <f t="shared" si="55"/>
        <v>0</v>
      </c>
      <c r="AD38" s="52">
        <f t="shared" si="55"/>
        <v>0</v>
      </c>
      <c r="AE38" s="52">
        <f t="shared" si="55"/>
        <v>0</v>
      </c>
      <c r="AF38" s="52">
        <f t="shared" si="55"/>
        <v>0</v>
      </c>
      <c r="AG38" s="52">
        <f t="shared" si="55"/>
        <v>0</v>
      </c>
      <c r="AH38" s="52">
        <f t="shared" si="55"/>
        <v>0</v>
      </c>
      <c r="AI38" s="52">
        <f t="shared" si="55"/>
        <v>0</v>
      </c>
      <c r="AJ38" s="52">
        <f t="shared" si="55"/>
        <v>0</v>
      </c>
      <c r="AK38" s="52">
        <f t="shared" si="55"/>
        <v>0</v>
      </c>
      <c r="AL38" s="52">
        <f t="shared" ref="AL38:BQ38" si="56">IFERROR(IF(AL$28="FALSE",0,$C$38/$C$8),0)</f>
        <v>0</v>
      </c>
      <c r="AM38" s="52">
        <f t="shared" si="56"/>
        <v>0</v>
      </c>
      <c r="AN38" s="52">
        <f t="shared" si="56"/>
        <v>0</v>
      </c>
      <c r="AO38" s="52">
        <f t="shared" si="56"/>
        <v>0</v>
      </c>
      <c r="AP38" s="52">
        <f t="shared" si="56"/>
        <v>0</v>
      </c>
      <c r="AQ38" s="52">
        <f t="shared" si="56"/>
        <v>0</v>
      </c>
      <c r="AR38" s="52">
        <f t="shared" si="56"/>
        <v>0</v>
      </c>
      <c r="AS38" s="52">
        <f t="shared" si="56"/>
        <v>0</v>
      </c>
      <c r="AT38" s="52">
        <f t="shared" si="56"/>
        <v>0</v>
      </c>
      <c r="AU38" s="52">
        <f t="shared" si="56"/>
        <v>0</v>
      </c>
      <c r="AV38" s="52">
        <f t="shared" si="56"/>
        <v>0</v>
      </c>
      <c r="AW38" s="52">
        <f t="shared" si="56"/>
        <v>0</v>
      </c>
      <c r="AX38" s="52">
        <f t="shared" si="56"/>
        <v>0</v>
      </c>
      <c r="AY38" s="52">
        <f t="shared" si="56"/>
        <v>0</v>
      </c>
      <c r="AZ38" s="52">
        <f t="shared" si="56"/>
        <v>0</v>
      </c>
      <c r="BA38" s="52">
        <f t="shared" si="56"/>
        <v>0</v>
      </c>
      <c r="BB38" s="52">
        <f t="shared" si="56"/>
        <v>0</v>
      </c>
      <c r="BC38" s="52">
        <f t="shared" si="56"/>
        <v>0</v>
      </c>
      <c r="BD38" s="52">
        <f t="shared" si="56"/>
        <v>0</v>
      </c>
      <c r="BE38" s="52">
        <f t="shared" si="56"/>
        <v>0</v>
      </c>
      <c r="BF38" s="52">
        <f t="shared" si="56"/>
        <v>0</v>
      </c>
      <c r="BG38" s="52">
        <f t="shared" si="56"/>
        <v>0</v>
      </c>
      <c r="BH38" s="52">
        <f t="shared" si="56"/>
        <v>0</v>
      </c>
      <c r="BI38" s="52">
        <f t="shared" si="56"/>
        <v>0</v>
      </c>
      <c r="BJ38" s="52">
        <f t="shared" si="56"/>
        <v>0</v>
      </c>
      <c r="BK38" s="52">
        <f t="shared" si="56"/>
        <v>0</v>
      </c>
      <c r="BL38" s="52">
        <f t="shared" si="56"/>
        <v>0</v>
      </c>
      <c r="BM38" s="52">
        <f t="shared" si="56"/>
        <v>0</v>
      </c>
      <c r="BN38" s="52">
        <f t="shared" si="56"/>
        <v>0</v>
      </c>
      <c r="BO38" s="52">
        <f t="shared" si="56"/>
        <v>0</v>
      </c>
      <c r="BP38" s="52">
        <f t="shared" si="56"/>
        <v>0</v>
      </c>
      <c r="BQ38" s="52">
        <f t="shared" si="56"/>
        <v>0</v>
      </c>
      <c r="BR38" s="52">
        <f t="shared" ref="BR38:CW38" si="57">IFERROR(IF(BR$28="FALSE",0,$C$38/$C$8),0)</f>
        <v>0</v>
      </c>
      <c r="BS38" s="52">
        <f t="shared" si="57"/>
        <v>0</v>
      </c>
      <c r="BT38" s="52">
        <f t="shared" si="57"/>
        <v>0</v>
      </c>
      <c r="BU38" s="52">
        <f t="shared" si="57"/>
        <v>0</v>
      </c>
      <c r="BV38" s="52">
        <f t="shared" si="57"/>
        <v>0</v>
      </c>
      <c r="BW38" s="52">
        <f t="shared" si="57"/>
        <v>0</v>
      </c>
      <c r="BX38" s="52">
        <f t="shared" si="57"/>
        <v>0</v>
      </c>
      <c r="BY38" s="52">
        <f t="shared" si="57"/>
        <v>0</v>
      </c>
      <c r="BZ38" s="52">
        <f t="shared" si="57"/>
        <v>0</v>
      </c>
      <c r="CA38" s="52">
        <f t="shared" si="57"/>
        <v>0</v>
      </c>
      <c r="CB38" s="52">
        <f t="shared" si="57"/>
        <v>0</v>
      </c>
      <c r="CC38" s="52">
        <f t="shared" si="57"/>
        <v>0</v>
      </c>
      <c r="CD38" s="52">
        <f t="shared" si="57"/>
        <v>0</v>
      </c>
      <c r="CE38" s="52">
        <f t="shared" si="57"/>
        <v>0</v>
      </c>
      <c r="CF38" s="52">
        <f t="shared" si="57"/>
        <v>0</v>
      </c>
      <c r="CG38" s="52">
        <f t="shared" si="57"/>
        <v>0</v>
      </c>
      <c r="CH38" s="52">
        <f t="shared" si="57"/>
        <v>0</v>
      </c>
      <c r="CI38" s="52">
        <f t="shared" si="57"/>
        <v>0</v>
      </c>
      <c r="CJ38" s="52">
        <f t="shared" si="57"/>
        <v>0</v>
      </c>
      <c r="CK38" s="52">
        <f t="shared" si="57"/>
        <v>0</v>
      </c>
      <c r="CL38" s="52">
        <f t="shared" si="57"/>
        <v>0</v>
      </c>
      <c r="CM38" s="52">
        <f t="shared" si="57"/>
        <v>0</v>
      </c>
      <c r="CN38" s="52">
        <f t="shared" si="57"/>
        <v>0</v>
      </c>
      <c r="CO38" s="52">
        <f t="shared" si="57"/>
        <v>0</v>
      </c>
      <c r="CP38" s="52">
        <f t="shared" si="57"/>
        <v>0</v>
      </c>
      <c r="CQ38" s="52">
        <f t="shared" si="57"/>
        <v>0</v>
      </c>
      <c r="CR38" s="52">
        <f t="shared" si="57"/>
        <v>0</v>
      </c>
      <c r="CS38" s="52">
        <f t="shared" si="57"/>
        <v>0</v>
      </c>
      <c r="CT38" s="52">
        <f t="shared" si="57"/>
        <v>0</v>
      </c>
      <c r="CU38" s="52">
        <f t="shared" si="57"/>
        <v>0</v>
      </c>
      <c r="CV38" s="52">
        <f t="shared" si="57"/>
        <v>0</v>
      </c>
      <c r="CW38" s="52">
        <f t="shared" si="57"/>
        <v>0</v>
      </c>
      <c r="CX38" s="52">
        <f t="shared" ref="CX38:EC38" si="58">IFERROR(IF(CX$28="FALSE",0,$C$38/$C$8),0)</f>
        <v>0</v>
      </c>
      <c r="CY38" s="52">
        <f t="shared" si="58"/>
        <v>0</v>
      </c>
      <c r="CZ38" s="52">
        <f t="shared" si="58"/>
        <v>0</v>
      </c>
      <c r="DA38" s="52">
        <f t="shared" si="58"/>
        <v>0</v>
      </c>
      <c r="DB38" s="52">
        <f t="shared" si="58"/>
        <v>0</v>
      </c>
      <c r="DC38" s="52">
        <f t="shared" si="58"/>
        <v>0</v>
      </c>
      <c r="DD38" s="52">
        <f t="shared" si="58"/>
        <v>0</v>
      </c>
      <c r="DE38" s="52">
        <f t="shared" si="58"/>
        <v>0</v>
      </c>
      <c r="DF38" s="52">
        <f t="shared" si="58"/>
        <v>0</v>
      </c>
      <c r="DG38" s="52">
        <f t="shared" si="58"/>
        <v>0</v>
      </c>
      <c r="DH38" s="52">
        <f t="shared" si="58"/>
        <v>0</v>
      </c>
      <c r="DI38" s="52">
        <f t="shared" si="58"/>
        <v>0</v>
      </c>
      <c r="DJ38" s="52">
        <f t="shared" si="58"/>
        <v>0</v>
      </c>
      <c r="DK38" s="52">
        <f t="shared" si="58"/>
        <v>0</v>
      </c>
      <c r="DL38" s="52">
        <f t="shared" si="58"/>
        <v>0</v>
      </c>
      <c r="DM38" s="52">
        <f t="shared" si="58"/>
        <v>0</v>
      </c>
      <c r="DN38" s="52">
        <f t="shared" si="58"/>
        <v>0</v>
      </c>
      <c r="DO38" s="52">
        <f t="shared" si="58"/>
        <v>0</v>
      </c>
      <c r="DP38" s="52">
        <f t="shared" si="58"/>
        <v>0</v>
      </c>
      <c r="DQ38" s="52">
        <f t="shared" si="58"/>
        <v>0</v>
      </c>
      <c r="DR38" s="52">
        <f t="shared" si="58"/>
        <v>0</v>
      </c>
      <c r="DS38" s="52">
        <f t="shared" si="58"/>
        <v>0</v>
      </c>
      <c r="DT38" s="52">
        <f t="shared" si="58"/>
        <v>0</v>
      </c>
      <c r="DU38" s="52">
        <f t="shared" si="58"/>
        <v>0</v>
      </c>
      <c r="DV38" s="52">
        <f t="shared" si="58"/>
        <v>0</v>
      </c>
      <c r="DW38" s="52">
        <f t="shared" si="58"/>
        <v>0</v>
      </c>
      <c r="DX38" s="52">
        <f t="shared" si="58"/>
        <v>0</v>
      </c>
      <c r="DY38" s="52">
        <f t="shared" si="58"/>
        <v>0</v>
      </c>
      <c r="DZ38" s="52">
        <f t="shared" si="58"/>
        <v>0</v>
      </c>
      <c r="EA38" s="52">
        <f t="shared" si="58"/>
        <v>0</v>
      </c>
      <c r="EB38" s="52">
        <f t="shared" si="58"/>
        <v>0</v>
      </c>
      <c r="EC38" s="52">
        <f t="shared" si="58"/>
        <v>0</v>
      </c>
      <c r="ED38" s="52">
        <f t="shared" ref="ED38:FD38" si="59">IFERROR(IF(ED$28="FALSE",0,$C$38/$C$8),0)</f>
        <v>0</v>
      </c>
      <c r="EE38" s="52">
        <f t="shared" si="59"/>
        <v>0</v>
      </c>
      <c r="EF38" s="52">
        <f t="shared" si="59"/>
        <v>0</v>
      </c>
      <c r="EG38" s="52">
        <f t="shared" si="59"/>
        <v>0</v>
      </c>
      <c r="EH38" s="52">
        <f t="shared" si="59"/>
        <v>0</v>
      </c>
      <c r="EI38" s="52">
        <f t="shared" si="59"/>
        <v>0</v>
      </c>
      <c r="EJ38" s="52">
        <f t="shared" si="59"/>
        <v>0</v>
      </c>
      <c r="EK38" s="52">
        <f t="shared" si="59"/>
        <v>0</v>
      </c>
      <c r="EL38" s="52">
        <f t="shared" si="59"/>
        <v>0</v>
      </c>
      <c r="EM38" s="52">
        <f t="shared" si="59"/>
        <v>0</v>
      </c>
      <c r="EN38" s="52">
        <f t="shared" si="59"/>
        <v>0</v>
      </c>
      <c r="EO38" s="52">
        <f t="shared" si="59"/>
        <v>0</v>
      </c>
      <c r="EP38" s="52">
        <f t="shared" si="59"/>
        <v>0</v>
      </c>
      <c r="EQ38" s="52">
        <f t="shared" si="59"/>
        <v>0</v>
      </c>
      <c r="ER38" s="52">
        <f t="shared" si="59"/>
        <v>0</v>
      </c>
      <c r="ES38" s="52">
        <f t="shared" si="59"/>
        <v>0</v>
      </c>
      <c r="ET38" s="52">
        <f t="shared" si="59"/>
        <v>0</v>
      </c>
      <c r="EU38" s="52">
        <f t="shared" si="59"/>
        <v>0</v>
      </c>
      <c r="EV38" s="52">
        <f t="shared" si="59"/>
        <v>0</v>
      </c>
      <c r="EW38" s="52">
        <f t="shared" si="59"/>
        <v>0</v>
      </c>
      <c r="EX38" s="52">
        <f t="shared" si="59"/>
        <v>0</v>
      </c>
      <c r="EY38" s="52">
        <f t="shared" si="59"/>
        <v>0</v>
      </c>
      <c r="EZ38" s="52">
        <f t="shared" si="59"/>
        <v>0</v>
      </c>
      <c r="FA38" s="52">
        <f t="shared" si="59"/>
        <v>0</v>
      </c>
      <c r="FB38" s="52">
        <f t="shared" si="59"/>
        <v>0</v>
      </c>
      <c r="FC38" s="52">
        <f t="shared" si="59"/>
        <v>0</v>
      </c>
      <c r="FD38" s="52">
        <f t="shared" si="59"/>
        <v>0</v>
      </c>
    </row>
    <row r="39" spans="2:160">
      <c r="B39" s="51" t="s">
        <v>114</v>
      </c>
      <c r="C39" s="52">
        <f ca="1">IF(Startup!$C$3="Project",SUMIF(Startup!$C$7:$D$27,Overview!B39,Startup!$D$7:$D$27),(SUMIF(Startup!$C$7:$D$27,Overview!B39,Startup!$D$7:$D$27)*Startup!$C$4))+IF(Pilot!$C$3="Project",SUMIF(Pilot!$C$7:$D$27,Overview!B39,Pilot!$D$7:$D$27),(SUMIF(Pilot!$C$7:$D$27,Overview!B39,Pilot!$D$7:$D$27)*Pilot!$C$4))+IF(PMO!$C$3="Project",SUMIF(PMO!$C$7:$D$27,Overview!B39,PMO!$D$7:$D$27),(SUMIF(PMO!$C$7:$D$27,Overview!B39,PMO!$D$7:$D$27)*PMO!$C$4))+IF('Design &amp; Fulfillment'!$C$3="Project",SUMIF('Design &amp; Fulfillment'!$C$7:$D$27,Overview!B39,'Design &amp; Fulfillment'!$D$7:$D$27),(SUMIF('Design &amp; Fulfillment'!$C$7:$D$27,Overview!B39,'Design &amp; Fulfillment'!$D$7:$D$27)*'Design &amp; Fulfillment'!$C$4))+IF(Workplace!$C$3="Project",SUMIF(Workplace!$C$7:$D$27,Overview!B39,Workplace!$D$7:$D$27),(SUMIF(Workplace!$C$7:$D$27,Overview!B39,Workplace!$D$7:$D$27)*Workplace!$C$4))+IF(Integration!$C$3="Project",SUMIF(Integration!$C$7:$D$27,Overview!B39,Integration!$D$7:$D$27),(SUMIF(Integration!$C$7:$D$27,Overview!B39,Integration!$D$7:$D$27)*Integration!$C$4))+IF(Logistics!$C$3="Project",SUMIF(Logistics!$C$7:$D$27,Overview!B39,Logistics!$D$7:$D$27),(SUMIF(Logistics!$C$7:$D$27,Overview!B39,Logistics!$D$7:$D$27)*Logistics!$C$4))+IF('Service Desk'!$C$3="Project",SUMIF('Service Desk'!$C$7:$D$27,Overview!B39,'Service Desk'!$D$7:$D$27),(SUMIF('Service Desk'!$C$7:$D$27,Overview!B39,'Service Desk'!$D$7:$D$27)*'Service Desk'!$C$4))+IF('Pro Services'!$C$3="Project",SUMIF('Pro Services'!$C$7:$D$27,Overview!B39,'Pro Services'!$D$7:$D$27),(SUMIF('Pro Services'!$C$7:$D$27,Overview!B39,'Pro Services'!$D$7:$D$27)*'Pro Services'!$C$4))</f>
        <v>420</v>
      </c>
      <c r="D39" s="53">
        <f ca="1">IF(Startup!$C$3="Project",SUMIF(Startup!$C$7:$H$27,Overview!B39,Startup!$H$7:$H$27),(SUMIF(Startup!$C$7:$H$27,Overview!B39,Startup!$H$7:$H$27)*Startup!$C$4))+IF(Pilot!$C$3="Project",SUMIF(Pilot!$C$7:$H$27,Overview!B39,Pilot!$H$7:$H$27),(SUMIF(Pilot!$C$7:$H$27,Overview!B39,Pilot!$H$7:$H$27)*Pilot!$C$4))+IF(PMO!$C$3="Project",SUMIF(PMO!$C$7:$H$27,Overview!B39,PMO!$H$7:$H$27),(SUMIF(PMO!$C$7:$H$27,Overview!B39,PMO!$H$7:$H$27)*PMO!$C$4))+IF('Design &amp; Fulfillment'!$C$3="Project",SUMIF('Design &amp; Fulfillment'!$C$7:$H$27,Overview!B39,'Design &amp; Fulfillment'!$H$7:$H$27),(SUMIF('Design &amp; Fulfillment'!$C$7:$H$27,Overview!B39,'Design &amp; Fulfillment'!$H$7:$H$27)*'Design &amp; Fulfillment'!$C$4))+IF(Workplace!$C$3="Project",SUMIF(Workplace!$C$7:$H$27,Overview!B39,Workplace!$H$7:$H$27),(SUMIF(Workplace!$C$7:$H$27,Overview!B39,Workplace!$H$7:$H$27)*Workplace!$C$4))+IF(Integration!$C$3="Project",SUMIF(Integration!$C$7:$H$27,Overview!B39,Integration!$H$7:$H$27),(SUMIF(Integration!$C$7:$H$27,Overview!B39,Integration!$H$7:$H$27)*Integration!$C$4))+IF(Logistics!$C$3="Project",SUMIF(Logistics!$C$7:$H$27,Overview!B39,Logistics!$H$7:$H$27),(SUMIF(Logistics!$C$7:$H$27,Overview!B39,Logistics!$H$7:$H$27)*Logistics!$C$4))+IF('Service Desk'!$C$3="Project",SUMIF('Service Desk'!$C$7:$H$27,Overview!B39,'Service Desk'!$H$7:$H$27),(SUMIF('Service Desk'!$C$7:$H$27,Overview!B39,'Service Desk'!$H$7:$H$27)*'Service Desk'!$C$4))+IF('Pro Services'!$C$3="Project",SUMIF('Pro Services'!$C$7:$H$27,Overview!B39,'Pro Services'!$H$7:$H$27),(SUMIF('Pro Services'!$C$7:$H$27,Overview!B39,'Pro Services'!$H$7:$H$27)*'Pro Services'!$C$4))</f>
        <v>6048</v>
      </c>
      <c r="E39" s="52">
        <f t="shared" ca="1" si="19"/>
        <v>0</v>
      </c>
      <c r="F39" s="52">
        <f t="shared" ref="F39:AK39" si="60">IFERROR(IF(F$28="FALSE",0,$C$39/$C$8),0)</f>
        <v>0</v>
      </c>
      <c r="G39" s="52">
        <f t="shared" si="60"/>
        <v>0</v>
      </c>
      <c r="H39" s="52">
        <f t="shared" si="60"/>
        <v>0</v>
      </c>
      <c r="I39" s="52">
        <f t="shared" si="60"/>
        <v>0</v>
      </c>
      <c r="J39" s="52">
        <f t="shared" si="60"/>
        <v>0</v>
      </c>
      <c r="K39" s="52">
        <f t="shared" si="60"/>
        <v>0</v>
      </c>
      <c r="L39" s="52">
        <f t="shared" si="60"/>
        <v>0</v>
      </c>
      <c r="M39" s="52">
        <f t="shared" si="60"/>
        <v>0</v>
      </c>
      <c r="N39" s="52">
        <f t="shared" si="60"/>
        <v>0</v>
      </c>
      <c r="O39" s="52">
        <f t="shared" si="60"/>
        <v>0</v>
      </c>
      <c r="P39" s="52">
        <f t="shared" si="60"/>
        <v>0</v>
      </c>
      <c r="Q39" s="52">
        <f t="shared" si="60"/>
        <v>0</v>
      </c>
      <c r="R39" s="52">
        <f t="shared" si="60"/>
        <v>0</v>
      </c>
      <c r="S39" s="52">
        <f t="shared" si="60"/>
        <v>0</v>
      </c>
      <c r="T39" s="52">
        <f t="shared" si="60"/>
        <v>0</v>
      </c>
      <c r="U39" s="52">
        <f t="shared" si="60"/>
        <v>0</v>
      </c>
      <c r="V39" s="52">
        <f t="shared" si="60"/>
        <v>0</v>
      </c>
      <c r="W39" s="52">
        <f t="shared" si="60"/>
        <v>0</v>
      </c>
      <c r="X39" s="52">
        <f t="shared" si="60"/>
        <v>0</v>
      </c>
      <c r="Y39" s="52">
        <f t="shared" si="60"/>
        <v>0</v>
      </c>
      <c r="Z39" s="52">
        <f t="shared" si="60"/>
        <v>0</v>
      </c>
      <c r="AA39" s="52">
        <f t="shared" si="60"/>
        <v>0</v>
      </c>
      <c r="AB39" s="52">
        <f t="shared" si="60"/>
        <v>0</v>
      </c>
      <c r="AC39" s="52">
        <f t="shared" si="60"/>
        <v>0</v>
      </c>
      <c r="AD39" s="52">
        <f t="shared" si="60"/>
        <v>0</v>
      </c>
      <c r="AE39" s="52">
        <f t="shared" si="60"/>
        <v>0</v>
      </c>
      <c r="AF39" s="52">
        <f t="shared" si="60"/>
        <v>0</v>
      </c>
      <c r="AG39" s="52">
        <f t="shared" si="60"/>
        <v>0</v>
      </c>
      <c r="AH39" s="52">
        <f t="shared" si="60"/>
        <v>0</v>
      </c>
      <c r="AI39" s="52">
        <f t="shared" si="60"/>
        <v>0</v>
      </c>
      <c r="AJ39" s="52">
        <f t="shared" si="60"/>
        <v>0</v>
      </c>
      <c r="AK39" s="52">
        <f t="shared" si="60"/>
        <v>0</v>
      </c>
      <c r="AL39" s="52">
        <f t="shared" ref="AL39:BQ39" si="61">IFERROR(IF(AL$28="FALSE",0,$C$39/$C$8),0)</f>
        <v>0</v>
      </c>
      <c r="AM39" s="52">
        <f t="shared" si="61"/>
        <v>0</v>
      </c>
      <c r="AN39" s="52">
        <f t="shared" si="61"/>
        <v>0</v>
      </c>
      <c r="AO39" s="52">
        <f t="shared" si="61"/>
        <v>0</v>
      </c>
      <c r="AP39" s="52">
        <f t="shared" si="61"/>
        <v>0</v>
      </c>
      <c r="AQ39" s="52">
        <f t="shared" si="61"/>
        <v>0</v>
      </c>
      <c r="AR39" s="52">
        <f t="shared" si="61"/>
        <v>0</v>
      </c>
      <c r="AS39" s="52">
        <f t="shared" si="61"/>
        <v>0</v>
      </c>
      <c r="AT39" s="52">
        <f t="shared" si="61"/>
        <v>0</v>
      </c>
      <c r="AU39" s="52">
        <f t="shared" si="61"/>
        <v>0</v>
      </c>
      <c r="AV39" s="52">
        <f t="shared" si="61"/>
        <v>0</v>
      </c>
      <c r="AW39" s="52">
        <f t="shared" si="61"/>
        <v>0</v>
      </c>
      <c r="AX39" s="52">
        <f t="shared" si="61"/>
        <v>0</v>
      </c>
      <c r="AY39" s="52">
        <f t="shared" si="61"/>
        <v>0</v>
      </c>
      <c r="AZ39" s="52">
        <f t="shared" si="61"/>
        <v>0</v>
      </c>
      <c r="BA39" s="52">
        <f t="shared" si="61"/>
        <v>0</v>
      </c>
      <c r="BB39" s="52">
        <f t="shared" si="61"/>
        <v>0</v>
      </c>
      <c r="BC39" s="52">
        <f t="shared" si="61"/>
        <v>0</v>
      </c>
      <c r="BD39" s="52">
        <f t="shared" si="61"/>
        <v>0</v>
      </c>
      <c r="BE39" s="52">
        <f t="shared" si="61"/>
        <v>0</v>
      </c>
      <c r="BF39" s="52">
        <f t="shared" si="61"/>
        <v>0</v>
      </c>
      <c r="BG39" s="52">
        <f t="shared" si="61"/>
        <v>0</v>
      </c>
      <c r="BH39" s="52">
        <f t="shared" si="61"/>
        <v>0</v>
      </c>
      <c r="BI39" s="52">
        <f t="shared" si="61"/>
        <v>0</v>
      </c>
      <c r="BJ39" s="52">
        <f t="shared" si="61"/>
        <v>0</v>
      </c>
      <c r="BK39" s="52">
        <f t="shared" si="61"/>
        <v>0</v>
      </c>
      <c r="BL39" s="52">
        <f t="shared" si="61"/>
        <v>0</v>
      </c>
      <c r="BM39" s="52">
        <f t="shared" si="61"/>
        <v>0</v>
      </c>
      <c r="BN39" s="52">
        <f t="shared" si="61"/>
        <v>0</v>
      </c>
      <c r="BO39" s="52">
        <f t="shared" si="61"/>
        <v>0</v>
      </c>
      <c r="BP39" s="52">
        <f t="shared" si="61"/>
        <v>0</v>
      </c>
      <c r="BQ39" s="52">
        <f t="shared" si="61"/>
        <v>0</v>
      </c>
      <c r="BR39" s="52">
        <f t="shared" ref="BR39:CW39" si="62">IFERROR(IF(BR$28="FALSE",0,$C$39/$C$8),0)</f>
        <v>0</v>
      </c>
      <c r="BS39" s="52">
        <f t="shared" si="62"/>
        <v>0</v>
      </c>
      <c r="BT39" s="52">
        <f t="shared" si="62"/>
        <v>0</v>
      </c>
      <c r="BU39" s="52">
        <f t="shared" si="62"/>
        <v>0</v>
      </c>
      <c r="BV39" s="52">
        <f t="shared" si="62"/>
        <v>0</v>
      </c>
      <c r="BW39" s="52">
        <f t="shared" si="62"/>
        <v>0</v>
      </c>
      <c r="BX39" s="52">
        <f t="shared" si="62"/>
        <v>0</v>
      </c>
      <c r="BY39" s="52">
        <f t="shared" si="62"/>
        <v>0</v>
      </c>
      <c r="BZ39" s="52">
        <f t="shared" si="62"/>
        <v>0</v>
      </c>
      <c r="CA39" s="52">
        <f t="shared" si="62"/>
        <v>0</v>
      </c>
      <c r="CB39" s="52">
        <f t="shared" si="62"/>
        <v>0</v>
      </c>
      <c r="CC39" s="52">
        <f t="shared" si="62"/>
        <v>0</v>
      </c>
      <c r="CD39" s="52">
        <f t="shared" si="62"/>
        <v>0</v>
      </c>
      <c r="CE39" s="52">
        <f t="shared" si="62"/>
        <v>0</v>
      </c>
      <c r="CF39" s="52">
        <f t="shared" si="62"/>
        <v>0</v>
      </c>
      <c r="CG39" s="52">
        <f t="shared" si="62"/>
        <v>0</v>
      </c>
      <c r="CH39" s="52">
        <f t="shared" si="62"/>
        <v>0</v>
      </c>
      <c r="CI39" s="52">
        <f t="shared" si="62"/>
        <v>0</v>
      </c>
      <c r="CJ39" s="52">
        <f t="shared" si="62"/>
        <v>0</v>
      </c>
      <c r="CK39" s="52">
        <f t="shared" si="62"/>
        <v>0</v>
      </c>
      <c r="CL39" s="52">
        <f t="shared" si="62"/>
        <v>0</v>
      </c>
      <c r="CM39" s="52">
        <f t="shared" si="62"/>
        <v>0</v>
      </c>
      <c r="CN39" s="52">
        <f t="shared" si="62"/>
        <v>0</v>
      </c>
      <c r="CO39" s="52">
        <f t="shared" si="62"/>
        <v>0</v>
      </c>
      <c r="CP39" s="52">
        <f t="shared" si="62"/>
        <v>0</v>
      </c>
      <c r="CQ39" s="52">
        <f t="shared" si="62"/>
        <v>0</v>
      </c>
      <c r="CR39" s="52">
        <f t="shared" si="62"/>
        <v>0</v>
      </c>
      <c r="CS39" s="52">
        <f t="shared" si="62"/>
        <v>0</v>
      </c>
      <c r="CT39" s="52">
        <f t="shared" si="62"/>
        <v>0</v>
      </c>
      <c r="CU39" s="52">
        <f t="shared" si="62"/>
        <v>0</v>
      </c>
      <c r="CV39" s="52">
        <f t="shared" si="62"/>
        <v>0</v>
      </c>
      <c r="CW39" s="52">
        <f t="shared" si="62"/>
        <v>0</v>
      </c>
      <c r="CX39" s="52">
        <f t="shared" ref="CX39:EC39" si="63">IFERROR(IF(CX$28="FALSE",0,$C$39/$C$8),0)</f>
        <v>0</v>
      </c>
      <c r="CY39" s="52">
        <f t="shared" si="63"/>
        <v>0</v>
      </c>
      <c r="CZ39" s="52">
        <f t="shared" si="63"/>
        <v>0</v>
      </c>
      <c r="DA39" s="52">
        <f t="shared" si="63"/>
        <v>0</v>
      </c>
      <c r="DB39" s="52">
        <f t="shared" si="63"/>
        <v>0</v>
      </c>
      <c r="DC39" s="52">
        <f t="shared" si="63"/>
        <v>0</v>
      </c>
      <c r="DD39" s="52">
        <f t="shared" si="63"/>
        <v>0</v>
      </c>
      <c r="DE39" s="52">
        <f t="shared" si="63"/>
        <v>0</v>
      </c>
      <c r="DF39" s="52">
        <f t="shared" si="63"/>
        <v>0</v>
      </c>
      <c r="DG39" s="52">
        <f t="shared" si="63"/>
        <v>0</v>
      </c>
      <c r="DH39" s="52">
        <f t="shared" si="63"/>
        <v>0</v>
      </c>
      <c r="DI39" s="52">
        <f t="shared" si="63"/>
        <v>0</v>
      </c>
      <c r="DJ39" s="52">
        <f t="shared" si="63"/>
        <v>0</v>
      </c>
      <c r="DK39" s="52">
        <f t="shared" si="63"/>
        <v>0</v>
      </c>
      <c r="DL39" s="52">
        <f t="shared" si="63"/>
        <v>0</v>
      </c>
      <c r="DM39" s="52">
        <f t="shared" si="63"/>
        <v>0</v>
      </c>
      <c r="DN39" s="52">
        <f t="shared" si="63"/>
        <v>0</v>
      </c>
      <c r="DO39" s="52">
        <f t="shared" si="63"/>
        <v>0</v>
      </c>
      <c r="DP39" s="52">
        <f t="shared" si="63"/>
        <v>0</v>
      </c>
      <c r="DQ39" s="52">
        <f t="shared" si="63"/>
        <v>0</v>
      </c>
      <c r="DR39" s="52">
        <f t="shared" si="63"/>
        <v>0</v>
      </c>
      <c r="DS39" s="52">
        <f t="shared" si="63"/>
        <v>0</v>
      </c>
      <c r="DT39" s="52">
        <f t="shared" si="63"/>
        <v>0</v>
      </c>
      <c r="DU39" s="52">
        <f t="shared" si="63"/>
        <v>0</v>
      </c>
      <c r="DV39" s="52">
        <f t="shared" si="63"/>
        <v>0</v>
      </c>
      <c r="DW39" s="52">
        <f t="shared" si="63"/>
        <v>0</v>
      </c>
      <c r="DX39" s="52">
        <f t="shared" si="63"/>
        <v>0</v>
      </c>
      <c r="DY39" s="52">
        <f t="shared" si="63"/>
        <v>0</v>
      </c>
      <c r="DZ39" s="52">
        <f t="shared" si="63"/>
        <v>0</v>
      </c>
      <c r="EA39" s="52">
        <f t="shared" si="63"/>
        <v>0</v>
      </c>
      <c r="EB39" s="52">
        <f t="shared" si="63"/>
        <v>0</v>
      </c>
      <c r="EC39" s="52">
        <f t="shared" si="63"/>
        <v>0</v>
      </c>
      <c r="ED39" s="52">
        <f t="shared" ref="ED39:FD39" si="64">IFERROR(IF(ED$28="FALSE",0,$C$39/$C$8),0)</f>
        <v>0</v>
      </c>
      <c r="EE39" s="52">
        <f t="shared" si="64"/>
        <v>0</v>
      </c>
      <c r="EF39" s="52">
        <f t="shared" si="64"/>
        <v>0</v>
      </c>
      <c r="EG39" s="52">
        <f t="shared" si="64"/>
        <v>0</v>
      </c>
      <c r="EH39" s="52">
        <f t="shared" si="64"/>
        <v>0</v>
      </c>
      <c r="EI39" s="52">
        <f t="shared" si="64"/>
        <v>0</v>
      </c>
      <c r="EJ39" s="52">
        <f t="shared" si="64"/>
        <v>0</v>
      </c>
      <c r="EK39" s="52">
        <f t="shared" si="64"/>
        <v>0</v>
      </c>
      <c r="EL39" s="52">
        <f t="shared" si="64"/>
        <v>0</v>
      </c>
      <c r="EM39" s="52">
        <f t="shared" si="64"/>
        <v>0</v>
      </c>
      <c r="EN39" s="52">
        <f t="shared" si="64"/>
        <v>0</v>
      </c>
      <c r="EO39" s="52">
        <f t="shared" si="64"/>
        <v>0</v>
      </c>
      <c r="EP39" s="52">
        <f t="shared" si="64"/>
        <v>0</v>
      </c>
      <c r="EQ39" s="52">
        <f t="shared" si="64"/>
        <v>0</v>
      </c>
      <c r="ER39" s="52">
        <f t="shared" si="64"/>
        <v>0</v>
      </c>
      <c r="ES39" s="52">
        <f t="shared" si="64"/>
        <v>0</v>
      </c>
      <c r="ET39" s="52">
        <f t="shared" si="64"/>
        <v>0</v>
      </c>
      <c r="EU39" s="52">
        <f t="shared" si="64"/>
        <v>0</v>
      </c>
      <c r="EV39" s="52">
        <f t="shared" si="64"/>
        <v>0</v>
      </c>
      <c r="EW39" s="52">
        <f t="shared" si="64"/>
        <v>0</v>
      </c>
      <c r="EX39" s="52">
        <f t="shared" si="64"/>
        <v>0</v>
      </c>
      <c r="EY39" s="52">
        <f t="shared" si="64"/>
        <v>0</v>
      </c>
      <c r="EZ39" s="52">
        <f t="shared" si="64"/>
        <v>0</v>
      </c>
      <c r="FA39" s="52">
        <f t="shared" si="64"/>
        <v>0</v>
      </c>
      <c r="FB39" s="52">
        <f t="shared" si="64"/>
        <v>0</v>
      </c>
      <c r="FC39" s="52">
        <f t="shared" si="64"/>
        <v>0</v>
      </c>
      <c r="FD39" s="52">
        <f t="shared" si="64"/>
        <v>0</v>
      </c>
    </row>
    <row r="40" spans="2:160">
      <c r="B40" s="51" t="s">
        <v>116</v>
      </c>
      <c r="C40" s="52">
        <f ca="1">IF(Startup!$C$3="Project",SUMIF(Startup!$C$7:$D$27,Overview!B40,Startup!$D$7:$D$27),(SUMIF(Startup!$C$7:$D$27,Overview!B40,Startup!$D$7:$D$27)*Startup!$C$4))+IF(Pilot!$C$3="Project",SUMIF(Pilot!$C$7:$D$27,Overview!B40,Pilot!$D$7:$D$27),(SUMIF(Pilot!$C$7:$D$27,Overview!B40,Pilot!$D$7:$D$27)*Pilot!$C$4))+IF(PMO!$C$3="Project",SUMIF(PMO!$C$7:$D$27,Overview!B40,PMO!$D$7:$D$27),(SUMIF(PMO!$C$7:$D$27,Overview!B40,PMO!$D$7:$D$27)*PMO!$C$4))+IF('Design &amp; Fulfillment'!$C$3="Project",SUMIF('Design &amp; Fulfillment'!$C$7:$D$27,Overview!B40,'Design &amp; Fulfillment'!$D$7:$D$27),(SUMIF('Design &amp; Fulfillment'!$C$7:$D$27,Overview!B40,'Design &amp; Fulfillment'!$D$7:$D$27)*'Design &amp; Fulfillment'!$C$4))+IF(Workplace!$C$3="Project",SUMIF(Workplace!$C$7:$D$27,Overview!B40,Workplace!$D$7:$D$27),(SUMIF(Workplace!$C$7:$D$27,Overview!B40,Workplace!$D$7:$D$27)*Workplace!$C$4))+IF(Integration!$C$3="Project",SUMIF(Integration!$C$7:$D$27,Overview!B40,Integration!$D$7:$D$27),(SUMIF(Integration!$C$7:$D$27,Overview!B40,Integration!$D$7:$D$27)*Integration!$C$4))+IF(Logistics!$C$3="Project",SUMIF(Logistics!$C$7:$D$27,Overview!B40,Logistics!$D$7:$D$27),(SUMIF(Logistics!$C$7:$D$27,Overview!B40,Logistics!$D$7:$D$27)*Logistics!$C$4))+IF('Service Desk'!$C$3="Project",SUMIF('Service Desk'!$C$7:$D$27,Overview!B40,'Service Desk'!$D$7:$D$27),(SUMIF('Service Desk'!$C$7:$D$27,Overview!B40,'Service Desk'!$D$7:$D$27)*'Service Desk'!$C$4))+IF('Pro Services'!$C$3="Project",SUMIF('Pro Services'!$C$7:$D$27,Overview!B40,'Pro Services'!$D$7:$D$27),(SUMIF('Pro Services'!$C$7:$D$27,Overview!B40,'Pro Services'!$D$7:$D$27)*'Pro Services'!$C$4))</f>
        <v>0</v>
      </c>
      <c r="D40" s="53">
        <f ca="1">IF(Startup!$C$3="Project",SUMIF(Startup!$C$7:$H$27,Overview!B40,Startup!$H$7:$H$27),(SUMIF(Startup!$C$7:$H$27,Overview!B40,Startup!$H$7:$H$27)*Startup!$C$4))+IF(Pilot!$C$3="Project",SUMIF(Pilot!$C$7:$H$27,Overview!B40,Pilot!$H$7:$H$27),(SUMIF(Pilot!$C$7:$H$27,Overview!B40,Pilot!$H$7:$H$27)*Pilot!$C$4))+IF(PMO!$C$3="Project",SUMIF(PMO!$C$7:$H$27,Overview!B40,PMO!$H$7:$H$27),(SUMIF(PMO!$C$7:$H$27,Overview!B40,PMO!$H$7:$H$27)*PMO!$C$4))+IF('Design &amp; Fulfillment'!$C$3="Project",SUMIF('Design &amp; Fulfillment'!$C$7:$H$27,Overview!B40,'Design &amp; Fulfillment'!$H$7:$H$27),(SUMIF('Design &amp; Fulfillment'!$C$7:$H$27,Overview!B40,'Design &amp; Fulfillment'!$H$7:$H$27)*'Design &amp; Fulfillment'!$C$4))+IF(Workplace!$C$3="Project",SUMIF(Workplace!$C$7:$H$27,Overview!B40,Workplace!$H$7:$H$27),(SUMIF(Workplace!$C$7:$H$27,Overview!B40,Workplace!$H$7:$H$27)*Workplace!$C$4))+IF(Integration!$C$3="Project",SUMIF(Integration!$C$7:$H$27,Overview!B40,Integration!$H$7:$H$27),(SUMIF(Integration!$C$7:$H$27,Overview!B40,Integration!$H$7:$H$27)*Integration!$C$4))+IF(Logistics!$C$3="Project",SUMIF(Logistics!$C$7:$H$27,Overview!B40,Logistics!$H$7:$H$27),(SUMIF(Logistics!$C$7:$H$27,Overview!B40,Logistics!$H$7:$H$27)*Logistics!$C$4))+IF('Service Desk'!$C$3="Project",SUMIF('Service Desk'!$C$7:$H$27,Overview!B40,'Service Desk'!$H$7:$H$27),(SUMIF('Service Desk'!$C$7:$H$27,Overview!B40,'Service Desk'!$H$7:$H$27)*'Service Desk'!$C$4))+IF('Pro Services'!$C$3="Project",SUMIF('Pro Services'!$C$7:$H$27,Overview!B40,'Pro Services'!$H$7:$H$27),(SUMIF('Pro Services'!$C$7:$H$27,Overview!B40,'Pro Services'!$H$7:$H$27)*'Pro Services'!$C$4))</f>
        <v>0</v>
      </c>
      <c r="E40" s="52">
        <f t="shared" ca="1" si="19"/>
        <v>0</v>
      </c>
      <c r="F40" s="52">
        <f t="shared" ref="F40:AK40" si="65">IFERROR(IF(F$28="FALSE",0,$C$40/$C$8),0)</f>
        <v>0</v>
      </c>
      <c r="G40" s="52">
        <f t="shared" si="65"/>
        <v>0</v>
      </c>
      <c r="H40" s="52">
        <f t="shared" si="65"/>
        <v>0</v>
      </c>
      <c r="I40" s="52">
        <f t="shared" si="65"/>
        <v>0</v>
      </c>
      <c r="J40" s="52">
        <f t="shared" si="65"/>
        <v>0</v>
      </c>
      <c r="K40" s="52">
        <f t="shared" si="65"/>
        <v>0</v>
      </c>
      <c r="L40" s="52">
        <f t="shared" si="65"/>
        <v>0</v>
      </c>
      <c r="M40" s="52">
        <f t="shared" si="65"/>
        <v>0</v>
      </c>
      <c r="N40" s="52">
        <f t="shared" si="65"/>
        <v>0</v>
      </c>
      <c r="O40" s="52">
        <f t="shared" si="65"/>
        <v>0</v>
      </c>
      <c r="P40" s="52">
        <f t="shared" si="65"/>
        <v>0</v>
      </c>
      <c r="Q40" s="52">
        <f t="shared" si="65"/>
        <v>0</v>
      </c>
      <c r="R40" s="52">
        <f t="shared" si="65"/>
        <v>0</v>
      </c>
      <c r="S40" s="52">
        <f t="shared" si="65"/>
        <v>0</v>
      </c>
      <c r="T40" s="52">
        <f t="shared" si="65"/>
        <v>0</v>
      </c>
      <c r="U40" s="52">
        <f t="shared" si="65"/>
        <v>0</v>
      </c>
      <c r="V40" s="52">
        <f t="shared" si="65"/>
        <v>0</v>
      </c>
      <c r="W40" s="52">
        <f t="shared" si="65"/>
        <v>0</v>
      </c>
      <c r="X40" s="52">
        <f t="shared" si="65"/>
        <v>0</v>
      </c>
      <c r="Y40" s="52">
        <f t="shared" si="65"/>
        <v>0</v>
      </c>
      <c r="Z40" s="52">
        <f t="shared" si="65"/>
        <v>0</v>
      </c>
      <c r="AA40" s="52">
        <f t="shared" si="65"/>
        <v>0</v>
      </c>
      <c r="AB40" s="52">
        <f t="shared" si="65"/>
        <v>0</v>
      </c>
      <c r="AC40" s="52">
        <f t="shared" si="65"/>
        <v>0</v>
      </c>
      <c r="AD40" s="52">
        <f t="shared" si="65"/>
        <v>0</v>
      </c>
      <c r="AE40" s="52">
        <f t="shared" si="65"/>
        <v>0</v>
      </c>
      <c r="AF40" s="52">
        <f t="shared" si="65"/>
        <v>0</v>
      </c>
      <c r="AG40" s="52">
        <f t="shared" si="65"/>
        <v>0</v>
      </c>
      <c r="AH40" s="52">
        <f t="shared" si="65"/>
        <v>0</v>
      </c>
      <c r="AI40" s="52">
        <f t="shared" si="65"/>
        <v>0</v>
      </c>
      <c r="AJ40" s="52">
        <f t="shared" si="65"/>
        <v>0</v>
      </c>
      <c r="AK40" s="52">
        <f t="shared" si="65"/>
        <v>0</v>
      </c>
      <c r="AL40" s="52">
        <f t="shared" ref="AL40:BQ40" si="66">IFERROR(IF(AL$28="FALSE",0,$C$40/$C$8),0)</f>
        <v>0</v>
      </c>
      <c r="AM40" s="52">
        <f t="shared" si="66"/>
        <v>0</v>
      </c>
      <c r="AN40" s="52">
        <f t="shared" si="66"/>
        <v>0</v>
      </c>
      <c r="AO40" s="52">
        <f t="shared" si="66"/>
        <v>0</v>
      </c>
      <c r="AP40" s="52">
        <f t="shared" si="66"/>
        <v>0</v>
      </c>
      <c r="AQ40" s="52">
        <f t="shared" si="66"/>
        <v>0</v>
      </c>
      <c r="AR40" s="52">
        <f t="shared" si="66"/>
        <v>0</v>
      </c>
      <c r="AS40" s="52">
        <f t="shared" si="66"/>
        <v>0</v>
      </c>
      <c r="AT40" s="52">
        <f t="shared" si="66"/>
        <v>0</v>
      </c>
      <c r="AU40" s="52">
        <f t="shared" si="66"/>
        <v>0</v>
      </c>
      <c r="AV40" s="52">
        <f t="shared" si="66"/>
        <v>0</v>
      </c>
      <c r="AW40" s="52">
        <f t="shared" si="66"/>
        <v>0</v>
      </c>
      <c r="AX40" s="52">
        <f t="shared" si="66"/>
        <v>0</v>
      </c>
      <c r="AY40" s="52">
        <f t="shared" si="66"/>
        <v>0</v>
      </c>
      <c r="AZ40" s="52">
        <f t="shared" si="66"/>
        <v>0</v>
      </c>
      <c r="BA40" s="52">
        <f t="shared" si="66"/>
        <v>0</v>
      </c>
      <c r="BB40" s="52">
        <f t="shared" si="66"/>
        <v>0</v>
      </c>
      <c r="BC40" s="52">
        <f t="shared" si="66"/>
        <v>0</v>
      </c>
      <c r="BD40" s="52">
        <f t="shared" si="66"/>
        <v>0</v>
      </c>
      <c r="BE40" s="52">
        <f t="shared" si="66"/>
        <v>0</v>
      </c>
      <c r="BF40" s="52">
        <f t="shared" si="66"/>
        <v>0</v>
      </c>
      <c r="BG40" s="52">
        <f t="shared" si="66"/>
        <v>0</v>
      </c>
      <c r="BH40" s="52">
        <f t="shared" si="66"/>
        <v>0</v>
      </c>
      <c r="BI40" s="52">
        <f t="shared" si="66"/>
        <v>0</v>
      </c>
      <c r="BJ40" s="52">
        <f t="shared" si="66"/>
        <v>0</v>
      </c>
      <c r="BK40" s="52">
        <f t="shared" si="66"/>
        <v>0</v>
      </c>
      <c r="BL40" s="52">
        <f t="shared" si="66"/>
        <v>0</v>
      </c>
      <c r="BM40" s="52">
        <f t="shared" si="66"/>
        <v>0</v>
      </c>
      <c r="BN40" s="52">
        <f t="shared" si="66"/>
        <v>0</v>
      </c>
      <c r="BO40" s="52">
        <f t="shared" si="66"/>
        <v>0</v>
      </c>
      <c r="BP40" s="52">
        <f t="shared" si="66"/>
        <v>0</v>
      </c>
      <c r="BQ40" s="52">
        <f t="shared" si="66"/>
        <v>0</v>
      </c>
      <c r="BR40" s="52">
        <f t="shared" ref="BR40:CW40" si="67">IFERROR(IF(BR$28="FALSE",0,$C$40/$C$8),0)</f>
        <v>0</v>
      </c>
      <c r="BS40" s="52">
        <f t="shared" si="67"/>
        <v>0</v>
      </c>
      <c r="BT40" s="52">
        <f t="shared" si="67"/>
        <v>0</v>
      </c>
      <c r="BU40" s="52">
        <f t="shared" si="67"/>
        <v>0</v>
      </c>
      <c r="BV40" s="52">
        <f t="shared" si="67"/>
        <v>0</v>
      </c>
      <c r="BW40" s="52">
        <f t="shared" si="67"/>
        <v>0</v>
      </c>
      <c r="BX40" s="52">
        <f t="shared" si="67"/>
        <v>0</v>
      </c>
      <c r="BY40" s="52">
        <f t="shared" si="67"/>
        <v>0</v>
      </c>
      <c r="BZ40" s="52">
        <f t="shared" si="67"/>
        <v>0</v>
      </c>
      <c r="CA40" s="52">
        <f t="shared" si="67"/>
        <v>0</v>
      </c>
      <c r="CB40" s="52">
        <f t="shared" si="67"/>
        <v>0</v>
      </c>
      <c r="CC40" s="52">
        <f t="shared" si="67"/>
        <v>0</v>
      </c>
      <c r="CD40" s="52">
        <f t="shared" si="67"/>
        <v>0</v>
      </c>
      <c r="CE40" s="52">
        <f t="shared" si="67"/>
        <v>0</v>
      </c>
      <c r="CF40" s="52">
        <f t="shared" si="67"/>
        <v>0</v>
      </c>
      <c r="CG40" s="52">
        <f t="shared" si="67"/>
        <v>0</v>
      </c>
      <c r="CH40" s="52">
        <f t="shared" si="67"/>
        <v>0</v>
      </c>
      <c r="CI40" s="52">
        <f t="shared" si="67"/>
        <v>0</v>
      </c>
      <c r="CJ40" s="52">
        <f t="shared" si="67"/>
        <v>0</v>
      </c>
      <c r="CK40" s="52">
        <f t="shared" si="67"/>
        <v>0</v>
      </c>
      <c r="CL40" s="52">
        <f t="shared" si="67"/>
        <v>0</v>
      </c>
      <c r="CM40" s="52">
        <f t="shared" si="67"/>
        <v>0</v>
      </c>
      <c r="CN40" s="52">
        <f t="shared" si="67"/>
        <v>0</v>
      </c>
      <c r="CO40" s="52">
        <f t="shared" si="67"/>
        <v>0</v>
      </c>
      <c r="CP40" s="52">
        <f t="shared" si="67"/>
        <v>0</v>
      </c>
      <c r="CQ40" s="52">
        <f t="shared" si="67"/>
        <v>0</v>
      </c>
      <c r="CR40" s="52">
        <f t="shared" si="67"/>
        <v>0</v>
      </c>
      <c r="CS40" s="52">
        <f t="shared" si="67"/>
        <v>0</v>
      </c>
      <c r="CT40" s="52">
        <f t="shared" si="67"/>
        <v>0</v>
      </c>
      <c r="CU40" s="52">
        <f t="shared" si="67"/>
        <v>0</v>
      </c>
      <c r="CV40" s="52">
        <f t="shared" si="67"/>
        <v>0</v>
      </c>
      <c r="CW40" s="52">
        <f t="shared" si="67"/>
        <v>0</v>
      </c>
      <c r="CX40" s="52">
        <f t="shared" ref="CX40:EC40" si="68">IFERROR(IF(CX$28="FALSE",0,$C$40/$C$8),0)</f>
        <v>0</v>
      </c>
      <c r="CY40" s="52">
        <f t="shared" si="68"/>
        <v>0</v>
      </c>
      <c r="CZ40" s="52">
        <f t="shared" si="68"/>
        <v>0</v>
      </c>
      <c r="DA40" s="52">
        <f t="shared" si="68"/>
        <v>0</v>
      </c>
      <c r="DB40" s="52">
        <f t="shared" si="68"/>
        <v>0</v>
      </c>
      <c r="DC40" s="52">
        <f t="shared" si="68"/>
        <v>0</v>
      </c>
      <c r="DD40" s="52">
        <f t="shared" si="68"/>
        <v>0</v>
      </c>
      <c r="DE40" s="52">
        <f t="shared" si="68"/>
        <v>0</v>
      </c>
      <c r="DF40" s="52">
        <f t="shared" si="68"/>
        <v>0</v>
      </c>
      <c r="DG40" s="52">
        <f t="shared" si="68"/>
        <v>0</v>
      </c>
      <c r="DH40" s="52">
        <f t="shared" si="68"/>
        <v>0</v>
      </c>
      <c r="DI40" s="52">
        <f t="shared" si="68"/>
        <v>0</v>
      </c>
      <c r="DJ40" s="52">
        <f t="shared" si="68"/>
        <v>0</v>
      </c>
      <c r="DK40" s="52">
        <f t="shared" si="68"/>
        <v>0</v>
      </c>
      <c r="DL40" s="52">
        <f t="shared" si="68"/>
        <v>0</v>
      </c>
      <c r="DM40" s="52">
        <f t="shared" si="68"/>
        <v>0</v>
      </c>
      <c r="DN40" s="52">
        <f t="shared" si="68"/>
        <v>0</v>
      </c>
      <c r="DO40" s="52">
        <f t="shared" si="68"/>
        <v>0</v>
      </c>
      <c r="DP40" s="52">
        <f t="shared" si="68"/>
        <v>0</v>
      </c>
      <c r="DQ40" s="52">
        <f t="shared" si="68"/>
        <v>0</v>
      </c>
      <c r="DR40" s="52">
        <f t="shared" si="68"/>
        <v>0</v>
      </c>
      <c r="DS40" s="52">
        <f t="shared" si="68"/>
        <v>0</v>
      </c>
      <c r="DT40" s="52">
        <f t="shared" si="68"/>
        <v>0</v>
      </c>
      <c r="DU40" s="52">
        <f t="shared" si="68"/>
        <v>0</v>
      </c>
      <c r="DV40" s="52">
        <f t="shared" si="68"/>
        <v>0</v>
      </c>
      <c r="DW40" s="52">
        <f t="shared" si="68"/>
        <v>0</v>
      </c>
      <c r="DX40" s="52">
        <f t="shared" si="68"/>
        <v>0</v>
      </c>
      <c r="DY40" s="52">
        <f t="shared" si="68"/>
        <v>0</v>
      </c>
      <c r="DZ40" s="52">
        <f t="shared" si="68"/>
        <v>0</v>
      </c>
      <c r="EA40" s="52">
        <f t="shared" si="68"/>
        <v>0</v>
      </c>
      <c r="EB40" s="52">
        <f t="shared" si="68"/>
        <v>0</v>
      </c>
      <c r="EC40" s="52">
        <f t="shared" si="68"/>
        <v>0</v>
      </c>
      <c r="ED40" s="52">
        <f t="shared" ref="ED40:FD40" si="69">IFERROR(IF(ED$28="FALSE",0,$C$40/$C$8),0)</f>
        <v>0</v>
      </c>
      <c r="EE40" s="52">
        <f t="shared" si="69"/>
        <v>0</v>
      </c>
      <c r="EF40" s="52">
        <f t="shared" si="69"/>
        <v>0</v>
      </c>
      <c r="EG40" s="52">
        <f t="shared" si="69"/>
        <v>0</v>
      </c>
      <c r="EH40" s="52">
        <f t="shared" si="69"/>
        <v>0</v>
      </c>
      <c r="EI40" s="52">
        <f t="shared" si="69"/>
        <v>0</v>
      </c>
      <c r="EJ40" s="52">
        <f t="shared" si="69"/>
        <v>0</v>
      </c>
      <c r="EK40" s="52">
        <f t="shared" si="69"/>
        <v>0</v>
      </c>
      <c r="EL40" s="52">
        <f t="shared" si="69"/>
        <v>0</v>
      </c>
      <c r="EM40" s="52">
        <f t="shared" si="69"/>
        <v>0</v>
      </c>
      <c r="EN40" s="52">
        <f t="shared" si="69"/>
        <v>0</v>
      </c>
      <c r="EO40" s="52">
        <f t="shared" si="69"/>
        <v>0</v>
      </c>
      <c r="EP40" s="52">
        <f t="shared" si="69"/>
        <v>0</v>
      </c>
      <c r="EQ40" s="52">
        <f t="shared" si="69"/>
        <v>0</v>
      </c>
      <c r="ER40" s="52">
        <f t="shared" si="69"/>
        <v>0</v>
      </c>
      <c r="ES40" s="52">
        <f t="shared" si="69"/>
        <v>0</v>
      </c>
      <c r="ET40" s="52">
        <f t="shared" si="69"/>
        <v>0</v>
      </c>
      <c r="EU40" s="52">
        <f t="shared" si="69"/>
        <v>0</v>
      </c>
      <c r="EV40" s="52">
        <f t="shared" si="69"/>
        <v>0</v>
      </c>
      <c r="EW40" s="52">
        <f t="shared" si="69"/>
        <v>0</v>
      </c>
      <c r="EX40" s="52">
        <f t="shared" si="69"/>
        <v>0</v>
      </c>
      <c r="EY40" s="52">
        <f t="shared" si="69"/>
        <v>0</v>
      </c>
      <c r="EZ40" s="52">
        <f t="shared" si="69"/>
        <v>0</v>
      </c>
      <c r="FA40" s="52">
        <f t="shared" si="69"/>
        <v>0</v>
      </c>
      <c r="FB40" s="52">
        <f t="shared" si="69"/>
        <v>0</v>
      </c>
      <c r="FC40" s="52">
        <f t="shared" si="69"/>
        <v>0</v>
      </c>
      <c r="FD40" s="52">
        <f t="shared" si="69"/>
        <v>0</v>
      </c>
    </row>
    <row r="41" spans="2:160">
      <c r="B41" s="51" t="s">
        <v>117</v>
      </c>
      <c r="C41" s="52">
        <f ca="1">IF(Startup!$C$3="Project",SUMIF(Startup!$C$7:$D$27,Overview!B41,Startup!$D$7:$D$27),(SUMIF(Startup!$C$7:$D$27,Overview!B41,Startup!$D$7:$D$27)*Startup!$C$4))+IF(Pilot!$C$3="Project",SUMIF(Pilot!$C$7:$D$27,Overview!B41,Pilot!$D$7:$D$27),(SUMIF(Pilot!$C$7:$D$27,Overview!B41,Pilot!$D$7:$D$27)*Pilot!$C$4))+IF(PMO!$C$3="Project",SUMIF(PMO!$C$7:$D$27,Overview!B41,PMO!$D$7:$D$27),(SUMIF(PMO!$C$7:$D$27,Overview!B41,PMO!$D$7:$D$27)*PMO!$C$4))+IF('Design &amp; Fulfillment'!$C$3="Project",SUMIF('Design &amp; Fulfillment'!$C$7:$D$27,Overview!B41,'Design &amp; Fulfillment'!$D$7:$D$27),(SUMIF('Design &amp; Fulfillment'!$C$7:$D$27,Overview!B41,'Design &amp; Fulfillment'!$D$7:$D$27)*'Design &amp; Fulfillment'!$C$4))+IF(Workplace!$C$3="Project",SUMIF(Workplace!$C$7:$D$27,Overview!B41,Workplace!$D$7:$D$27),(SUMIF(Workplace!$C$7:$D$27,Overview!B41,Workplace!$D$7:$D$27)*Workplace!$C$4))+IF(Integration!$C$3="Project",SUMIF(Integration!$C$7:$D$27,Overview!B41,Integration!$D$7:$D$27),(SUMIF(Integration!$C$7:$D$27,Overview!B41,Integration!$D$7:$D$27)*Integration!$C$4))+IF(Logistics!$C$3="Project",SUMIF(Logistics!$C$7:$D$27,Overview!B41,Logistics!$D$7:$D$27),(SUMIF(Logistics!$C$7:$D$27,Overview!B41,Logistics!$D$7:$D$27)*Logistics!$C$4))+IF('Service Desk'!$C$3="Project",SUMIF('Service Desk'!$C$7:$D$27,Overview!B41,'Service Desk'!$D$7:$D$27),(SUMIF('Service Desk'!$C$7:$D$27,Overview!B41,'Service Desk'!$D$7:$D$27)*'Service Desk'!$C$4))+IF('Pro Services'!$C$3="Project",SUMIF('Pro Services'!$C$7:$D$27,Overview!B41,'Pro Services'!$D$7:$D$27),(SUMIF('Pro Services'!$C$7:$D$27,Overview!B41,'Pro Services'!$D$7:$D$27)*'Pro Services'!$C$4))</f>
        <v>0</v>
      </c>
      <c r="D41" s="53">
        <f ca="1">IF(Startup!$C$3="Project",SUMIF(Startup!$C$7:$H$27,Overview!B41,Startup!$H$7:$H$27),(SUMIF(Startup!$C$7:$H$27,Overview!B41,Startup!$H$7:$H$27)*Startup!$C$4))+IF(Pilot!$C$3="Project",SUMIF(Pilot!$C$7:$H$27,Overview!B41,Pilot!$H$7:$H$27),(SUMIF(Pilot!$C$7:$H$27,Overview!B41,Pilot!$H$7:$H$27)*Pilot!$C$4))+IF(PMO!$C$3="Project",SUMIF(PMO!$C$7:$H$27,Overview!B41,PMO!$H$7:$H$27),(SUMIF(PMO!$C$7:$H$27,Overview!B41,PMO!$H$7:$H$27)*PMO!$C$4))+IF('Design &amp; Fulfillment'!$C$3="Project",SUMIF('Design &amp; Fulfillment'!$C$7:$H$27,Overview!B41,'Design &amp; Fulfillment'!$H$7:$H$27),(SUMIF('Design &amp; Fulfillment'!$C$7:$H$27,Overview!B41,'Design &amp; Fulfillment'!$H$7:$H$27)*'Design &amp; Fulfillment'!$C$4))+IF(Workplace!$C$3="Project",SUMIF(Workplace!$C$7:$H$27,Overview!B41,Workplace!$H$7:$H$27),(SUMIF(Workplace!$C$7:$H$27,Overview!B41,Workplace!$H$7:$H$27)*Workplace!$C$4))+IF(Integration!$C$3="Project",SUMIF(Integration!$C$7:$H$27,Overview!B41,Integration!$H$7:$H$27),(SUMIF(Integration!$C$7:$H$27,Overview!B41,Integration!$H$7:$H$27)*Integration!$C$4))+IF(Logistics!$C$3="Project",SUMIF(Logistics!$C$7:$H$27,Overview!B41,Logistics!$H$7:$H$27),(SUMIF(Logistics!$C$7:$H$27,Overview!B41,Logistics!$H$7:$H$27)*Logistics!$C$4))+IF('Service Desk'!$C$3="Project",SUMIF('Service Desk'!$C$7:$H$27,Overview!B41,'Service Desk'!$H$7:$H$27),(SUMIF('Service Desk'!$C$7:$H$27,Overview!B41,'Service Desk'!$H$7:$H$27)*'Service Desk'!$C$4))+IF('Pro Services'!$C$3="Project",SUMIF('Pro Services'!$C$7:$H$27,Overview!B41,'Pro Services'!$H$7:$H$27),(SUMIF('Pro Services'!$C$7:$H$27,Overview!B41,'Pro Services'!$H$7:$H$27)*'Pro Services'!$C$4))</f>
        <v>0</v>
      </c>
      <c r="E41" s="52">
        <f t="shared" ca="1" si="19"/>
        <v>0</v>
      </c>
      <c r="F41" s="52">
        <f t="shared" ref="F41:AK41" si="70">IFERROR(IF(F$28="FALSE",0,$C$41/$C$8),0)</f>
        <v>0</v>
      </c>
      <c r="G41" s="52">
        <f t="shared" si="70"/>
        <v>0</v>
      </c>
      <c r="H41" s="52">
        <f t="shared" si="70"/>
        <v>0</v>
      </c>
      <c r="I41" s="52">
        <f t="shared" si="70"/>
        <v>0</v>
      </c>
      <c r="J41" s="52">
        <f t="shared" si="70"/>
        <v>0</v>
      </c>
      <c r="K41" s="52">
        <f t="shared" si="70"/>
        <v>0</v>
      </c>
      <c r="L41" s="52">
        <f t="shared" si="70"/>
        <v>0</v>
      </c>
      <c r="M41" s="52">
        <f t="shared" si="70"/>
        <v>0</v>
      </c>
      <c r="N41" s="52">
        <f t="shared" si="70"/>
        <v>0</v>
      </c>
      <c r="O41" s="52">
        <f t="shared" si="70"/>
        <v>0</v>
      </c>
      <c r="P41" s="52">
        <f t="shared" si="70"/>
        <v>0</v>
      </c>
      <c r="Q41" s="52">
        <f t="shared" si="70"/>
        <v>0</v>
      </c>
      <c r="R41" s="52">
        <f t="shared" si="70"/>
        <v>0</v>
      </c>
      <c r="S41" s="52">
        <f t="shared" si="70"/>
        <v>0</v>
      </c>
      <c r="T41" s="52">
        <f t="shared" si="70"/>
        <v>0</v>
      </c>
      <c r="U41" s="52">
        <f t="shared" si="70"/>
        <v>0</v>
      </c>
      <c r="V41" s="52">
        <f t="shared" si="70"/>
        <v>0</v>
      </c>
      <c r="W41" s="52">
        <f t="shared" si="70"/>
        <v>0</v>
      </c>
      <c r="X41" s="52">
        <f t="shared" si="70"/>
        <v>0</v>
      </c>
      <c r="Y41" s="52">
        <f t="shared" si="70"/>
        <v>0</v>
      </c>
      <c r="Z41" s="52">
        <f t="shared" si="70"/>
        <v>0</v>
      </c>
      <c r="AA41" s="52">
        <f t="shared" si="70"/>
        <v>0</v>
      </c>
      <c r="AB41" s="52">
        <f t="shared" si="70"/>
        <v>0</v>
      </c>
      <c r="AC41" s="52">
        <f t="shared" si="70"/>
        <v>0</v>
      </c>
      <c r="AD41" s="52">
        <f t="shared" si="70"/>
        <v>0</v>
      </c>
      <c r="AE41" s="52">
        <f t="shared" si="70"/>
        <v>0</v>
      </c>
      <c r="AF41" s="52">
        <f t="shared" si="70"/>
        <v>0</v>
      </c>
      <c r="AG41" s="52">
        <f t="shared" si="70"/>
        <v>0</v>
      </c>
      <c r="AH41" s="52">
        <f t="shared" si="70"/>
        <v>0</v>
      </c>
      <c r="AI41" s="52">
        <f t="shared" si="70"/>
        <v>0</v>
      </c>
      <c r="AJ41" s="52">
        <f t="shared" si="70"/>
        <v>0</v>
      </c>
      <c r="AK41" s="52">
        <f t="shared" si="70"/>
        <v>0</v>
      </c>
      <c r="AL41" s="52">
        <f t="shared" ref="AL41:BQ41" si="71">IFERROR(IF(AL$28="FALSE",0,$C$41/$C$8),0)</f>
        <v>0</v>
      </c>
      <c r="AM41" s="52">
        <f t="shared" si="71"/>
        <v>0</v>
      </c>
      <c r="AN41" s="52">
        <f t="shared" si="71"/>
        <v>0</v>
      </c>
      <c r="AO41" s="52">
        <f t="shared" si="71"/>
        <v>0</v>
      </c>
      <c r="AP41" s="52">
        <f t="shared" si="71"/>
        <v>0</v>
      </c>
      <c r="AQ41" s="52">
        <f t="shared" si="71"/>
        <v>0</v>
      </c>
      <c r="AR41" s="52">
        <f t="shared" si="71"/>
        <v>0</v>
      </c>
      <c r="AS41" s="52">
        <f t="shared" si="71"/>
        <v>0</v>
      </c>
      <c r="AT41" s="52">
        <f t="shared" si="71"/>
        <v>0</v>
      </c>
      <c r="AU41" s="52">
        <f t="shared" si="71"/>
        <v>0</v>
      </c>
      <c r="AV41" s="52">
        <f t="shared" si="71"/>
        <v>0</v>
      </c>
      <c r="AW41" s="52">
        <f t="shared" si="71"/>
        <v>0</v>
      </c>
      <c r="AX41" s="52">
        <f t="shared" si="71"/>
        <v>0</v>
      </c>
      <c r="AY41" s="52">
        <f t="shared" si="71"/>
        <v>0</v>
      </c>
      <c r="AZ41" s="52">
        <f t="shared" si="71"/>
        <v>0</v>
      </c>
      <c r="BA41" s="52">
        <f t="shared" si="71"/>
        <v>0</v>
      </c>
      <c r="BB41" s="52">
        <f t="shared" si="71"/>
        <v>0</v>
      </c>
      <c r="BC41" s="52">
        <f t="shared" si="71"/>
        <v>0</v>
      </c>
      <c r="BD41" s="52">
        <f t="shared" si="71"/>
        <v>0</v>
      </c>
      <c r="BE41" s="52">
        <f t="shared" si="71"/>
        <v>0</v>
      </c>
      <c r="BF41" s="52">
        <f t="shared" si="71"/>
        <v>0</v>
      </c>
      <c r="BG41" s="52">
        <f t="shared" si="71"/>
        <v>0</v>
      </c>
      <c r="BH41" s="52">
        <f t="shared" si="71"/>
        <v>0</v>
      </c>
      <c r="BI41" s="52">
        <f t="shared" si="71"/>
        <v>0</v>
      </c>
      <c r="BJ41" s="52">
        <f t="shared" si="71"/>
        <v>0</v>
      </c>
      <c r="BK41" s="52">
        <f t="shared" si="71"/>
        <v>0</v>
      </c>
      <c r="BL41" s="52">
        <f t="shared" si="71"/>
        <v>0</v>
      </c>
      <c r="BM41" s="52">
        <f t="shared" si="71"/>
        <v>0</v>
      </c>
      <c r="BN41" s="52">
        <f t="shared" si="71"/>
        <v>0</v>
      </c>
      <c r="BO41" s="52">
        <f t="shared" si="71"/>
        <v>0</v>
      </c>
      <c r="BP41" s="52">
        <f t="shared" si="71"/>
        <v>0</v>
      </c>
      <c r="BQ41" s="52">
        <f t="shared" si="71"/>
        <v>0</v>
      </c>
      <c r="BR41" s="52">
        <f t="shared" ref="BR41:CW41" si="72">IFERROR(IF(BR$28="FALSE",0,$C$41/$C$8),0)</f>
        <v>0</v>
      </c>
      <c r="BS41" s="52">
        <f t="shared" si="72"/>
        <v>0</v>
      </c>
      <c r="BT41" s="52">
        <f t="shared" si="72"/>
        <v>0</v>
      </c>
      <c r="BU41" s="52">
        <f t="shared" si="72"/>
        <v>0</v>
      </c>
      <c r="BV41" s="52">
        <f t="shared" si="72"/>
        <v>0</v>
      </c>
      <c r="BW41" s="52">
        <f t="shared" si="72"/>
        <v>0</v>
      </c>
      <c r="BX41" s="52">
        <f t="shared" si="72"/>
        <v>0</v>
      </c>
      <c r="BY41" s="52">
        <f t="shared" si="72"/>
        <v>0</v>
      </c>
      <c r="BZ41" s="52">
        <f t="shared" si="72"/>
        <v>0</v>
      </c>
      <c r="CA41" s="52">
        <f t="shared" si="72"/>
        <v>0</v>
      </c>
      <c r="CB41" s="52">
        <f t="shared" si="72"/>
        <v>0</v>
      </c>
      <c r="CC41" s="52">
        <f t="shared" si="72"/>
        <v>0</v>
      </c>
      <c r="CD41" s="52">
        <f t="shared" si="72"/>
        <v>0</v>
      </c>
      <c r="CE41" s="52">
        <f t="shared" si="72"/>
        <v>0</v>
      </c>
      <c r="CF41" s="52">
        <f t="shared" si="72"/>
        <v>0</v>
      </c>
      <c r="CG41" s="52">
        <f t="shared" si="72"/>
        <v>0</v>
      </c>
      <c r="CH41" s="52">
        <f t="shared" si="72"/>
        <v>0</v>
      </c>
      <c r="CI41" s="52">
        <f t="shared" si="72"/>
        <v>0</v>
      </c>
      <c r="CJ41" s="52">
        <f t="shared" si="72"/>
        <v>0</v>
      </c>
      <c r="CK41" s="52">
        <f t="shared" si="72"/>
        <v>0</v>
      </c>
      <c r="CL41" s="52">
        <f t="shared" si="72"/>
        <v>0</v>
      </c>
      <c r="CM41" s="52">
        <f t="shared" si="72"/>
        <v>0</v>
      </c>
      <c r="CN41" s="52">
        <f t="shared" si="72"/>
        <v>0</v>
      </c>
      <c r="CO41" s="52">
        <f t="shared" si="72"/>
        <v>0</v>
      </c>
      <c r="CP41" s="52">
        <f t="shared" si="72"/>
        <v>0</v>
      </c>
      <c r="CQ41" s="52">
        <f t="shared" si="72"/>
        <v>0</v>
      </c>
      <c r="CR41" s="52">
        <f t="shared" si="72"/>
        <v>0</v>
      </c>
      <c r="CS41" s="52">
        <f t="shared" si="72"/>
        <v>0</v>
      </c>
      <c r="CT41" s="52">
        <f t="shared" si="72"/>
        <v>0</v>
      </c>
      <c r="CU41" s="52">
        <f t="shared" si="72"/>
        <v>0</v>
      </c>
      <c r="CV41" s="52">
        <f t="shared" si="72"/>
        <v>0</v>
      </c>
      <c r="CW41" s="52">
        <f t="shared" si="72"/>
        <v>0</v>
      </c>
      <c r="CX41" s="52">
        <f t="shared" ref="CX41:EC41" si="73">IFERROR(IF(CX$28="FALSE",0,$C$41/$C$8),0)</f>
        <v>0</v>
      </c>
      <c r="CY41" s="52">
        <f t="shared" si="73"/>
        <v>0</v>
      </c>
      <c r="CZ41" s="52">
        <f t="shared" si="73"/>
        <v>0</v>
      </c>
      <c r="DA41" s="52">
        <f t="shared" si="73"/>
        <v>0</v>
      </c>
      <c r="DB41" s="52">
        <f t="shared" si="73"/>
        <v>0</v>
      </c>
      <c r="DC41" s="52">
        <f t="shared" si="73"/>
        <v>0</v>
      </c>
      <c r="DD41" s="52">
        <f t="shared" si="73"/>
        <v>0</v>
      </c>
      <c r="DE41" s="52">
        <f t="shared" si="73"/>
        <v>0</v>
      </c>
      <c r="DF41" s="52">
        <f t="shared" si="73"/>
        <v>0</v>
      </c>
      <c r="DG41" s="52">
        <f t="shared" si="73"/>
        <v>0</v>
      </c>
      <c r="DH41" s="52">
        <f t="shared" si="73"/>
        <v>0</v>
      </c>
      <c r="DI41" s="52">
        <f t="shared" si="73"/>
        <v>0</v>
      </c>
      <c r="DJ41" s="52">
        <f t="shared" si="73"/>
        <v>0</v>
      </c>
      <c r="DK41" s="52">
        <f t="shared" si="73"/>
        <v>0</v>
      </c>
      <c r="DL41" s="52">
        <f t="shared" si="73"/>
        <v>0</v>
      </c>
      <c r="DM41" s="52">
        <f t="shared" si="73"/>
        <v>0</v>
      </c>
      <c r="DN41" s="52">
        <f t="shared" si="73"/>
        <v>0</v>
      </c>
      <c r="DO41" s="52">
        <f t="shared" si="73"/>
        <v>0</v>
      </c>
      <c r="DP41" s="52">
        <f t="shared" si="73"/>
        <v>0</v>
      </c>
      <c r="DQ41" s="52">
        <f t="shared" si="73"/>
        <v>0</v>
      </c>
      <c r="DR41" s="52">
        <f t="shared" si="73"/>
        <v>0</v>
      </c>
      <c r="DS41" s="52">
        <f t="shared" si="73"/>
        <v>0</v>
      </c>
      <c r="DT41" s="52">
        <f t="shared" si="73"/>
        <v>0</v>
      </c>
      <c r="DU41" s="52">
        <f t="shared" si="73"/>
        <v>0</v>
      </c>
      <c r="DV41" s="52">
        <f t="shared" si="73"/>
        <v>0</v>
      </c>
      <c r="DW41" s="52">
        <f t="shared" si="73"/>
        <v>0</v>
      </c>
      <c r="DX41" s="52">
        <f t="shared" si="73"/>
        <v>0</v>
      </c>
      <c r="DY41" s="52">
        <f t="shared" si="73"/>
        <v>0</v>
      </c>
      <c r="DZ41" s="52">
        <f t="shared" si="73"/>
        <v>0</v>
      </c>
      <c r="EA41" s="52">
        <f t="shared" si="73"/>
        <v>0</v>
      </c>
      <c r="EB41" s="52">
        <f t="shared" si="73"/>
        <v>0</v>
      </c>
      <c r="EC41" s="52">
        <f t="shared" si="73"/>
        <v>0</v>
      </c>
      <c r="ED41" s="52">
        <f t="shared" ref="ED41:FD41" si="74">IFERROR(IF(ED$28="FALSE",0,$C$41/$C$8),0)</f>
        <v>0</v>
      </c>
      <c r="EE41" s="52">
        <f t="shared" si="74"/>
        <v>0</v>
      </c>
      <c r="EF41" s="52">
        <f t="shared" si="74"/>
        <v>0</v>
      </c>
      <c r="EG41" s="52">
        <f t="shared" si="74"/>
        <v>0</v>
      </c>
      <c r="EH41" s="52">
        <f t="shared" si="74"/>
        <v>0</v>
      </c>
      <c r="EI41" s="52">
        <f t="shared" si="74"/>
        <v>0</v>
      </c>
      <c r="EJ41" s="52">
        <f t="shared" si="74"/>
        <v>0</v>
      </c>
      <c r="EK41" s="52">
        <f t="shared" si="74"/>
        <v>0</v>
      </c>
      <c r="EL41" s="52">
        <f t="shared" si="74"/>
        <v>0</v>
      </c>
      <c r="EM41" s="52">
        <f t="shared" si="74"/>
        <v>0</v>
      </c>
      <c r="EN41" s="52">
        <f t="shared" si="74"/>
        <v>0</v>
      </c>
      <c r="EO41" s="52">
        <f t="shared" si="74"/>
        <v>0</v>
      </c>
      <c r="EP41" s="52">
        <f t="shared" si="74"/>
        <v>0</v>
      </c>
      <c r="EQ41" s="52">
        <f t="shared" si="74"/>
        <v>0</v>
      </c>
      <c r="ER41" s="52">
        <f t="shared" si="74"/>
        <v>0</v>
      </c>
      <c r="ES41" s="52">
        <f t="shared" si="74"/>
        <v>0</v>
      </c>
      <c r="ET41" s="52">
        <f t="shared" si="74"/>
        <v>0</v>
      </c>
      <c r="EU41" s="52">
        <f t="shared" si="74"/>
        <v>0</v>
      </c>
      <c r="EV41" s="52">
        <f t="shared" si="74"/>
        <v>0</v>
      </c>
      <c r="EW41" s="52">
        <f t="shared" si="74"/>
        <v>0</v>
      </c>
      <c r="EX41" s="52">
        <f t="shared" si="74"/>
        <v>0</v>
      </c>
      <c r="EY41" s="52">
        <f t="shared" si="74"/>
        <v>0</v>
      </c>
      <c r="EZ41" s="52">
        <f t="shared" si="74"/>
        <v>0</v>
      </c>
      <c r="FA41" s="52">
        <f t="shared" si="74"/>
        <v>0</v>
      </c>
      <c r="FB41" s="52">
        <f t="shared" si="74"/>
        <v>0</v>
      </c>
      <c r="FC41" s="52">
        <f t="shared" si="74"/>
        <v>0</v>
      </c>
      <c r="FD41" s="52">
        <f t="shared" si="74"/>
        <v>0</v>
      </c>
    </row>
    <row r="42" spans="2:160">
      <c r="B42" s="51" t="s">
        <v>119</v>
      </c>
      <c r="C42" s="52">
        <f ca="1">IF(Startup!$C$3="Project",SUMIF(Startup!$C$7:$D$27,Overview!B42,Startup!$D$7:$D$27),(SUMIF(Startup!$C$7:$D$27,Overview!B42,Startup!$D$7:$D$27)*Startup!$C$4))+IF(Pilot!$C$3="Project",SUMIF(Pilot!$C$7:$D$27,Overview!B42,Pilot!$D$7:$D$27),(SUMIF(Pilot!$C$7:$D$27,Overview!B42,Pilot!$D$7:$D$27)*Pilot!$C$4))+IF(PMO!$C$3="Project",SUMIF(PMO!$C$7:$D$27,Overview!B42,PMO!$D$7:$D$27),(SUMIF(PMO!$C$7:$D$27,Overview!B42,PMO!$D$7:$D$27)*PMO!$C$4))+IF('Design &amp; Fulfillment'!$C$3="Project",SUMIF('Design &amp; Fulfillment'!$C$7:$D$27,Overview!B42,'Design &amp; Fulfillment'!$D$7:$D$27),(SUMIF('Design &amp; Fulfillment'!$C$7:$D$27,Overview!B42,'Design &amp; Fulfillment'!$D$7:$D$27)*'Design &amp; Fulfillment'!$C$4))+IF(Workplace!$C$3="Project",SUMIF(Workplace!$C$7:$D$27,Overview!B42,Workplace!$D$7:$D$27),(SUMIF(Workplace!$C$7:$D$27,Overview!B42,Workplace!$D$7:$D$27)*Workplace!$C$4))+IF(Integration!$C$3="Project",SUMIF(Integration!$C$7:$D$27,Overview!B42,Integration!$D$7:$D$27),(SUMIF(Integration!$C$7:$D$27,Overview!B42,Integration!$D$7:$D$27)*Integration!$C$4))+IF(Logistics!$C$3="Project",SUMIF(Logistics!$C$7:$D$27,Overview!B42,Logistics!$D$7:$D$27),(SUMIF(Logistics!$C$7:$D$27,Overview!B42,Logistics!$D$7:$D$27)*Logistics!$C$4))+IF('Service Desk'!$C$3="Project",SUMIF('Service Desk'!$C$7:$D$27,Overview!B42,'Service Desk'!$D$7:$D$27),(SUMIF('Service Desk'!$C$7:$D$27,Overview!B42,'Service Desk'!$D$7:$D$27)*'Service Desk'!$C$4))+IF('Pro Services'!$C$3="Project",SUMIF('Pro Services'!$C$7:$D$27,Overview!B42,'Pro Services'!$D$7:$D$27),(SUMIF('Pro Services'!$C$7:$D$27,Overview!B42,'Pro Services'!$D$7:$D$27)*'Pro Services'!$C$4))</f>
        <v>0</v>
      </c>
      <c r="D42" s="53">
        <f ca="1">IF(Startup!$C$3="Project",SUMIF(Startup!$C$7:$H$27,Overview!B42,Startup!$H$7:$H$27),(SUMIF(Startup!$C$7:$H$27,Overview!B42,Startup!$H$7:$H$27)*Startup!$C$4))+IF(Pilot!$C$3="Project",SUMIF(Pilot!$C$7:$H$27,Overview!B42,Pilot!$H$7:$H$27),(SUMIF(Pilot!$C$7:$H$27,Overview!B42,Pilot!$H$7:$H$27)*Pilot!$C$4))+IF(PMO!$C$3="Project",SUMIF(PMO!$C$7:$H$27,Overview!B42,PMO!$H$7:$H$27),(SUMIF(PMO!$C$7:$H$27,Overview!B42,PMO!$H$7:$H$27)*PMO!$C$4))+IF('Design &amp; Fulfillment'!$C$3="Project",SUMIF('Design &amp; Fulfillment'!$C$7:$H$27,Overview!B42,'Design &amp; Fulfillment'!$H$7:$H$27),(SUMIF('Design &amp; Fulfillment'!$C$7:$H$27,Overview!B42,'Design &amp; Fulfillment'!$H$7:$H$27)*'Design &amp; Fulfillment'!$C$4))+IF(Workplace!$C$3="Project",SUMIF(Workplace!$C$7:$H$27,Overview!B42,Workplace!$H$7:$H$27),(SUMIF(Workplace!$C$7:$H$27,Overview!B42,Workplace!$H$7:$H$27)*Workplace!$C$4))+IF(Integration!$C$3="Project",SUMIF(Integration!$C$7:$H$27,Overview!B42,Integration!$H$7:$H$27),(SUMIF(Integration!$C$7:$H$27,Overview!B42,Integration!$H$7:$H$27)*Integration!$C$4))+IF(Logistics!$C$3="Project",SUMIF(Logistics!$C$7:$H$27,Overview!B42,Logistics!$H$7:$H$27),(SUMIF(Logistics!$C$7:$H$27,Overview!B42,Logistics!$H$7:$H$27)*Logistics!$C$4))+IF('Service Desk'!$C$3="Project",SUMIF('Service Desk'!$C$7:$H$27,Overview!B42,'Service Desk'!$H$7:$H$27),(SUMIF('Service Desk'!$C$7:$H$27,Overview!B42,'Service Desk'!$H$7:$H$27)*'Service Desk'!$C$4))+IF('Pro Services'!$C$3="Project",SUMIF('Pro Services'!$C$7:$H$27,Overview!B42,'Pro Services'!$H$7:$H$27),(SUMIF('Pro Services'!$C$7:$H$27,Overview!B42,'Pro Services'!$H$7:$H$27)*'Pro Services'!$C$4))</f>
        <v>0</v>
      </c>
      <c r="E42" s="52">
        <f t="shared" ca="1" si="19"/>
        <v>0</v>
      </c>
      <c r="F42" s="52">
        <f t="shared" ref="F42:AK42" si="75">IFERROR(IF(F$28="FALSE",0,$C$42/$C$8),0)</f>
        <v>0</v>
      </c>
      <c r="G42" s="52">
        <f t="shared" si="75"/>
        <v>0</v>
      </c>
      <c r="H42" s="52">
        <f t="shared" si="75"/>
        <v>0</v>
      </c>
      <c r="I42" s="52">
        <f t="shared" si="75"/>
        <v>0</v>
      </c>
      <c r="J42" s="52">
        <f t="shared" si="75"/>
        <v>0</v>
      </c>
      <c r="K42" s="52">
        <f t="shared" si="75"/>
        <v>0</v>
      </c>
      <c r="L42" s="52">
        <f t="shared" si="75"/>
        <v>0</v>
      </c>
      <c r="M42" s="52">
        <f t="shared" si="75"/>
        <v>0</v>
      </c>
      <c r="N42" s="52">
        <f t="shared" si="75"/>
        <v>0</v>
      </c>
      <c r="O42" s="52">
        <f t="shared" si="75"/>
        <v>0</v>
      </c>
      <c r="P42" s="52">
        <f t="shared" si="75"/>
        <v>0</v>
      </c>
      <c r="Q42" s="52">
        <f t="shared" si="75"/>
        <v>0</v>
      </c>
      <c r="R42" s="52">
        <f t="shared" si="75"/>
        <v>0</v>
      </c>
      <c r="S42" s="52">
        <f t="shared" si="75"/>
        <v>0</v>
      </c>
      <c r="T42" s="52">
        <f t="shared" si="75"/>
        <v>0</v>
      </c>
      <c r="U42" s="52">
        <f t="shared" si="75"/>
        <v>0</v>
      </c>
      <c r="V42" s="52">
        <f t="shared" si="75"/>
        <v>0</v>
      </c>
      <c r="W42" s="52">
        <f t="shared" si="75"/>
        <v>0</v>
      </c>
      <c r="X42" s="52">
        <f t="shared" si="75"/>
        <v>0</v>
      </c>
      <c r="Y42" s="52">
        <f t="shared" si="75"/>
        <v>0</v>
      </c>
      <c r="Z42" s="52">
        <f t="shared" si="75"/>
        <v>0</v>
      </c>
      <c r="AA42" s="52">
        <f t="shared" si="75"/>
        <v>0</v>
      </c>
      <c r="AB42" s="52">
        <f t="shared" si="75"/>
        <v>0</v>
      </c>
      <c r="AC42" s="52">
        <f t="shared" si="75"/>
        <v>0</v>
      </c>
      <c r="AD42" s="52">
        <f t="shared" si="75"/>
        <v>0</v>
      </c>
      <c r="AE42" s="52">
        <f t="shared" si="75"/>
        <v>0</v>
      </c>
      <c r="AF42" s="52">
        <f t="shared" si="75"/>
        <v>0</v>
      </c>
      <c r="AG42" s="52">
        <f t="shared" si="75"/>
        <v>0</v>
      </c>
      <c r="AH42" s="52">
        <f t="shared" si="75"/>
        <v>0</v>
      </c>
      <c r="AI42" s="52">
        <f t="shared" si="75"/>
        <v>0</v>
      </c>
      <c r="AJ42" s="52">
        <f t="shared" si="75"/>
        <v>0</v>
      </c>
      <c r="AK42" s="52">
        <f t="shared" si="75"/>
        <v>0</v>
      </c>
      <c r="AL42" s="52">
        <f t="shared" ref="AL42:BQ42" si="76">IFERROR(IF(AL$28="FALSE",0,$C$42/$C$8),0)</f>
        <v>0</v>
      </c>
      <c r="AM42" s="52">
        <f t="shared" si="76"/>
        <v>0</v>
      </c>
      <c r="AN42" s="52">
        <f t="shared" si="76"/>
        <v>0</v>
      </c>
      <c r="AO42" s="52">
        <f t="shared" si="76"/>
        <v>0</v>
      </c>
      <c r="AP42" s="52">
        <f t="shared" si="76"/>
        <v>0</v>
      </c>
      <c r="AQ42" s="52">
        <f t="shared" si="76"/>
        <v>0</v>
      </c>
      <c r="AR42" s="52">
        <f t="shared" si="76"/>
        <v>0</v>
      </c>
      <c r="AS42" s="52">
        <f t="shared" si="76"/>
        <v>0</v>
      </c>
      <c r="AT42" s="52">
        <f t="shared" si="76"/>
        <v>0</v>
      </c>
      <c r="AU42" s="52">
        <f t="shared" si="76"/>
        <v>0</v>
      </c>
      <c r="AV42" s="52">
        <f t="shared" si="76"/>
        <v>0</v>
      </c>
      <c r="AW42" s="52">
        <f t="shared" si="76"/>
        <v>0</v>
      </c>
      <c r="AX42" s="52">
        <f t="shared" si="76"/>
        <v>0</v>
      </c>
      <c r="AY42" s="52">
        <f t="shared" si="76"/>
        <v>0</v>
      </c>
      <c r="AZ42" s="52">
        <f t="shared" si="76"/>
        <v>0</v>
      </c>
      <c r="BA42" s="52">
        <f t="shared" si="76"/>
        <v>0</v>
      </c>
      <c r="BB42" s="52">
        <f t="shared" si="76"/>
        <v>0</v>
      </c>
      <c r="BC42" s="52">
        <f t="shared" si="76"/>
        <v>0</v>
      </c>
      <c r="BD42" s="52">
        <f t="shared" si="76"/>
        <v>0</v>
      </c>
      <c r="BE42" s="52">
        <f t="shared" si="76"/>
        <v>0</v>
      </c>
      <c r="BF42" s="52">
        <f t="shared" si="76"/>
        <v>0</v>
      </c>
      <c r="BG42" s="52">
        <f t="shared" si="76"/>
        <v>0</v>
      </c>
      <c r="BH42" s="52">
        <f t="shared" si="76"/>
        <v>0</v>
      </c>
      <c r="BI42" s="52">
        <f t="shared" si="76"/>
        <v>0</v>
      </c>
      <c r="BJ42" s="52">
        <f t="shared" si="76"/>
        <v>0</v>
      </c>
      <c r="BK42" s="52">
        <f t="shared" si="76"/>
        <v>0</v>
      </c>
      <c r="BL42" s="52">
        <f t="shared" si="76"/>
        <v>0</v>
      </c>
      <c r="BM42" s="52">
        <f t="shared" si="76"/>
        <v>0</v>
      </c>
      <c r="BN42" s="52">
        <f t="shared" si="76"/>
        <v>0</v>
      </c>
      <c r="BO42" s="52">
        <f t="shared" si="76"/>
        <v>0</v>
      </c>
      <c r="BP42" s="52">
        <f t="shared" si="76"/>
        <v>0</v>
      </c>
      <c r="BQ42" s="52">
        <f t="shared" si="76"/>
        <v>0</v>
      </c>
      <c r="BR42" s="52">
        <f t="shared" ref="BR42:CW42" si="77">IFERROR(IF(BR$28="FALSE",0,$C$42/$C$8),0)</f>
        <v>0</v>
      </c>
      <c r="BS42" s="52">
        <f t="shared" si="77"/>
        <v>0</v>
      </c>
      <c r="BT42" s="52">
        <f t="shared" si="77"/>
        <v>0</v>
      </c>
      <c r="BU42" s="52">
        <f t="shared" si="77"/>
        <v>0</v>
      </c>
      <c r="BV42" s="52">
        <f t="shared" si="77"/>
        <v>0</v>
      </c>
      <c r="BW42" s="52">
        <f t="shared" si="77"/>
        <v>0</v>
      </c>
      <c r="BX42" s="52">
        <f t="shared" si="77"/>
        <v>0</v>
      </c>
      <c r="BY42" s="52">
        <f t="shared" si="77"/>
        <v>0</v>
      </c>
      <c r="BZ42" s="52">
        <f t="shared" si="77"/>
        <v>0</v>
      </c>
      <c r="CA42" s="52">
        <f t="shared" si="77"/>
        <v>0</v>
      </c>
      <c r="CB42" s="52">
        <f t="shared" si="77"/>
        <v>0</v>
      </c>
      <c r="CC42" s="52">
        <f t="shared" si="77"/>
        <v>0</v>
      </c>
      <c r="CD42" s="52">
        <f t="shared" si="77"/>
        <v>0</v>
      </c>
      <c r="CE42" s="52">
        <f t="shared" si="77"/>
        <v>0</v>
      </c>
      <c r="CF42" s="52">
        <f t="shared" si="77"/>
        <v>0</v>
      </c>
      <c r="CG42" s="52">
        <f t="shared" si="77"/>
        <v>0</v>
      </c>
      <c r="CH42" s="52">
        <f t="shared" si="77"/>
        <v>0</v>
      </c>
      <c r="CI42" s="52">
        <f t="shared" si="77"/>
        <v>0</v>
      </c>
      <c r="CJ42" s="52">
        <f t="shared" si="77"/>
        <v>0</v>
      </c>
      <c r="CK42" s="52">
        <f t="shared" si="77"/>
        <v>0</v>
      </c>
      <c r="CL42" s="52">
        <f t="shared" si="77"/>
        <v>0</v>
      </c>
      <c r="CM42" s="52">
        <f t="shared" si="77"/>
        <v>0</v>
      </c>
      <c r="CN42" s="52">
        <f t="shared" si="77"/>
        <v>0</v>
      </c>
      <c r="CO42" s="52">
        <f t="shared" si="77"/>
        <v>0</v>
      </c>
      <c r="CP42" s="52">
        <f t="shared" si="77"/>
        <v>0</v>
      </c>
      <c r="CQ42" s="52">
        <f t="shared" si="77"/>
        <v>0</v>
      </c>
      <c r="CR42" s="52">
        <f t="shared" si="77"/>
        <v>0</v>
      </c>
      <c r="CS42" s="52">
        <f t="shared" si="77"/>
        <v>0</v>
      </c>
      <c r="CT42" s="52">
        <f t="shared" si="77"/>
        <v>0</v>
      </c>
      <c r="CU42" s="52">
        <f t="shared" si="77"/>
        <v>0</v>
      </c>
      <c r="CV42" s="52">
        <f t="shared" si="77"/>
        <v>0</v>
      </c>
      <c r="CW42" s="52">
        <f t="shared" si="77"/>
        <v>0</v>
      </c>
      <c r="CX42" s="52">
        <f t="shared" ref="CX42:EC42" si="78">IFERROR(IF(CX$28="FALSE",0,$C$42/$C$8),0)</f>
        <v>0</v>
      </c>
      <c r="CY42" s="52">
        <f t="shared" si="78"/>
        <v>0</v>
      </c>
      <c r="CZ42" s="52">
        <f t="shared" si="78"/>
        <v>0</v>
      </c>
      <c r="DA42" s="52">
        <f t="shared" si="78"/>
        <v>0</v>
      </c>
      <c r="DB42" s="52">
        <f t="shared" si="78"/>
        <v>0</v>
      </c>
      <c r="DC42" s="52">
        <f t="shared" si="78"/>
        <v>0</v>
      </c>
      <c r="DD42" s="52">
        <f t="shared" si="78"/>
        <v>0</v>
      </c>
      <c r="DE42" s="52">
        <f t="shared" si="78"/>
        <v>0</v>
      </c>
      <c r="DF42" s="52">
        <f t="shared" si="78"/>
        <v>0</v>
      </c>
      <c r="DG42" s="52">
        <f t="shared" si="78"/>
        <v>0</v>
      </c>
      <c r="DH42" s="52">
        <f t="shared" si="78"/>
        <v>0</v>
      </c>
      <c r="DI42" s="52">
        <f t="shared" si="78"/>
        <v>0</v>
      </c>
      <c r="DJ42" s="52">
        <f t="shared" si="78"/>
        <v>0</v>
      </c>
      <c r="DK42" s="52">
        <f t="shared" si="78"/>
        <v>0</v>
      </c>
      <c r="DL42" s="52">
        <f t="shared" si="78"/>
        <v>0</v>
      </c>
      <c r="DM42" s="52">
        <f t="shared" si="78"/>
        <v>0</v>
      </c>
      <c r="DN42" s="52">
        <f t="shared" si="78"/>
        <v>0</v>
      </c>
      <c r="DO42" s="52">
        <f t="shared" si="78"/>
        <v>0</v>
      </c>
      <c r="DP42" s="52">
        <f t="shared" si="78"/>
        <v>0</v>
      </c>
      <c r="DQ42" s="52">
        <f t="shared" si="78"/>
        <v>0</v>
      </c>
      <c r="DR42" s="52">
        <f t="shared" si="78"/>
        <v>0</v>
      </c>
      <c r="DS42" s="52">
        <f t="shared" si="78"/>
        <v>0</v>
      </c>
      <c r="DT42" s="52">
        <f t="shared" si="78"/>
        <v>0</v>
      </c>
      <c r="DU42" s="52">
        <f t="shared" si="78"/>
        <v>0</v>
      </c>
      <c r="DV42" s="52">
        <f t="shared" si="78"/>
        <v>0</v>
      </c>
      <c r="DW42" s="52">
        <f t="shared" si="78"/>
        <v>0</v>
      </c>
      <c r="DX42" s="52">
        <f t="shared" si="78"/>
        <v>0</v>
      </c>
      <c r="DY42" s="52">
        <f t="shared" si="78"/>
        <v>0</v>
      </c>
      <c r="DZ42" s="52">
        <f t="shared" si="78"/>
        <v>0</v>
      </c>
      <c r="EA42" s="52">
        <f t="shared" si="78"/>
        <v>0</v>
      </c>
      <c r="EB42" s="52">
        <f t="shared" si="78"/>
        <v>0</v>
      </c>
      <c r="EC42" s="52">
        <f t="shared" si="78"/>
        <v>0</v>
      </c>
      <c r="ED42" s="52">
        <f t="shared" ref="ED42:FD42" si="79">IFERROR(IF(ED$28="FALSE",0,$C$42/$C$8),0)</f>
        <v>0</v>
      </c>
      <c r="EE42" s="52">
        <f t="shared" si="79"/>
        <v>0</v>
      </c>
      <c r="EF42" s="52">
        <f t="shared" si="79"/>
        <v>0</v>
      </c>
      <c r="EG42" s="52">
        <f t="shared" si="79"/>
        <v>0</v>
      </c>
      <c r="EH42" s="52">
        <f t="shared" si="79"/>
        <v>0</v>
      </c>
      <c r="EI42" s="52">
        <f t="shared" si="79"/>
        <v>0</v>
      </c>
      <c r="EJ42" s="52">
        <f t="shared" si="79"/>
        <v>0</v>
      </c>
      <c r="EK42" s="52">
        <f t="shared" si="79"/>
        <v>0</v>
      </c>
      <c r="EL42" s="52">
        <f t="shared" si="79"/>
        <v>0</v>
      </c>
      <c r="EM42" s="52">
        <f t="shared" si="79"/>
        <v>0</v>
      </c>
      <c r="EN42" s="52">
        <f t="shared" si="79"/>
        <v>0</v>
      </c>
      <c r="EO42" s="52">
        <f t="shared" si="79"/>
        <v>0</v>
      </c>
      <c r="EP42" s="52">
        <f t="shared" si="79"/>
        <v>0</v>
      </c>
      <c r="EQ42" s="52">
        <f t="shared" si="79"/>
        <v>0</v>
      </c>
      <c r="ER42" s="52">
        <f t="shared" si="79"/>
        <v>0</v>
      </c>
      <c r="ES42" s="52">
        <f t="shared" si="79"/>
        <v>0</v>
      </c>
      <c r="ET42" s="52">
        <f t="shared" si="79"/>
        <v>0</v>
      </c>
      <c r="EU42" s="52">
        <f t="shared" si="79"/>
        <v>0</v>
      </c>
      <c r="EV42" s="52">
        <f t="shared" si="79"/>
        <v>0</v>
      </c>
      <c r="EW42" s="52">
        <f t="shared" si="79"/>
        <v>0</v>
      </c>
      <c r="EX42" s="52">
        <f t="shared" si="79"/>
        <v>0</v>
      </c>
      <c r="EY42" s="52">
        <f t="shared" si="79"/>
        <v>0</v>
      </c>
      <c r="EZ42" s="52">
        <f t="shared" si="79"/>
        <v>0</v>
      </c>
      <c r="FA42" s="52">
        <f t="shared" si="79"/>
        <v>0</v>
      </c>
      <c r="FB42" s="52">
        <f t="shared" si="79"/>
        <v>0</v>
      </c>
      <c r="FC42" s="52">
        <f t="shared" si="79"/>
        <v>0</v>
      </c>
      <c r="FD42" s="52">
        <f t="shared" si="79"/>
        <v>0</v>
      </c>
    </row>
    <row r="43" spans="2:160">
      <c r="B43" s="51" t="s">
        <v>120</v>
      </c>
      <c r="C43" s="52">
        <f ca="1">IF(Startup!$C$3="Project",SUMIF(Startup!$C$7:$D$27,Overview!B43,Startup!$D$7:$D$27),(SUMIF(Startup!$C$7:$D$27,Overview!B43,Startup!$D$7:$D$27)*Startup!$C$4))+IF(Pilot!$C$3="Project",SUMIF(Pilot!$C$7:$D$27,Overview!B43,Pilot!$D$7:$D$27),(SUMIF(Pilot!$C$7:$D$27,Overview!B43,Pilot!$D$7:$D$27)*Pilot!$C$4))+IF(PMO!$C$3="Project",SUMIF(PMO!$C$7:$D$27,Overview!B43,PMO!$D$7:$D$27),(SUMIF(PMO!$C$7:$D$27,Overview!B43,PMO!$D$7:$D$27)*PMO!$C$4))+IF('Design &amp; Fulfillment'!$C$3="Project",SUMIF('Design &amp; Fulfillment'!$C$7:$D$27,Overview!B43,'Design &amp; Fulfillment'!$D$7:$D$27),(SUMIF('Design &amp; Fulfillment'!$C$7:$D$27,Overview!B43,'Design &amp; Fulfillment'!$D$7:$D$27)*'Design &amp; Fulfillment'!$C$4))+IF(Workplace!$C$3="Project",SUMIF(Workplace!$C$7:$D$27,Overview!B43,Workplace!$D$7:$D$27),(SUMIF(Workplace!$C$7:$D$27,Overview!B43,Workplace!$D$7:$D$27)*Workplace!$C$4))+IF(Integration!$C$3="Project",SUMIF(Integration!$C$7:$D$27,Overview!B43,Integration!$D$7:$D$27),(SUMIF(Integration!$C$7:$D$27,Overview!B43,Integration!$D$7:$D$27)*Integration!$C$4))+IF(Logistics!$C$3="Project",SUMIF(Logistics!$C$7:$D$27,Overview!B43,Logistics!$D$7:$D$27),(SUMIF(Logistics!$C$7:$D$27,Overview!B43,Logistics!$D$7:$D$27)*Logistics!$C$4))+IF('Service Desk'!$C$3="Project",SUMIF('Service Desk'!$C$7:$D$27,Overview!B43,'Service Desk'!$D$7:$D$27),(SUMIF('Service Desk'!$C$7:$D$27,Overview!B43,'Service Desk'!$D$7:$D$27)*'Service Desk'!$C$4))+IF('Pro Services'!$C$3="Project",SUMIF('Pro Services'!$C$7:$D$27,Overview!B43,'Pro Services'!$D$7:$D$27),(SUMIF('Pro Services'!$C$7:$D$27,Overview!B43,'Pro Services'!$D$7:$D$27)*'Pro Services'!$C$4))</f>
        <v>0</v>
      </c>
      <c r="D43" s="53">
        <f ca="1">IF(Startup!$C$3="Project",SUMIF(Startup!$C$7:$H$27,Overview!B43,Startup!$H$7:$H$27),(SUMIF(Startup!$C$7:$H$27,Overview!B43,Startup!$H$7:$H$27)*Startup!$C$4))+IF(Pilot!$C$3="Project",SUMIF(Pilot!$C$7:$H$27,Overview!B43,Pilot!$H$7:$H$27),(SUMIF(Pilot!$C$7:$H$27,Overview!B43,Pilot!$H$7:$H$27)*Pilot!$C$4))+IF(PMO!$C$3="Project",SUMIF(PMO!$C$7:$H$27,Overview!B43,PMO!$H$7:$H$27),(SUMIF(PMO!$C$7:$H$27,Overview!B43,PMO!$H$7:$H$27)*PMO!$C$4))+IF('Design &amp; Fulfillment'!$C$3="Project",SUMIF('Design &amp; Fulfillment'!$C$7:$H$27,Overview!B43,'Design &amp; Fulfillment'!$H$7:$H$27),(SUMIF('Design &amp; Fulfillment'!$C$7:$H$27,Overview!B43,'Design &amp; Fulfillment'!$H$7:$H$27)*'Design &amp; Fulfillment'!$C$4))+IF(Workplace!$C$3="Project",SUMIF(Workplace!$C$7:$H$27,Overview!B43,Workplace!$H$7:$H$27),(SUMIF(Workplace!$C$7:$H$27,Overview!B43,Workplace!$H$7:$H$27)*Workplace!$C$4))+IF(Integration!$C$3="Project",SUMIF(Integration!$C$7:$H$27,Overview!B43,Integration!$H$7:$H$27),(SUMIF(Integration!$C$7:$H$27,Overview!B43,Integration!$H$7:$H$27)*Integration!$C$4))+IF(Logistics!$C$3="Project",SUMIF(Logistics!$C$7:$H$27,Overview!B43,Logistics!$H$7:$H$27),(SUMIF(Logistics!$C$7:$H$27,Overview!B43,Logistics!$H$7:$H$27)*Logistics!$C$4))+IF('Service Desk'!$C$3="Project",SUMIF('Service Desk'!$C$7:$H$27,Overview!B43,'Service Desk'!$H$7:$H$27),(SUMIF('Service Desk'!$C$7:$H$27,Overview!B43,'Service Desk'!$H$7:$H$27)*'Service Desk'!$C$4))+IF('Pro Services'!$C$3="Project",SUMIF('Pro Services'!$C$7:$H$27,Overview!B43,'Pro Services'!$H$7:$H$27),(SUMIF('Pro Services'!$C$7:$H$27,Overview!B43,'Pro Services'!$H$7:$H$27)*'Pro Services'!$C$4))</f>
        <v>0</v>
      </c>
      <c r="E43" s="52">
        <f t="shared" ca="1" si="19"/>
        <v>0</v>
      </c>
      <c r="F43" s="52">
        <f t="shared" ref="F43:AK43" si="80">IFERROR(IF(F$28="FALSE",0,$C$43/$C$8),0)</f>
        <v>0</v>
      </c>
      <c r="G43" s="52">
        <f t="shared" si="80"/>
        <v>0</v>
      </c>
      <c r="H43" s="52">
        <f t="shared" si="80"/>
        <v>0</v>
      </c>
      <c r="I43" s="52">
        <f t="shared" si="80"/>
        <v>0</v>
      </c>
      <c r="J43" s="52">
        <f t="shared" si="80"/>
        <v>0</v>
      </c>
      <c r="K43" s="52">
        <f t="shared" si="80"/>
        <v>0</v>
      </c>
      <c r="L43" s="52">
        <f t="shared" si="80"/>
        <v>0</v>
      </c>
      <c r="M43" s="52">
        <f t="shared" si="80"/>
        <v>0</v>
      </c>
      <c r="N43" s="52">
        <f t="shared" si="80"/>
        <v>0</v>
      </c>
      <c r="O43" s="52">
        <f t="shared" si="80"/>
        <v>0</v>
      </c>
      <c r="P43" s="52">
        <f t="shared" si="80"/>
        <v>0</v>
      </c>
      <c r="Q43" s="52">
        <f t="shared" si="80"/>
        <v>0</v>
      </c>
      <c r="R43" s="52">
        <f t="shared" si="80"/>
        <v>0</v>
      </c>
      <c r="S43" s="52">
        <f t="shared" si="80"/>
        <v>0</v>
      </c>
      <c r="T43" s="52">
        <f t="shared" si="80"/>
        <v>0</v>
      </c>
      <c r="U43" s="52">
        <f t="shared" si="80"/>
        <v>0</v>
      </c>
      <c r="V43" s="52">
        <f t="shared" si="80"/>
        <v>0</v>
      </c>
      <c r="W43" s="52">
        <f t="shared" si="80"/>
        <v>0</v>
      </c>
      <c r="X43" s="52">
        <f t="shared" si="80"/>
        <v>0</v>
      </c>
      <c r="Y43" s="52">
        <f t="shared" si="80"/>
        <v>0</v>
      </c>
      <c r="Z43" s="52">
        <f t="shared" si="80"/>
        <v>0</v>
      </c>
      <c r="AA43" s="52">
        <f t="shared" si="80"/>
        <v>0</v>
      </c>
      <c r="AB43" s="52">
        <f t="shared" si="80"/>
        <v>0</v>
      </c>
      <c r="AC43" s="52">
        <f t="shared" si="80"/>
        <v>0</v>
      </c>
      <c r="AD43" s="52">
        <f t="shared" si="80"/>
        <v>0</v>
      </c>
      <c r="AE43" s="52">
        <f t="shared" si="80"/>
        <v>0</v>
      </c>
      <c r="AF43" s="52">
        <f t="shared" si="80"/>
        <v>0</v>
      </c>
      <c r="AG43" s="52">
        <f t="shared" si="80"/>
        <v>0</v>
      </c>
      <c r="AH43" s="52">
        <f t="shared" si="80"/>
        <v>0</v>
      </c>
      <c r="AI43" s="52">
        <f t="shared" si="80"/>
        <v>0</v>
      </c>
      <c r="AJ43" s="52">
        <f t="shared" si="80"/>
        <v>0</v>
      </c>
      <c r="AK43" s="52">
        <f t="shared" si="80"/>
        <v>0</v>
      </c>
      <c r="AL43" s="52">
        <f t="shared" ref="AL43:BQ43" si="81">IFERROR(IF(AL$28="FALSE",0,$C$43/$C$8),0)</f>
        <v>0</v>
      </c>
      <c r="AM43" s="52">
        <f t="shared" si="81"/>
        <v>0</v>
      </c>
      <c r="AN43" s="52">
        <f t="shared" si="81"/>
        <v>0</v>
      </c>
      <c r="AO43" s="52">
        <f t="shared" si="81"/>
        <v>0</v>
      </c>
      <c r="AP43" s="52">
        <f t="shared" si="81"/>
        <v>0</v>
      </c>
      <c r="AQ43" s="52">
        <f t="shared" si="81"/>
        <v>0</v>
      </c>
      <c r="AR43" s="52">
        <f t="shared" si="81"/>
        <v>0</v>
      </c>
      <c r="AS43" s="52">
        <f t="shared" si="81"/>
        <v>0</v>
      </c>
      <c r="AT43" s="52">
        <f t="shared" si="81"/>
        <v>0</v>
      </c>
      <c r="AU43" s="52">
        <f t="shared" si="81"/>
        <v>0</v>
      </c>
      <c r="AV43" s="52">
        <f t="shared" si="81"/>
        <v>0</v>
      </c>
      <c r="AW43" s="52">
        <f t="shared" si="81"/>
        <v>0</v>
      </c>
      <c r="AX43" s="52">
        <f t="shared" si="81"/>
        <v>0</v>
      </c>
      <c r="AY43" s="52">
        <f t="shared" si="81"/>
        <v>0</v>
      </c>
      <c r="AZ43" s="52">
        <f t="shared" si="81"/>
        <v>0</v>
      </c>
      <c r="BA43" s="52">
        <f t="shared" si="81"/>
        <v>0</v>
      </c>
      <c r="BB43" s="52">
        <f t="shared" si="81"/>
        <v>0</v>
      </c>
      <c r="BC43" s="52">
        <f t="shared" si="81"/>
        <v>0</v>
      </c>
      <c r="BD43" s="52">
        <f t="shared" si="81"/>
        <v>0</v>
      </c>
      <c r="BE43" s="52">
        <f t="shared" si="81"/>
        <v>0</v>
      </c>
      <c r="BF43" s="52">
        <f t="shared" si="81"/>
        <v>0</v>
      </c>
      <c r="BG43" s="52">
        <f t="shared" si="81"/>
        <v>0</v>
      </c>
      <c r="BH43" s="52">
        <f t="shared" si="81"/>
        <v>0</v>
      </c>
      <c r="BI43" s="52">
        <f t="shared" si="81"/>
        <v>0</v>
      </c>
      <c r="BJ43" s="52">
        <f t="shared" si="81"/>
        <v>0</v>
      </c>
      <c r="BK43" s="52">
        <f t="shared" si="81"/>
        <v>0</v>
      </c>
      <c r="BL43" s="52">
        <f t="shared" si="81"/>
        <v>0</v>
      </c>
      <c r="BM43" s="52">
        <f t="shared" si="81"/>
        <v>0</v>
      </c>
      <c r="BN43" s="52">
        <f t="shared" si="81"/>
        <v>0</v>
      </c>
      <c r="BO43" s="52">
        <f t="shared" si="81"/>
        <v>0</v>
      </c>
      <c r="BP43" s="52">
        <f t="shared" si="81"/>
        <v>0</v>
      </c>
      <c r="BQ43" s="52">
        <f t="shared" si="81"/>
        <v>0</v>
      </c>
      <c r="BR43" s="52">
        <f t="shared" ref="BR43:CW43" si="82">IFERROR(IF(BR$28="FALSE",0,$C$43/$C$8),0)</f>
        <v>0</v>
      </c>
      <c r="BS43" s="52">
        <f t="shared" si="82"/>
        <v>0</v>
      </c>
      <c r="BT43" s="52">
        <f t="shared" si="82"/>
        <v>0</v>
      </c>
      <c r="BU43" s="52">
        <f t="shared" si="82"/>
        <v>0</v>
      </c>
      <c r="BV43" s="52">
        <f t="shared" si="82"/>
        <v>0</v>
      </c>
      <c r="BW43" s="52">
        <f t="shared" si="82"/>
        <v>0</v>
      </c>
      <c r="BX43" s="52">
        <f t="shared" si="82"/>
        <v>0</v>
      </c>
      <c r="BY43" s="52">
        <f t="shared" si="82"/>
        <v>0</v>
      </c>
      <c r="BZ43" s="52">
        <f t="shared" si="82"/>
        <v>0</v>
      </c>
      <c r="CA43" s="52">
        <f t="shared" si="82"/>
        <v>0</v>
      </c>
      <c r="CB43" s="52">
        <f t="shared" si="82"/>
        <v>0</v>
      </c>
      <c r="CC43" s="52">
        <f t="shared" si="82"/>
        <v>0</v>
      </c>
      <c r="CD43" s="52">
        <f t="shared" si="82"/>
        <v>0</v>
      </c>
      <c r="CE43" s="52">
        <f t="shared" si="82"/>
        <v>0</v>
      </c>
      <c r="CF43" s="52">
        <f t="shared" si="82"/>
        <v>0</v>
      </c>
      <c r="CG43" s="52">
        <f t="shared" si="82"/>
        <v>0</v>
      </c>
      <c r="CH43" s="52">
        <f t="shared" si="82"/>
        <v>0</v>
      </c>
      <c r="CI43" s="52">
        <f t="shared" si="82"/>
        <v>0</v>
      </c>
      <c r="CJ43" s="52">
        <f t="shared" si="82"/>
        <v>0</v>
      </c>
      <c r="CK43" s="52">
        <f t="shared" si="82"/>
        <v>0</v>
      </c>
      <c r="CL43" s="52">
        <f t="shared" si="82"/>
        <v>0</v>
      </c>
      <c r="CM43" s="52">
        <f t="shared" si="82"/>
        <v>0</v>
      </c>
      <c r="CN43" s="52">
        <f t="shared" si="82"/>
        <v>0</v>
      </c>
      <c r="CO43" s="52">
        <f t="shared" si="82"/>
        <v>0</v>
      </c>
      <c r="CP43" s="52">
        <f t="shared" si="82"/>
        <v>0</v>
      </c>
      <c r="CQ43" s="52">
        <f t="shared" si="82"/>
        <v>0</v>
      </c>
      <c r="CR43" s="52">
        <f t="shared" si="82"/>
        <v>0</v>
      </c>
      <c r="CS43" s="52">
        <f t="shared" si="82"/>
        <v>0</v>
      </c>
      <c r="CT43" s="52">
        <f t="shared" si="82"/>
        <v>0</v>
      </c>
      <c r="CU43" s="52">
        <f t="shared" si="82"/>
        <v>0</v>
      </c>
      <c r="CV43" s="52">
        <f t="shared" si="82"/>
        <v>0</v>
      </c>
      <c r="CW43" s="52">
        <f t="shared" si="82"/>
        <v>0</v>
      </c>
      <c r="CX43" s="52">
        <f t="shared" ref="CX43:EC43" si="83">IFERROR(IF(CX$28="FALSE",0,$C$43/$C$8),0)</f>
        <v>0</v>
      </c>
      <c r="CY43" s="52">
        <f t="shared" si="83"/>
        <v>0</v>
      </c>
      <c r="CZ43" s="52">
        <f t="shared" si="83"/>
        <v>0</v>
      </c>
      <c r="DA43" s="52">
        <f t="shared" si="83"/>
        <v>0</v>
      </c>
      <c r="DB43" s="52">
        <f t="shared" si="83"/>
        <v>0</v>
      </c>
      <c r="DC43" s="52">
        <f t="shared" si="83"/>
        <v>0</v>
      </c>
      <c r="DD43" s="52">
        <f t="shared" si="83"/>
        <v>0</v>
      </c>
      <c r="DE43" s="52">
        <f t="shared" si="83"/>
        <v>0</v>
      </c>
      <c r="DF43" s="52">
        <f t="shared" si="83"/>
        <v>0</v>
      </c>
      <c r="DG43" s="52">
        <f t="shared" si="83"/>
        <v>0</v>
      </c>
      <c r="DH43" s="52">
        <f t="shared" si="83"/>
        <v>0</v>
      </c>
      <c r="DI43" s="52">
        <f t="shared" si="83"/>
        <v>0</v>
      </c>
      <c r="DJ43" s="52">
        <f t="shared" si="83"/>
        <v>0</v>
      </c>
      <c r="DK43" s="52">
        <f t="shared" si="83"/>
        <v>0</v>
      </c>
      <c r="DL43" s="52">
        <f t="shared" si="83"/>
        <v>0</v>
      </c>
      <c r="DM43" s="52">
        <f t="shared" si="83"/>
        <v>0</v>
      </c>
      <c r="DN43" s="52">
        <f t="shared" si="83"/>
        <v>0</v>
      </c>
      <c r="DO43" s="52">
        <f t="shared" si="83"/>
        <v>0</v>
      </c>
      <c r="DP43" s="52">
        <f t="shared" si="83"/>
        <v>0</v>
      </c>
      <c r="DQ43" s="52">
        <f t="shared" si="83"/>
        <v>0</v>
      </c>
      <c r="DR43" s="52">
        <f t="shared" si="83"/>
        <v>0</v>
      </c>
      <c r="DS43" s="52">
        <f t="shared" si="83"/>
        <v>0</v>
      </c>
      <c r="DT43" s="52">
        <f t="shared" si="83"/>
        <v>0</v>
      </c>
      <c r="DU43" s="52">
        <f t="shared" si="83"/>
        <v>0</v>
      </c>
      <c r="DV43" s="52">
        <f t="shared" si="83"/>
        <v>0</v>
      </c>
      <c r="DW43" s="52">
        <f t="shared" si="83"/>
        <v>0</v>
      </c>
      <c r="DX43" s="52">
        <f t="shared" si="83"/>
        <v>0</v>
      </c>
      <c r="DY43" s="52">
        <f t="shared" si="83"/>
        <v>0</v>
      </c>
      <c r="DZ43" s="52">
        <f t="shared" si="83"/>
        <v>0</v>
      </c>
      <c r="EA43" s="52">
        <f t="shared" si="83"/>
        <v>0</v>
      </c>
      <c r="EB43" s="52">
        <f t="shared" si="83"/>
        <v>0</v>
      </c>
      <c r="EC43" s="52">
        <f t="shared" si="83"/>
        <v>0</v>
      </c>
      <c r="ED43" s="52">
        <f t="shared" ref="ED43:FD43" si="84">IFERROR(IF(ED$28="FALSE",0,$C$43/$C$8),0)</f>
        <v>0</v>
      </c>
      <c r="EE43" s="52">
        <f t="shared" si="84"/>
        <v>0</v>
      </c>
      <c r="EF43" s="52">
        <f t="shared" si="84"/>
        <v>0</v>
      </c>
      <c r="EG43" s="52">
        <f t="shared" si="84"/>
        <v>0</v>
      </c>
      <c r="EH43" s="52">
        <f t="shared" si="84"/>
        <v>0</v>
      </c>
      <c r="EI43" s="52">
        <f t="shared" si="84"/>
        <v>0</v>
      </c>
      <c r="EJ43" s="52">
        <f t="shared" si="84"/>
        <v>0</v>
      </c>
      <c r="EK43" s="52">
        <f t="shared" si="84"/>
        <v>0</v>
      </c>
      <c r="EL43" s="52">
        <f t="shared" si="84"/>
        <v>0</v>
      </c>
      <c r="EM43" s="52">
        <f t="shared" si="84"/>
        <v>0</v>
      </c>
      <c r="EN43" s="52">
        <f t="shared" si="84"/>
        <v>0</v>
      </c>
      <c r="EO43" s="52">
        <f t="shared" si="84"/>
        <v>0</v>
      </c>
      <c r="EP43" s="52">
        <f t="shared" si="84"/>
        <v>0</v>
      </c>
      <c r="EQ43" s="52">
        <f t="shared" si="84"/>
        <v>0</v>
      </c>
      <c r="ER43" s="52">
        <f t="shared" si="84"/>
        <v>0</v>
      </c>
      <c r="ES43" s="52">
        <f t="shared" si="84"/>
        <v>0</v>
      </c>
      <c r="ET43" s="52">
        <f t="shared" si="84"/>
        <v>0</v>
      </c>
      <c r="EU43" s="52">
        <f t="shared" si="84"/>
        <v>0</v>
      </c>
      <c r="EV43" s="52">
        <f t="shared" si="84"/>
        <v>0</v>
      </c>
      <c r="EW43" s="52">
        <f t="shared" si="84"/>
        <v>0</v>
      </c>
      <c r="EX43" s="52">
        <f t="shared" si="84"/>
        <v>0</v>
      </c>
      <c r="EY43" s="52">
        <f t="shared" si="84"/>
        <v>0</v>
      </c>
      <c r="EZ43" s="52">
        <f t="shared" si="84"/>
        <v>0</v>
      </c>
      <c r="FA43" s="52">
        <f t="shared" si="84"/>
        <v>0</v>
      </c>
      <c r="FB43" s="52">
        <f t="shared" si="84"/>
        <v>0</v>
      </c>
      <c r="FC43" s="52">
        <f t="shared" si="84"/>
        <v>0</v>
      </c>
      <c r="FD43" s="52">
        <f t="shared" si="84"/>
        <v>0</v>
      </c>
    </row>
    <row r="44" spans="2:160">
      <c r="B44" s="51" t="s">
        <v>121</v>
      </c>
      <c r="C44" s="52">
        <f ca="1">IF(Startup!$C$3="Project",SUMIF(Startup!$C$7:$D$27,Overview!B44,Startup!$D$7:$D$27),(SUMIF(Startup!$C$7:$D$27,Overview!B44,Startup!$D$7:$D$27)*Startup!$C$4))+IF(Pilot!$C$3="Project",SUMIF(Pilot!$C$7:$D$27,Overview!B44,Pilot!$D$7:$D$27),(SUMIF(Pilot!$C$7:$D$27,Overview!B44,Pilot!$D$7:$D$27)*Pilot!$C$4))+IF(PMO!$C$3="Project",SUMIF(PMO!$C$7:$D$27,Overview!B44,PMO!$D$7:$D$27),(SUMIF(PMO!$C$7:$D$27,Overview!B44,PMO!$D$7:$D$27)*PMO!$C$4))+IF('Design &amp; Fulfillment'!$C$3="Project",SUMIF('Design &amp; Fulfillment'!$C$7:$D$27,Overview!B44,'Design &amp; Fulfillment'!$D$7:$D$27),(SUMIF('Design &amp; Fulfillment'!$C$7:$D$27,Overview!B44,'Design &amp; Fulfillment'!$D$7:$D$27)*'Design &amp; Fulfillment'!$C$4))+IF(Workplace!$C$3="Project",SUMIF(Workplace!$C$7:$D$27,Overview!B44,Workplace!$D$7:$D$27),(SUMIF(Workplace!$C$7:$D$27,Overview!B44,Workplace!$D$7:$D$27)*Workplace!$C$4))+IF(Integration!$C$3="Project",SUMIF(Integration!$C$7:$D$27,Overview!B44,Integration!$D$7:$D$27),(SUMIF(Integration!$C$7:$D$27,Overview!B44,Integration!$D$7:$D$27)*Integration!$C$4))+IF(Logistics!$C$3="Project",SUMIF(Logistics!$C$7:$D$27,Overview!B44,Logistics!$D$7:$D$27),(SUMIF(Logistics!$C$7:$D$27,Overview!B44,Logistics!$D$7:$D$27)*Logistics!$C$4))+IF('Service Desk'!$C$3="Project",SUMIF('Service Desk'!$C$7:$D$27,Overview!B44,'Service Desk'!$D$7:$D$27),(SUMIF('Service Desk'!$C$7:$D$27,Overview!B44,'Service Desk'!$D$7:$D$27)*'Service Desk'!$C$4))+IF('Pro Services'!$C$3="Project",SUMIF('Pro Services'!$C$7:$D$27,Overview!B44,'Pro Services'!$D$7:$D$27),(SUMIF('Pro Services'!$C$7:$D$27,Overview!B44,'Pro Services'!$D$7:$D$27)*'Pro Services'!$C$4))</f>
        <v>0</v>
      </c>
      <c r="D44" s="53">
        <f ca="1">IF(Startup!$C$3="Project",SUMIF(Startup!$C$7:$H$27,Overview!B44,Startup!$H$7:$H$27),(SUMIF(Startup!$C$7:$H$27,Overview!B44,Startup!$H$7:$H$27)*Startup!$C$4))+IF(Pilot!$C$3="Project",SUMIF(Pilot!$C$7:$H$27,Overview!B44,Pilot!$H$7:$H$27),(SUMIF(Pilot!$C$7:$H$27,Overview!B44,Pilot!$H$7:$H$27)*Pilot!$C$4))+IF(PMO!$C$3="Project",SUMIF(PMO!$C$7:$H$27,Overview!B44,PMO!$H$7:$H$27),(SUMIF(PMO!$C$7:$H$27,Overview!B44,PMO!$H$7:$H$27)*PMO!$C$4))+IF('Design &amp; Fulfillment'!$C$3="Project",SUMIF('Design &amp; Fulfillment'!$C$7:$H$27,Overview!B44,'Design &amp; Fulfillment'!$H$7:$H$27),(SUMIF('Design &amp; Fulfillment'!$C$7:$H$27,Overview!B44,'Design &amp; Fulfillment'!$H$7:$H$27)*'Design &amp; Fulfillment'!$C$4))+IF(Workplace!$C$3="Project",SUMIF(Workplace!$C$7:$H$27,Overview!B44,Workplace!$H$7:$H$27),(SUMIF(Workplace!$C$7:$H$27,Overview!B44,Workplace!$H$7:$H$27)*Workplace!$C$4))+IF(Integration!$C$3="Project",SUMIF(Integration!$C$7:$H$27,Overview!B44,Integration!$H$7:$H$27),(SUMIF(Integration!$C$7:$H$27,Overview!B44,Integration!$H$7:$H$27)*Integration!$C$4))+IF(Logistics!$C$3="Project",SUMIF(Logistics!$C$7:$H$27,Overview!B44,Logistics!$H$7:$H$27),(SUMIF(Logistics!$C$7:$H$27,Overview!B44,Logistics!$H$7:$H$27)*Logistics!$C$4))+IF('Service Desk'!$C$3="Project",SUMIF('Service Desk'!$C$7:$H$27,Overview!B44,'Service Desk'!$H$7:$H$27),(SUMIF('Service Desk'!$C$7:$H$27,Overview!B44,'Service Desk'!$H$7:$H$27)*'Service Desk'!$C$4))+IF('Pro Services'!$C$3="Project",SUMIF('Pro Services'!$C$7:$H$27,Overview!B44,'Pro Services'!$H$7:$H$27),(SUMIF('Pro Services'!$C$7:$H$27,Overview!B44,'Pro Services'!$H$7:$H$27)*'Pro Services'!$C$4))</f>
        <v>0</v>
      </c>
      <c r="E44" s="52">
        <f t="shared" ca="1" si="19"/>
        <v>0</v>
      </c>
      <c r="F44" s="52">
        <f t="shared" ref="F44:AK44" si="85">IFERROR(IF(F$28="FALSE",0,$C$44/$C$8),0)</f>
        <v>0</v>
      </c>
      <c r="G44" s="52">
        <f t="shared" si="85"/>
        <v>0</v>
      </c>
      <c r="H44" s="52">
        <f t="shared" si="85"/>
        <v>0</v>
      </c>
      <c r="I44" s="52">
        <f t="shared" si="85"/>
        <v>0</v>
      </c>
      <c r="J44" s="52">
        <f t="shared" si="85"/>
        <v>0</v>
      </c>
      <c r="K44" s="52">
        <f t="shared" si="85"/>
        <v>0</v>
      </c>
      <c r="L44" s="52">
        <f t="shared" si="85"/>
        <v>0</v>
      </c>
      <c r="M44" s="52">
        <f t="shared" si="85"/>
        <v>0</v>
      </c>
      <c r="N44" s="52">
        <f t="shared" si="85"/>
        <v>0</v>
      </c>
      <c r="O44" s="52">
        <f t="shared" si="85"/>
        <v>0</v>
      </c>
      <c r="P44" s="52">
        <f t="shared" si="85"/>
        <v>0</v>
      </c>
      <c r="Q44" s="52">
        <f t="shared" si="85"/>
        <v>0</v>
      </c>
      <c r="R44" s="52">
        <f t="shared" si="85"/>
        <v>0</v>
      </c>
      <c r="S44" s="52">
        <f t="shared" si="85"/>
        <v>0</v>
      </c>
      <c r="T44" s="52">
        <f t="shared" si="85"/>
        <v>0</v>
      </c>
      <c r="U44" s="52">
        <f t="shared" si="85"/>
        <v>0</v>
      </c>
      <c r="V44" s="52">
        <f t="shared" si="85"/>
        <v>0</v>
      </c>
      <c r="W44" s="52">
        <f t="shared" si="85"/>
        <v>0</v>
      </c>
      <c r="X44" s="52">
        <f t="shared" si="85"/>
        <v>0</v>
      </c>
      <c r="Y44" s="52">
        <f t="shared" si="85"/>
        <v>0</v>
      </c>
      <c r="Z44" s="52">
        <f t="shared" si="85"/>
        <v>0</v>
      </c>
      <c r="AA44" s="52">
        <f t="shared" si="85"/>
        <v>0</v>
      </c>
      <c r="AB44" s="52">
        <f t="shared" si="85"/>
        <v>0</v>
      </c>
      <c r="AC44" s="52">
        <f t="shared" si="85"/>
        <v>0</v>
      </c>
      <c r="AD44" s="52">
        <f t="shared" si="85"/>
        <v>0</v>
      </c>
      <c r="AE44" s="52">
        <f t="shared" si="85"/>
        <v>0</v>
      </c>
      <c r="AF44" s="52">
        <f t="shared" si="85"/>
        <v>0</v>
      </c>
      <c r="AG44" s="52">
        <f t="shared" si="85"/>
        <v>0</v>
      </c>
      <c r="AH44" s="52">
        <f t="shared" si="85"/>
        <v>0</v>
      </c>
      <c r="AI44" s="52">
        <f t="shared" si="85"/>
        <v>0</v>
      </c>
      <c r="AJ44" s="52">
        <f t="shared" si="85"/>
        <v>0</v>
      </c>
      <c r="AK44" s="52">
        <f t="shared" si="85"/>
        <v>0</v>
      </c>
      <c r="AL44" s="52">
        <f t="shared" ref="AL44:BQ44" si="86">IFERROR(IF(AL$28="FALSE",0,$C$44/$C$8),0)</f>
        <v>0</v>
      </c>
      <c r="AM44" s="52">
        <f t="shared" si="86"/>
        <v>0</v>
      </c>
      <c r="AN44" s="52">
        <f t="shared" si="86"/>
        <v>0</v>
      </c>
      <c r="AO44" s="52">
        <f t="shared" si="86"/>
        <v>0</v>
      </c>
      <c r="AP44" s="52">
        <f t="shared" si="86"/>
        <v>0</v>
      </c>
      <c r="AQ44" s="52">
        <f t="shared" si="86"/>
        <v>0</v>
      </c>
      <c r="AR44" s="52">
        <f t="shared" si="86"/>
        <v>0</v>
      </c>
      <c r="AS44" s="52">
        <f t="shared" si="86"/>
        <v>0</v>
      </c>
      <c r="AT44" s="52">
        <f t="shared" si="86"/>
        <v>0</v>
      </c>
      <c r="AU44" s="52">
        <f t="shared" si="86"/>
        <v>0</v>
      </c>
      <c r="AV44" s="52">
        <f t="shared" si="86"/>
        <v>0</v>
      </c>
      <c r="AW44" s="52">
        <f t="shared" si="86"/>
        <v>0</v>
      </c>
      <c r="AX44" s="52">
        <f t="shared" si="86"/>
        <v>0</v>
      </c>
      <c r="AY44" s="52">
        <f t="shared" si="86"/>
        <v>0</v>
      </c>
      <c r="AZ44" s="52">
        <f t="shared" si="86"/>
        <v>0</v>
      </c>
      <c r="BA44" s="52">
        <f t="shared" si="86"/>
        <v>0</v>
      </c>
      <c r="BB44" s="52">
        <f t="shared" si="86"/>
        <v>0</v>
      </c>
      <c r="BC44" s="52">
        <f t="shared" si="86"/>
        <v>0</v>
      </c>
      <c r="BD44" s="52">
        <f t="shared" si="86"/>
        <v>0</v>
      </c>
      <c r="BE44" s="52">
        <f t="shared" si="86"/>
        <v>0</v>
      </c>
      <c r="BF44" s="52">
        <f t="shared" si="86"/>
        <v>0</v>
      </c>
      <c r="BG44" s="52">
        <f t="shared" si="86"/>
        <v>0</v>
      </c>
      <c r="BH44" s="52">
        <f t="shared" si="86"/>
        <v>0</v>
      </c>
      <c r="BI44" s="52">
        <f t="shared" si="86"/>
        <v>0</v>
      </c>
      <c r="BJ44" s="52">
        <f t="shared" si="86"/>
        <v>0</v>
      </c>
      <c r="BK44" s="52">
        <f t="shared" si="86"/>
        <v>0</v>
      </c>
      <c r="BL44" s="52">
        <f t="shared" si="86"/>
        <v>0</v>
      </c>
      <c r="BM44" s="52">
        <f t="shared" si="86"/>
        <v>0</v>
      </c>
      <c r="BN44" s="52">
        <f t="shared" si="86"/>
        <v>0</v>
      </c>
      <c r="BO44" s="52">
        <f t="shared" si="86"/>
        <v>0</v>
      </c>
      <c r="BP44" s="52">
        <f t="shared" si="86"/>
        <v>0</v>
      </c>
      <c r="BQ44" s="52">
        <f t="shared" si="86"/>
        <v>0</v>
      </c>
      <c r="BR44" s="52">
        <f t="shared" ref="BR44:CW44" si="87">IFERROR(IF(BR$28="FALSE",0,$C$44/$C$8),0)</f>
        <v>0</v>
      </c>
      <c r="BS44" s="52">
        <f t="shared" si="87"/>
        <v>0</v>
      </c>
      <c r="BT44" s="52">
        <f t="shared" si="87"/>
        <v>0</v>
      </c>
      <c r="BU44" s="52">
        <f t="shared" si="87"/>
        <v>0</v>
      </c>
      <c r="BV44" s="52">
        <f t="shared" si="87"/>
        <v>0</v>
      </c>
      <c r="BW44" s="52">
        <f t="shared" si="87"/>
        <v>0</v>
      </c>
      <c r="BX44" s="52">
        <f t="shared" si="87"/>
        <v>0</v>
      </c>
      <c r="BY44" s="52">
        <f t="shared" si="87"/>
        <v>0</v>
      </c>
      <c r="BZ44" s="52">
        <f t="shared" si="87"/>
        <v>0</v>
      </c>
      <c r="CA44" s="52">
        <f t="shared" si="87"/>
        <v>0</v>
      </c>
      <c r="CB44" s="52">
        <f t="shared" si="87"/>
        <v>0</v>
      </c>
      <c r="CC44" s="52">
        <f t="shared" si="87"/>
        <v>0</v>
      </c>
      <c r="CD44" s="52">
        <f t="shared" si="87"/>
        <v>0</v>
      </c>
      <c r="CE44" s="52">
        <f t="shared" si="87"/>
        <v>0</v>
      </c>
      <c r="CF44" s="52">
        <f t="shared" si="87"/>
        <v>0</v>
      </c>
      <c r="CG44" s="52">
        <f t="shared" si="87"/>
        <v>0</v>
      </c>
      <c r="CH44" s="52">
        <f t="shared" si="87"/>
        <v>0</v>
      </c>
      <c r="CI44" s="52">
        <f t="shared" si="87"/>
        <v>0</v>
      </c>
      <c r="CJ44" s="52">
        <f t="shared" si="87"/>
        <v>0</v>
      </c>
      <c r="CK44" s="52">
        <f t="shared" si="87"/>
        <v>0</v>
      </c>
      <c r="CL44" s="52">
        <f t="shared" si="87"/>
        <v>0</v>
      </c>
      <c r="CM44" s="52">
        <f t="shared" si="87"/>
        <v>0</v>
      </c>
      <c r="CN44" s="52">
        <f t="shared" si="87"/>
        <v>0</v>
      </c>
      <c r="CO44" s="52">
        <f t="shared" si="87"/>
        <v>0</v>
      </c>
      <c r="CP44" s="52">
        <f t="shared" si="87"/>
        <v>0</v>
      </c>
      <c r="CQ44" s="52">
        <f t="shared" si="87"/>
        <v>0</v>
      </c>
      <c r="CR44" s="52">
        <f t="shared" si="87"/>
        <v>0</v>
      </c>
      <c r="CS44" s="52">
        <f t="shared" si="87"/>
        <v>0</v>
      </c>
      <c r="CT44" s="52">
        <f t="shared" si="87"/>
        <v>0</v>
      </c>
      <c r="CU44" s="52">
        <f t="shared" si="87"/>
        <v>0</v>
      </c>
      <c r="CV44" s="52">
        <f t="shared" si="87"/>
        <v>0</v>
      </c>
      <c r="CW44" s="52">
        <f t="shared" si="87"/>
        <v>0</v>
      </c>
      <c r="CX44" s="52">
        <f t="shared" ref="CX44:EC44" si="88">IFERROR(IF(CX$28="FALSE",0,$C$44/$C$8),0)</f>
        <v>0</v>
      </c>
      <c r="CY44" s="52">
        <f t="shared" si="88"/>
        <v>0</v>
      </c>
      <c r="CZ44" s="52">
        <f t="shared" si="88"/>
        <v>0</v>
      </c>
      <c r="DA44" s="52">
        <f t="shared" si="88"/>
        <v>0</v>
      </c>
      <c r="DB44" s="52">
        <f t="shared" si="88"/>
        <v>0</v>
      </c>
      <c r="DC44" s="52">
        <f t="shared" si="88"/>
        <v>0</v>
      </c>
      <c r="DD44" s="52">
        <f t="shared" si="88"/>
        <v>0</v>
      </c>
      <c r="DE44" s="52">
        <f t="shared" si="88"/>
        <v>0</v>
      </c>
      <c r="DF44" s="52">
        <f t="shared" si="88"/>
        <v>0</v>
      </c>
      <c r="DG44" s="52">
        <f t="shared" si="88"/>
        <v>0</v>
      </c>
      <c r="DH44" s="52">
        <f t="shared" si="88"/>
        <v>0</v>
      </c>
      <c r="DI44" s="52">
        <f t="shared" si="88"/>
        <v>0</v>
      </c>
      <c r="DJ44" s="52">
        <f t="shared" si="88"/>
        <v>0</v>
      </c>
      <c r="DK44" s="52">
        <f t="shared" si="88"/>
        <v>0</v>
      </c>
      <c r="DL44" s="52">
        <f t="shared" si="88"/>
        <v>0</v>
      </c>
      <c r="DM44" s="52">
        <f t="shared" si="88"/>
        <v>0</v>
      </c>
      <c r="DN44" s="52">
        <f t="shared" si="88"/>
        <v>0</v>
      </c>
      <c r="DO44" s="52">
        <f t="shared" si="88"/>
        <v>0</v>
      </c>
      <c r="DP44" s="52">
        <f t="shared" si="88"/>
        <v>0</v>
      </c>
      <c r="DQ44" s="52">
        <f t="shared" si="88"/>
        <v>0</v>
      </c>
      <c r="DR44" s="52">
        <f t="shared" si="88"/>
        <v>0</v>
      </c>
      <c r="DS44" s="52">
        <f t="shared" si="88"/>
        <v>0</v>
      </c>
      <c r="DT44" s="52">
        <f t="shared" si="88"/>
        <v>0</v>
      </c>
      <c r="DU44" s="52">
        <f t="shared" si="88"/>
        <v>0</v>
      </c>
      <c r="DV44" s="52">
        <f t="shared" si="88"/>
        <v>0</v>
      </c>
      <c r="DW44" s="52">
        <f t="shared" si="88"/>
        <v>0</v>
      </c>
      <c r="DX44" s="52">
        <f t="shared" si="88"/>
        <v>0</v>
      </c>
      <c r="DY44" s="52">
        <f t="shared" si="88"/>
        <v>0</v>
      </c>
      <c r="DZ44" s="52">
        <f t="shared" si="88"/>
        <v>0</v>
      </c>
      <c r="EA44" s="52">
        <f t="shared" si="88"/>
        <v>0</v>
      </c>
      <c r="EB44" s="52">
        <f t="shared" si="88"/>
        <v>0</v>
      </c>
      <c r="EC44" s="52">
        <f t="shared" si="88"/>
        <v>0</v>
      </c>
      <c r="ED44" s="52">
        <f t="shared" ref="ED44:FD44" si="89">IFERROR(IF(ED$28="FALSE",0,$C$44/$C$8),0)</f>
        <v>0</v>
      </c>
      <c r="EE44" s="52">
        <f t="shared" si="89"/>
        <v>0</v>
      </c>
      <c r="EF44" s="52">
        <f t="shared" si="89"/>
        <v>0</v>
      </c>
      <c r="EG44" s="52">
        <f t="shared" si="89"/>
        <v>0</v>
      </c>
      <c r="EH44" s="52">
        <f t="shared" si="89"/>
        <v>0</v>
      </c>
      <c r="EI44" s="52">
        <f t="shared" si="89"/>
        <v>0</v>
      </c>
      <c r="EJ44" s="52">
        <f t="shared" si="89"/>
        <v>0</v>
      </c>
      <c r="EK44" s="52">
        <f t="shared" si="89"/>
        <v>0</v>
      </c>
      <c r="EL44" s="52">
        <f t="shared" si="89"/>
        <v>0</v>
      </c>
      <c r="EM44" s="52">
        <f t="shared" si="89"/>
        <v>0</v>
      </c>
      <c r="EN44" s="52">
        <f t="shared" si="89"/>
        <v>0</v>
      </c>
      <c r="EO44" s="52">
        <f t="shared" si="89"/>
        <v>0</v>
      </c>
      <c r="EP44" s="52">
        <f t="shared" si="89"/>
        <v>0</v>
      </c>
      <c r="EQ44" s="52">
        <f t="shared" si="89"/>
        <v>0</v>
      </c>
      <c r="ER44" s="52">
        <f t="shared" si="89"/>
        <v>0</v>
      </c>
      <c r="ES44" s="52">
        <f t="shared" si="89"/>
        <v>0</v>
      </c>
      <c r="ET44" s="52">
        <f t="shared" si="89"/>
        <v>0</v>
      </c>
      <c r="EU44" s="52">
        <f t="shared" si="89"/>
        <v>0</v>
      </c>
      <c r="EV44" s="52">
        <f t="shared" si="89"/>
        <v>0</v>
      </c>
      <c r="EW44" s="52">
        <f t="shared" si="89"/>
        <v>0</v>
      </c>
      <c r="EX44" s="52">
        <f t="shared" si="89"/>
        <v>0</v>
      </c>
      <c r="EY44" s="52">
        <f t="shared" si="89"/>
        <v>0</v>
      </c>
      <c r="EZ44" s="52">
        <f t="shared" si="89"/>
        <v>0</v>
      </c>
      <c r="FA44" s="52">
        <f t="shared" si="89"/>
        <v>0</v>
      </c>
      <c r="FB44" s="52">
        <f t="shared" si="89"/>
        <v>0</v>
      </c>
      <c r="FC44" s="52">
        <f t="shared" si="89"/>
        <v>0</v>
      </c>
      <c r="FD44" s="52">
        <f t="shared" si="89"/>
        <v>0</v>
      </c>
    </row>
    <row r="45" spans="2:160">
      <c r="B45" s="51" t="s">
        <v>123</v>
      </c>
      <c r="C45" s="52">
        <f ca="1">IF(Startup!$C$3="Project",SUMIF(Startup!$C$7:$D$27,Overview!B45,Startup!$D$7:$D$27),(SUMIF(Startup!$C$7:$D$27,Overview!B45,Startup!$D$7:$D$27)*Startup!$C$4))+IF(Pilot!$C$3="Project",SUMIF(Pilot!$C$7:$D$27,Overview!B45,Pilot!$D$7:$D$27),(SUMIF(Pilot!$C$7:$D$27,Overview!B45,Pilot!$D$7:$D$27)*Pilot!$C$4))+IF(PMO!$C$3="Project",SUMIF(PMO!$C$7:$D$27,Overview!B45,PMO!$D$7:$D$27),(SUMIF(PMO!$C$7:$D$27,Overview!B45,PMO!$D$7:$D$27)*PMO!$C$4))+IF('Design &amp; Fulfillment'!$C$3="Project",SUMIF('Design &amp; Fulfillment'!$C$7:$D$27,Overview!B45,'Design &amp; Fulfillment'!$D$7:$D$27),(SUMIF('Design &amp; Fulfillment'!$C$7:$D$27,Overview!B45,'Design &amp; Fulfillment'!$D$7:$D$27)*'Design &amp; Fulfillment'!$C$4))+IF(Workplace!$C$3="Project",SUMIF(Workplace!$C$7:$D$27,Overview!B45,Workplace!$D$7:$D$27),(SUMIF(Workplace!$C$7:$D$27,Overview!B45,Workplace!$D$7:$D$27)*Workplace!$C$4))+IF(Integration!$C$3="Project",SUMIF(Integration!$C$7:$D$27,Overview!B45,Integration!$D$7:$D$27),(SUMIF(Integration!$C$7:$D$27,Overview!B45,Integration!$D$7:$D$27)*Integration!$C$4))+IF(Logistics!$C$3="Project",SUMIF(Logistics!$C$7:$D$27,Overview!B45,Logistics!$D$7:$D$27),(SUMIF(Logistics!$C$7:$D$27,Overview!B45,Logistics!$D$7:$D$27)*Logistics!$C$4))+IF('Service Desk'!$C$3="Project",SUMIF('Service Desk'!$C$7:$D$27,Overview!B45,'Service Desk'!$D$7:$D$27),(SUMIF('Service Desk'!$C$7:$D$27,Overview!B45,'Service Desk'!$D$7:$D$27)*'Service Desk'!$C$4))+IF('Pro Services'!$C$3="Project",SUMIF('Pro Services'!$C$7:$D$27,Overview!B45,'Pro Services'!$D$7:$D$27),(SUMIF('Pro Services'!$C$7:$D$27,Overview!B45,'Pro Services'!$D$7:$D$27)*'Pro Services'!$C$4))</f>
        <v>0</v>
      </c>
      <c r="D45" s="53">
        <f ca="1">IF(Startup!$C$3="Project",SUMIF(Startup!$C$7:$H$27,Overview!B45,Startup!$H$7:$H$27),(SUMIF(Startup!$C$7:$H$27,Overview!B45,Startup!$H$7:$H$27)*Startup!$C$4))+IF(Pilot!$C$3="Project",SUMIF(Pilot!$C$7:$H$27,Overview!B45,Pilot!$H$7:$H$27),(SUMIF(Pilot!$C$7:$H$27,Overview!B45,Pilot!$H$7:$H$27)*Pilot!$C$4))+IF(PMO!$C$3="Project",SUMIF(PMO!$C$7:$H$27,Overview!B45,PMO!$H$7:$H$27),(SUMIF(PMO!$C$7:$H$27,Overview!B45,PMO!$H$7:$H$27)*PMO!$C$4))+IF('Design &amp; Fulfillment'!$C$3="Project",SUMIF('Design &amp; Fulfillment'!$C$7:$H$27,Overview!B45,'Design &amp; Fulfillment'!$H$7:$H$27),(SUMIF('Design &amp; Fulfillment'!$C$7:$H$27,Overview!B45,'Design &amp; Fulfillment'!$H$7:$H$27)*'Design &amp; Fulfillment'!$C$4))+IF(Workplace!$C$3="Project",SUMIF(Workplace!$C$7:$H$27,Overview!B45,Workplace!$H$7:$H$27),(SUMIF(Workplace!$C$7:$H$27,Overview!B45,Workplace!$H$7:$H$27)*Workplace!$C$4))+IF(Integration!$C$3="Project",SUMIF(Integration!$C$7:$H$27,Overview!B45,Integration!$H$7:$H$27),(SUMIF(Integration!$C$7:$H$27,Overview!B45,Integration!$H$7:$H$27)*Integration!$C$4))+IF(Logistics!$C$3="Project",SUMIF(Logistics!$C$7:$H$27,Overview!B45,Logistics!$H$7:$H$27),(SUMIF(Logistics!$C$7:$H$27,Overview!B45,Logistics!$H$7:$H$27)*Logistics!$C$4))+IF('Service Desk'!$C$3="Project",SUMIF('Service Desk'!$C$7:$H$27,Overview!B45,'Service Desk'!$H$7:$H$27),(SUMIF('Service Desk'!$C$7:$H$27,Overview!B45,'Service Desk'!$H$7:$H$27)*'Service Desk'!$C$4))+IF('Pro Services'!$C$3="Project",SUMIF('Pro Services'!$C$7:$H$27,Overview!B45,'Pro Services'!$H$7:$H$27),(SUMIF('Pro Services'!$C$7:$H$27,Overview!B45,'Pro Services'!$H$7:$H$27)*'Pro Services'!$C$4))</f>
        <v>0</v>
      </c>
      <c r="E45" s="52">
        <f t="shared" ca="1" si="19"/>
        <v>0</v>
      </c>
      <c r="F45" s="52">
        <f t="shared" ref="F45:AK45" si="90">IFERROR(IF(F$28="FALSE",0,$C$45/$C$8),0)</f>
        <v>0</v>
      </c>
      <c r="G45" s="52">
        <f t="shared" si="90"/>
        <v>0</v>
      </c>
      <c r="H45" s="52">
        <f t="shared" si="90"/>
        <v>0</v>
      </c>
      <c r="I45" s="52">
        <f t="shared" si="90"/>
        <v>0</v>
      </c>
      <c r="J45" s="52">
        <f t="shared" si="90"/>
        <v>0</v>
      </c>
      <c r="K45" s="52">
        <f t="shared" si="90"/>
        <v>0</v>
      </c>
      <c r="L45" s="52">
        <f t="shared" si="90"/>
        <v>0</v>
      </c>
      <c r="M45" s="52">
        <f t="shared" si="90"/>
        <v>0</v>
      </c>
      <c r="N45" s="52">
        <f t="shared" si="90"/>
        <v>0</v>
      </c>
      <c r="O45" s="52">
        <f t="shared" si="90"/>
        <v>0</v>
      </c>
      <c r="P45" s="52">
        <f t="shared" si="90"/>
        <v>0</v>
      </c>
      <c r="Q45" s="52">
        <f t="shared" si="90"/>
        <v>0</v>
      </c>
      <c r="R45" s="52">
        <f t="shared" si="90"/>
        <v>0</v>
      </c>
      <c r="S45" s="52">
        <f t="shared" si="90"/>
        <v>0</v>
      </c>
      <c r="T45" s="52">
        <f t="shared" si="90"/>
        <v>0</v>
      </c>
      <c r="U45" s="52">
        <f t="shared" si="90"/>
        <v>0</v>
      </c>
      <c r="V45" s="52">
        <f t="shared" si="90"/>
        <v>0</v>
      </c>
      <c r="W45" s="52">
        <f t="shared" si="90"/>
        <v>0</v>
      </c>
      <c r="X45" s="52">
        <f t="shared" si="90"/>
        <v>0</v>
      </c>
      <c r="Y45" s="52">
        <f t="shared" si="90"/>
        <v>0</v>
      </c>
      <c r="Z45" s="52">
        <f t="shared" si="90"/>
        <v>0</v>
      </c>
      <c r="AA45" s="52">
        <f t="shared" si="90"/>
        <v>0</v>
      </c>
      <c r="AB45" s="52">
        <f t="shared" si="90"/>
        <v>0</v>
      </c>
      <c r="AC45" s="52">
        <f t="shared" si="90"/>
        <v>0</v>
      </c>
      <c r="AD45" s="52">
        <f t="shared" si="90"/>
        <v>0</v>
      </c>
      <c r="AE45" s="52">
        <f t="shared" si="90"/>
        <v>0</v>
      </c>
      <c r="AF45" s="52">
        <f t="shared" si="90"/>
        <v>0</v>
      </c>
      <c r="AG45" s="52">
        <f t="shared" si="90"/>
        <v>0</v>
      </c>
      <c r="AH45" s="52">
        <f t="shared" si="90"/>
        <v>0</v>
      </c>
      <c r="AI45" s="52">
        <f t="shared" si="90"/>
        <v>0</v>
      </c>
      <c r="AJ45" s="52">
        <f t="shared" si="90"/>
        <v>0</v>
      </c>
      <c r="AK45" s="52">
        <f t="shared" si="90"/>
        <v>0</v>
      </c>
      <c r="AL45" s="52">
        <f t="shared" ref="AL45:BQ45" si="91">IFERROR(IF(AL$28="FALSE",0,$C$45/$C$8),0)</f>
        <v>0</v>
      </c>
      <c r="AM45" s="52">
        <f t="shared" si="91"/>
        <v>0</v>
      </c>
      <c r="AN45" s="52">
        <f t="shared" si="91"/>
        <v>0</v>
      </c>
      <c r="AO45" s="52">
        <f t="shared" si="91"/>
        <v>0</v>
      </c>
      <c r="AP45" s="52">
        <f t="shared" si="91"/>
        <v>0</v>
      </c>
      <c r="AQ45" s="52">
        <f t="shared" si="91"/>
        <v>0</v>
      </c>
      <c r="AR45" s="52">
        <f t="shared" si="91"/>
        <v>0</v>
      </c>
      <c r="AS45" s="52">
        <f t="shared" si="91"/>
        <v>0</v>
      </c>
      <c r="AT45" s="52">
        <f t="shared" si="91"/>
        <v>0</v>
      </c>
      <c r="AU45" s="52">
        <f t="shared" si="91"/>
        <v>0</v>
      </c>
      <c r="AV45" s="52">
        <f t="shared" si="91"/>
        <v>0</v>
      </c>
      <c r="AW45" s="52">
        <f t="shared" si="91"/>
        <v>0</v>
      </c>
      <c r="AX45" s="52">
        <f t="shared" si="91"/>
        <v>0</v>
      </c>
      <c r="AY45" s="52">
        <f t="shared" si="91"/>
        <v>0</v>
      </c>
      <c r="AZ45" s="52">
        <f t="shared" si="91"/>
        <v>0</v>
      </c>
      <c r="BA45" s="52">
        <f t="shared" si="91"/>
        <v>0</v>
      </c>
      <c r="BB45" s="52">
        <f t="shared" si="91"/>
        <v>0</v>
      </c>
      <c r="BC45" s="52">
        <f t="shared" si="91"/>
        <v>0</v>
      </c>
      <c r="BD45" s="52">
        <f t="shared" si="91"/>
        <v>0</v>
      </c>
      <c r="BE45" s="52">
        <f t="shared" si="91"/>
        <v>0</v>
      </c>
      <c r="BF45" s="52">
        <f t="shared" si="91"/>
        <v>0</v>
      </c>
      <c r="BG45" s="52">
        <f t="shared" si="91"/>
        <v>0</v>
      </c>
      <c r="BH45" s="52">
        <f t="shared" si="91"/>
        <v>0</v>
      </c>
      <c r="BI45" s="52">
        <f t="shared" si="91"/>
        <v>0</v>
      </c>
      <c r="BJ45" s="52">
        <f t="shared" si="91"/>
        <v>0</v>
      </c>
      <c r="BK45" s="52">
        <f t="shared" si="91"/>
        <v>0</v>
      </c>
      <c r="BL45" s="52">
        <f t="shared" si="91"/>
        <v>0</v>
      </c>
      <c r="BM45" s="52">
        <f t="shared" si="91"/>
        <v>0</v>
      </c>
      <c r="BN45" s="52">
        <f t="shared" si="91"/>
        <v>0</v>
      </c>
      <c r="BO45" s="52">
        <f t="shared" si="91"/>
        <v>0</v>
      </c>
      <c r="BP45" s="52">
        <f t="shared" si="91"/>
        <v>0</v>
      </c>
      <c r="BQ45" s="52">
        <f t="shared" si="91"/>
        <v>0</v>
      </c>
      <c r="BR45" s="52">
        <f t="shared" ref="BR45:CW45" si="92">IFERROR(IF(BR$28="FALSE",0,$C$45/$C$8),0)</f>
        <v>0</v>
      </c>
      <c r="BS45" s="52">
        <f t="shared" si="92"/>
        <v>0</v>
      </c>
      <c r="BT45" s="52">
        <f t="shared" si="92"/>
        <v>0</v>
      </c>
      <c r="BU45" s="52">
        <f t="shared" si="92"/>
        <v>0</v>
      </c>
      <c r="BV45" s="52">
        <f t="shared" si="92"/>
        <v>0</v>
      </c>
      <c r="BW45" s="52">
        <f t="shared" si="92"/>
        <v>0</v>
      </c>
      <c r="BX45" s="52">
        <f t="shared" si="92"/>
        <v>0</v>
      </c>
      <c r="BY45" s="52">
        <f t="shared" si="92"/>
        <v>0</v>
      </c>
      <c r="BZ45" s="52">
        <f t="shared" si="92"/>
        <v>0</v>
      </c>
      <c r="CA45" s="52">
        <f t="shared" si="92"/>
        <v>0</v>
      </c>
      <c r="CB45" s="52">
        <f t="shared" si="92"/>
        <v>0</v>
      </c>
      <c r="CC45" s="52">
        <f t="shared" si="92"/>
        <v>0</v>
      </c>
      <c r="CD45" s="52">
        <f t="shared" si="92"/>
        <v>0</v>
      </c>
      <c r="CE45" s="52">
        <f t="shared" si="92"/>
        <v>0</v>
      </c>
      <c r="CF45" s="52">
        <f t="shared" si="92"/>
        <v>0</v>
      </c>
      <c r="CG45" s="52">
        <f t="shared" si="92"/>
        <v>0</v>
      </c>
      <c r="CH45" s="52">
        <f t="shared" si="92"/>
        <v>0</v>
      </c>
      <c r="CI45" s="52">
        <f t="shared" si="92"/>
        <v>0</v>
      </c>
      <c r="CJ45" s="52">
        <f t="shared" si="92"/>
        <v>0</v>
      </c>
      <c r="CK45" s="52">
        <f t="shared" si="92"/>
        <v>0</v>
      </c>
      <c r="CL45" s="52">
        <f t="shared" si="92"/>
        <v>0</v>
      </c>
      <c r="CM45" s="52">
        <f t="shared" si="92"/>
        <v>0</v>
      </c>
      <c r="CN45" s="52">
        <f t="shared" si="92"/>
        <v>0</v>
      </c>
      <c r="CO45" s="52">
        <f t="shared" si="92"/>
        <v>0</v>
      </c>
      <c r="CP45" s="52">
        <f t="shared" si="92"/>
        <v>0</v>
      </c>
      <c r="CQ45" s="52">
        <f t="shared" si="92"/>
        <v>0</v>
      </c>
      <c r="CR45" s="52">
        <f t="shared" si="92"/>
        <v>0</v>
      </c>
      <c r="CS45" s="52">
        <f t="shared" si="92"/>
        <v>0</v>
      </c>
      <c r="CT45" s="52">
        <f t="shared" si="92"/>
        <v>0</v>
      </c>
      <c r="CU45" s="52">
        <f t="shared" si="92"/>
        <v>0</v>
      </c>
      <c r="CV45" s="52">
        <f t="shared" si="92"/>
        <v>0</v>
      </c>
      <c r="CW45" s="52">
        <f t="shared" si="92"/>
        <v>0</v>
      </c>
      <c r="CX45" s="52">
        <f t="shared" ref="CX45:EC45" si="93">IFERROR(IF(CX$28="FALSE",0,$C$45/$C$8),0)</f>
        <v>0</v>
      </c>
      <c r="CY45" s="52">
        <f t="shared" si="93"/>
        <v>0</v>
      </c>
      <c r="CZ45" s="52">
        <f t="shared" si="93"/>
        <v>0</v>
      </c>
      <c r="DA45" s="52">
        <f t="shared" si="93"/>
        <v>0</v>
      </c>
      <c r="DB45" s="52">
        <f t="shared" si="93"/>
        <v>0</v>
      </c>
      <c r="DC45" s="52">
        <f t="shared" si="93"/>
        <v>0</v>
      </c>
      <c r="DD45" s="52">
        <f t="shared" si="93"/>
        <v>0</v>
      </c>
      <c r="DE45" s="52">
        <f t="shared" si="93"/>
        <v>0</v>
      </c>
      <c r="DF45" s="52">
        <f t="shared" si="93"/>
        <v>0</v>
      </c>
      <c r="DG45" s="52">
        <f t="shared" si="93"/>
        <v>0</v>
      </c>
      <c r="DH45" s="52">
        <f t="shared" si="93"/>
        <v>0</v>
      </c>
      <c r="DI45" s="52">
        <f t="shared" si="93"/>
        <v>0</v>
      </c>
      <c r="DJ45" s="52">
        <f t="shared" si="93"/>
        <v>0</v>
      </c>
      <c r="DK45" s="52">
        <f t="shared" si="93"/>
        <v>0</v>
      </c>
      <c r="DL45" s="52">
        <f t="shared" si="93"/>
        <v>0</v>
      </c>
      <c r="DM45" s="52">
        <f t="shared" si="93"/>
        <v>0</v>
      </c>
      <c r="DN45" s="52">
        <f t="shared" si="93"/>
        <v>0</v>
      </c>
      <c r="DO45" s="52">
        <f t="shared" si="93"/>
        <v>0</v>
      </c>
      <c r="DP45" s="52">
        <f t="shared" si="93"/>
        <v>0</v>
      </c>
      <c r="DQ45" s="52">
        <f t="shared" si="93"/>
        <v>0</v>
      </c>
      <c r="DR45" s="52">
        <f t="shared" si="93"/>
        <v>0</v>
      </c>
      <c r="DS45" s="52">
        <f t="shared" si="93"/>
        <v>0</v>
      </c>
      <c r="DT45" s="52">
        <f t="shared" si="93"/>
        <v>0</v>
      </c>
      <c r="DU45" s="52">
        <f t="shared" si="93"/>
        <v>0</v>
      </c>
      <c r="DV45" s="52">
        <f t="shared" si="93"/>
        <v>0</v>
      </c>
      <c r="DW45" s="52">
        <f t="shared" si="93"/>
        <v>0</v>
      </c>
      <c r="DX45" s="52">
        <f t="shared" si="93"/>
        <v>0</v>
      </c>
      <c r="DY45" s="52">
        <f t="shared" si="93"/>
        <v>0</v>
      </c>
      <c r="DZ45" s="52">
        <f t="shared" si="93"/>
        <v>0</v>
      </c>
      <c r="EA45" s="52">
        <f t="shared" si="93"/>
        <v>0</v>
      </c>
      <c r="EB45" s="52">
        <f t="shared" si="93"/>
        <v>0</v>
      </c>
      <c r="EC45" s="52">
        <f t="shared" si="93"/>
        <v>0</v>
      </c>
      <c r="ED45" s="52">
        <f t="shared" ref="ED45:FD45" si="94">IFERROR(IF(ED$28="FALSE",0,$C$45/$C$8),0)</f>
        <v>0</v>
      </c>
      <c r="EE45" s="52">
        <f t="shared" si="94"/>
        <v>0</v>
      </c>
      <c r="EF45" s="52">
        <f t="shared" si="94"/>
        <v>0</v>
      </c>
      <c r="EG45" s="52">
        <f t="shared" si="94"/>
        <v>0</v>
      </c>
      <c r="EH45" s="52">
        <f t="shared" si="94"/>
        <v>0</v>
      </c>
      <c r="EI45" s="52">
        <f t="shared" si="94"/>
        <v>0</v>
      </c>
      <c r="EJ45" s="52">
        <f t="shared" si="94"/>
        <v>0</v>
      </c>
      <c r="EK45" s="52">
        <f t="shared" si="94"/>
        <v>0</v>
      </c>
      <c r="EL45" s="52">
        <f t="shared" si="94"/>
        <v>0</v>
      </c>
      <c r="EM45" s="52">
        <f t="shared" si="94"/>
        <v>0</v>
      </c>
      <c r="EN45" s="52">
        <f t="shared" si="94"/>
        <v>0</v>
      </c>
      <c r="EO45" s="52">
        <f t="shared" si="94"/>
        <v>0</v>
      </c>
      <c r="EP45" s="52">
        <f t="shared" si="94"/>
        <v>0</v>
      </c>
      <c r="EQ45" s="52">
        <f t="shared" si="94"/>
        <v>0</v>
      </c>
      <c r="ER45" s="52">
        <f t="shared" si="94"/>
        <v>0</v>
      </c>
      <c r="ES45" s="52">
        <f t="shared" si="94"/>
        <v>0</v>
      </c>
      <c r="ET45" s="52">
        <f t="shared" si="94"/>
        <v>0</v>
      </c>
      <c r="EU45" s="52">
        <f t="shared" si="94"/>
        <v>0</v>
      </c>
      <c r="EV45" s="52">
        <f t="shared" si="94"/>
        <v>0</v>
      </c>
      <c r="EW45" s="52">
        <f t="shared" si="94"/>
        <v>0</v>
      </c>
      <c r="EX45" s="52">
        <f t="shared" si="94"/>
        <v>0</v>
      </c>
      <c r="EY45" s="52">
        <f t="shared" si="94"/>
        <v>0</v>
      </c>
      <c r="EZ45" s="52">
        <f t="shared" si="94"/>
        <v>0</v>
      </c>
      <c r="FA45" s="52">
        <f t="shared" si="94"/>
        <v>0</v>
      </c>
      <c r="FB45" s="52">
        <f t="shared" si="94"/>
        <v>0</v>
      </c>
      <c r="FC45" s="52">
        <f t="shared" si="94"/>
        <v>0</v>
      </c>
      <c r="FD45" s="52">
        <f t="shared" si="94"/>
        <v>0</v>
      </c>
    </row>
    <row r="46" spans="2:160">
      <c r="B46" s="51" t="s">
        <v>124</v>
      </c>
      <c r="C46" s="52">
        <f ca="1">IF(Startup!$C$3="Project",SUMIF(Startup!$C$7:$D$27,Overview!B46,Startup!$D$7:$D$27),(SUMIF(Startup!$C$7:$D$27,Overview!B46,Startup!$D$7:$D$27)*Startup!$C$4))+IF(Pilot!$C$3="Project",SUMIF(Pilot!$C$7:$D$27,Overview!B46,Pilot!$D$7:$D$27),(SUMIF(Pilot!$C$7:$D$27,Overview!B46,Pilot!$D$7:$D$27)*Pilot!$C$4))+IF(PMO!$C$3="Project",SUMIF(PMO!$C$7:$D$27,Overview!B46,PMO!$D$7:$D$27),(SUMIF(PMO!$C$7:$D$27,Overview!B46,PMO!$D$7:$D$27)*PMO!$C$4))+IF('Design &amp; Fulfillment'!$C$3="Project",SUMIF('Design &amp; Fulfillment'!$C$7:$D$27,Overview!B46,'Design &amp; Fulfillment'!$D$7:$D$27),(SUMIF('Design &amp; Fulfillment'!$C$7:$D$27,Overview!B46,'Design &amp; Fulfillment'!$D$7:$D$27)*'Design &amp; Fulfillment'!$C$4))+IF(Workplace!$C$3="Project",SUMIF(Workplace!$C$7:$D$27,Overview!B46,Workplace!$D$7:$D$27),(SUMIF(Workplace!$C$7:$D$27,Overview!B46,Workplace!$D$7:$D$27)*Workplace!$C$4))+IF(Integration!$C$3="Project",SUMIF(Integration!$C$7:$D$27,Overview!B46,Integration!$D$7:$D$27),(SUMIF(Integration!$C$7:$D$27,Overview!B46,Integration!$D$7:$D$27)*Integration!$C$4))+IF(Logistics!$C$3="Project",SUMIF(Logistics!$C$7:$D$27,Overview!B46,Logistics!$D$7:$D$27),(SUMIF(Logistics!$C$7:$D$27,Overview!B46,Logistics!$D$7:$D$27)*Logistics!$C$4))+IF('Service Desk'!$C$3="Project",SUMIF('Service Desk'!$C$7:$D$27,Overview!B46,'Service Desk'!$D$7:$D$27),(SUMIF('Service Desk'!$C$7:$D$27,Overview!B46,'Service Desk'!$D$7:$D$27)*'Service Desk'!$C$4))+IF('Pro Services'!$C$3="Project",SUMIF('Pro Services'!$C$7:$D$27,Overview!B46,'Pro Services'!$D$7:$D$27),(SUMIF('Pro Services'!$C$7:$D$27,Overview!B46,'Pro Services'!$D$7:$D$27)*'Pro Services'!$C$4))</f>
        <v>0</v>
      </c>
      <c r="D46" s="53">
        <f ca="1">IF(Startup!$C$3="Project",SUMIF(Startup!$C$7:$H$27,Overview!B46,Startup!$H$7:$H$27),(SUMIF(Startup!$C$7:$H$27,Overview!B46,Startup!$H$7:$H$27)*Startup!$C$4))+IF(Pilot!$C$3="Project",SUMIF(Pilot!$C$7:$H$27,Overview!B46,Pilot!$H$7:$H$27),(SUMIF(Pilot!$C$7:$H$27,Overview!B46,Pilot!$H$7:$H$27)*Pilot!$C$4))+IF(PMO!$C$3="Project",SUMIF(PMO!$C$7:$H$27,Overview!B46,PMO!$H$7:$H$27),(SUMIF(PMO!$C$7:$H$27,Overview!B46,PMO!$H$7:$H$27)*PMO!$C$4))+IF('Design &amp; Fulfillment'!$C$3="Project",SUMIF('Design &amp; Fulfillment'!$C$7:$H$27,Overview!B46,'Design &amp; Fulfillment'!$H$7:$H$27),(SUMIF('Design &amp; Fulfillment'!$C$7:$H$27,Overview!B46,'Design &amp; Fulfillment'!$H$7:$H$27)*'Design &amp; Fulfillment'!$C$4))+IF(Workplace!$C$3="Project",SUMIF(Workplace!$C$7:$H$27,Overview!B46,Workplace!$H$7:$H$27),(SUMIF(Workplace!$C$7:$H$27,Overview!B46,Workplace!$H$7:$H$27)*Workplace!$C$4))+IF(Integration!$C$3="Project",SUMIF(Integration!$C$7:$H$27,Overview!B46,Integration!$H$7:$H$27),(SUMIF(Integration!$C$7:$H$27,Overview!B46,Integration!$H$7:$H$27)*Integration!$C$4))+IF(Logistics!$C$3="Project",SUMIF(Logistics!$C$7:$H$27,Overview!B46,Logistics!$H$7:$H$27),(SUMIF(Logistics!$C$7:$H$27,Overview!B46,Logistics!$H$7:$H$27)*Logistics!$C$4))+IF('Service Desk'!$C$3="Project",SUMIF('Service Desk'!$C$7:$H$27,Overview!B46,'Service Desk'!$H$7:$H$27),(SUMIF('Service Desk'!$C$7:$H$27,Overview!B46,'Service Desk'!$H$7:$H$27)*'Service Desk'!$C$4))+IF('Pro Services'!$C$3="Project",SUMIF('Pro Services'!$C$7:$H$27,Overview!B46,'Pro Services'!$H$7:$H$27),(SUMIF('Pro Services'!$C$7:$H$27,Overview!B46,'Pro Services'!$H$7:$H$27)*'Pro Services'!$C$4))</f>
        <v>0</v>
      </c>
      <c r="E46" s="52">
        <f t="shared" ca="1" si="19"/>
        <v>0</v>
      </c>
      <c r="F46" s="52">
        <f t="shared" ref="F46:AK46" si="95">IFERROR(IF(F$28="FALSE",0,$C$46/$C$8),0)</f>
        <v>0</v>
      </c>
      <c r="G46" s="52">
        <f t="shared" si="95"/>
        <v>0</v>
      </c>
      <c r="H46" s="52">
        <f t="shared" si="95"/>
        <v>0</v>
      </c>
      <c r="I46" s="52">
        <f t="shared" si="95"/>
        <v>0</v>
      </c>
      <c r="J46" s="52">
        <f t="shared" si="95"/>
        <v>0</v>
      </c>
      <c r="K46" s="52">
        <f t="shared" si="95"/>
        <v>0</v>
      </c>
      <c r="L46" s="52">
        <f t="shared" si="95"/>
        <v>0</v>
      </c>
      <c r="M46" s="52">
        <f t="shared" si="95"/>
        <v>0</v>
      </c>
      <c r="N46" s="52">
        <f t="shared" si="95"/>
        <v>0</v>
      </c>
      <c r="O46" s="52">
        <f t="shared" si="95"/>
        <v>0</v>
      </c>
      <c r="P46" s="52">
        <f t="shared" si="95"/>
        <v>0</v>
      </c>
      <c r="Q46" s="52">
        <f t="shared" si="95"/>
        <v>0</v>
      </c>
      <c r="R46" s="52">
        <f t="shared" si="95"/>
        <v>0</v>
      </c>
      <c r="S46" s="52">
        <f t="shared" si="95"/>
        <v>0</v>
      </c>
      <c r="T46" s="52">
        <f t="shared" si="95"/>
        <v>0</v>
      </c>
      <c r="U46" s="52">
        <f t="shared" si="95"/>
        <v>0</v>
      </c>
      <c r="V46" s="52">
        <f t="shared" si="95"/>
        <v>0</v>
      </c>
      <c r="W46" s="52">
        <f t="shared" si="95"/>
        <v>0</v>
      </c>
      <c r="X46" s="52">
        <f t="shared" si="95"/>
        <v>0</v>
      </c>
      <c r="Y46" s="52">
        <f t="shared" si="95"/>
        <v>0</v>
      </c>
      <c r="Z46" s="52">
        <f t="shared" si="95"/>
        <v>0</v>
      </c>
      <c r="AA46" s="52">
        <f t="shared" si="95"/>
        <v>0</v>
      </c>
      <c r="AB46" s="52">
        <f t="shared" si="95"/>
        <v>0</v>
      </c>
      <c r="AC46" s="52">
        <f t="shared" si="95"/>
        <v>0</v>
      </c>
      <c r="AD46" s="52">
        <f t="shared" si="95"/>
        <v>0</v>
      </c>
      <c r="AE46" s="52">
        <f t="shared" si="95"/>
        <v>0</v>
      </c>
      <c r="AF46" s="52">
        <f t="shared" si="95"/>
        <v>0</v>
      </c>
      <c r="AG46" s="52">
        <f t="shared" si="95"/>
        <v>0</v>
      </c>
      <c r="AH46" s="52">
        <f t="shared" si="95"/>
        <v>0</v>
      </c>
      <c r="AI46" s="52">
        <f t="shared" si="95"/>
        <v>0</v>
      </c>
      <c r="AJ46" s="52">
        <f t="shared" si="95"/>
        <v>0</v>
      </c>
      <c r="AK46" s="52">
        <f t="shared" si="95"/>
        <v>0</v>
      </c>
      <c r="AL46" s="52">
        <f t="shared" ref="AL46:BQ46" si="96">IFERROR(IF(AL$28="FALSE",0,$C$46/$C$8),0)</f>
        <v>0</v>
      </c>
      <c r="AM46" s="52">
        <f t="shared" si="96"/>
        <v>0</v>
      </c>
      <c r="AN46" s="52">
        <f t="shared" si="96"/>
        <v>0</v>
      </c>
      <c r="AO46" s="52">
        <f t="shared" si="96"/>
        <v>0</v>
      </c>
      <c r="AP46" s="52">
        <f t="shared" si="96"/>
        <v>0</v>
      </c>
      <c r="AQ46" s="52">
        <f t="shared" si="96"/>
        <v>0</v>
      </c>
      <c r="AR46" s="52">
        <f t="shared" si="96"/>
        <v>0</v>
      </c>
      <c r="AS46" s="52">
        <f t="shared" si="96"/>
        <v>0</v>
      </c>
      <c r="AT46" s="52">
        <f t="shared" si="96"/>
        <v>0</v>
      </c>
      <c r="AU46" s="52">
        <f t="shared" si="96"/>
        <v>0</v>
      </c>
      <c r="AV46" s="52">
        <f t="shared" si="96"/>
        <v>0</v>
      </c>
      <c r="AW46" s="52">
        <f t="shared" si="96"/>
        <v>0</v>
      </c>
      <c r="AX46" s="52">
        <f t="shared" si="96"/>
        <v>0</v>
      </c>
      <c r="AY46" s="52">
        <f t="shared" si="96"/>
        <v>0</v>
      </c>
      <c r="AZ46" s="52">
        <f t="shared" si="96"/>
        <v>0</v>
      </c>
      <c r="BA46" s="52">
        <f t="shared" si="96"/>
        <v>0</v>
      </c>
      <c r="BB46" s="52">
        <f t="shared" si="96"/>
        <v>0</v>
      </c>
      <c r="BC46" s="52">
        <f t="shared" si="96"/>
        <v>0</v>
      </c>
      <c r="BD46" s="52">
        <f t="shared" si="96"/>
        <v>0</v>
      </c>
      <c r="BE46" s="52">
        <f t="shared" si="96"/>
        <v>0</v>
      </c>
      <c r="BF46" s="52">
        <f t="shared" si="96"/>
        <v>0</v>
      </c>
      <c r="BG46" s="52">
        <f t="shared" si="96"/>
        <v>0</v>
      </c>
      <c r="BH46" s="52">
        <f t="shared" si="96"/>
        <v>0</v>
      </c>
      <c r="BI46" s="52">
        <f t="shared" si="96"/>
        <v>0</v>
      </c>
      <c r="BJ46" s="52">
        <f t="shared" si="96"/>
        <v>0</v>
      </c>
      <c r="BK46" s="52">
        <f t="shared" si="96"/>
        <v>0</v>
      </c>
      <c r="BL46" s="52">
        <f t="shared" si="96"/>
        <v>0</v>
      </c>
      <c r="BM46" s="52">
        <f t="shared" si="96"/>
        <v>0</v>
      </c>
      <c r="BN46" s="52">
        <f t="shared" si="96"/>
        <v>0</v>
      </c>
      <c r="BO46" s="52">
        <f t="shared" si="96"/>
        <v>0</v>
      </c>
      <c r="BP46" s="52">
        <f t="shared" si="96"/>
        <v>0</v>
      </c>
      <c r="BQ46" s="52">
        <f t="shared" si="96"/>
        <v>0</v>
      </c>
      <c r="BR46" s="52">
        <f t="shared" ref="BR46:CW46" si="97">IFERROR(IF(BR$28="FALSE",0,$C$46/$C$8),0)</f>
        <v>0</v>
      </c>
      <c r="BS46" s="52">
        <f t="shared" si="97"/>
        <v>0</v>
      </c>
      <c r="BT46" s="52">
        <f t="shared" si="97"/>
        <v>0</v>
      </c>
      <c r="BU46" s="52">
        <f t="shared" si="97"/>
        <v>0</v>
      </c>
      <c r="BV46" s="52">
        <f t="shared" si="97"/>
        <v>0</v>
      </c>
      <c r="BW46" s="52">
        <f t="shared" si="97"/>
        <v>0</v>
      </c>
      <c r="BX46" s="52">
        <f t="shared" si="97"/>
        <v>0</v>
      </c>
      <c r="BY46" s="52">
        <f t="shared" si="97"/>
        <v>0</v>
      </c>
      <c r="BZ46" s="52">
        <f t="shared" si="97"/>
        <v>0</v>
      </c>
      <c r="CA46" s="52">
        <f t="shared" si="97"/>
        <v>0</v>
      </c>
      <c r="CB46" s="52">
        <f t="shared" si="97"/>
        <v>0</v>
      </c>
      <c r="CC46" s="52">
        <f t="shared" si="97"/>
        <v>0</v>
      </c>
      <c r="CD46" s="52">
        <f t="shared" si="97"/>
        <v>0</v>
      </c>
      <c r="CE46" s="52">
        <f t="shared" si="97"/>
        <v>0</v>
      </c>
      <c r="CF46" s="52">
        <f t="shared" si="97"/>
        <v>0</v>
      </c>
      <c r="CG46" s="52">
        <f t="shared" si="97"/>
        <v>0</v>
      </c>
      <c r="CH46" s="52">
        <f t="shared" si="97"/>
        <v>0</v>
      </c>
      <c r="CI46" s="52">
        <f t="shared" si="97"/>
        <v>0</v>
      </c>
      <c r="CJ46" s="52">
        <f t="shared" si="97"/>
        <v>0</v>
      </c>
      <c r="CK46" s="52">
        <f t="shared" si="97"/>
        <v>0</v>
      </c>
      <c r="CL46" s="52">
        <f t="shared" si="97"/>
        <v>0</v>
      </c>
      <c r="CM46" s="52">
        <f t="shared" si="97"/>
        <v>0</v>
      </c>
      <c r="CN46" s="52">
        <f t="shared" si="97"/>
        <v>0</v>
      </c>
      <c r="CO46" s="52">
        <f t="shared" si="97"/>
        <v>0</v>
      </c>
      <c r="CP46" s="52">
        <f t="shared" si="97"/>
        <v>0</v>
      </c>
      <c r="CQ46" s="52">
        <f t="shared" si="97"/>
        <v>0</v>
      </c>
      <c r="CR46" s="52">
        <f t="shared" si="97"/>
        <v>0</v>
      </c>
      <c r="CS46" s="52">
        <f t="shared" si="97"/>
        <v>0</v>
      </c>
      <c r="CT46" s="52">
        <f t="shared" si="97"/>
        <v>0</v>
      </c>
      <c r="CU46" s="52">
        <f t="shared" si="97"/>
        <v>0</v>
      </c>
      <c r="CV46" s="52">
        <f t="shared" si="97"/>
        <v>0</v>
      </c>
      <c r="CW46" s="52">
        <f t="shared" si="97"/>
        <v>0</v>
      </c>
      <c r="CX46" s="52">
        <f t="shared" ref="CX46:EC46" si="98">IFERROR(IF(CX$28="FALSE",0,$C$46/$C$8),0)</f>
        <v>0</v>
      </c>
      <c r="CY46" s="52">
        <f t="shared" si="98"/>
        <v>0</v>
      </c>
      <c r="CZ46" s="52">
        <f t="shared" si="98"/>
        <v>0</v>
      </c>
      <c r="DA46" s="52">
        <f t="shared" si="98"/>
        <v>0</v>
      </c>
      <c r="DB46" s="52">
        <f t="shared" si="98"/>
        <v>0</v>
      </c>
      <c r="DC46" s="52">
        <f t="shared" si="98"/>
        <v>0</v>
      </c>
      <c r="DD46" s="52">
        <f t="shared" si="98"/>
        <v>0</v>
      </c>
      <c r="DE46" s="52">
        <f t="shared" si="98"/>
        <v>0</v>
      </c>
      <c r="DF46" s="52">
        <f t="shared" si="98"/>
        <v>0</v>
      </c>
      <c r="DG46" s="52">
        <f t="shared" si="98"/>
        <v>0</v>
      </c>
      <c r="DH46" s="52">
        <f t="shared" si="98"/>
        <v>0</v>
      </c>
      <c r="DI46" s="52">
        <f t="shared" si="98"/>
        <v>0</v>
      </c>
      <c r="DJ46" s="52">
        <f t="shared" si="98"/>
        <v>0</v>
      </c>
      <c r="DK46" s="52">
        <f t="shared" si="98"/>
        <v>0</v>
      </c>
      <c r="DL46" s="52">
        <f t="shared" si="98"/>
        <v>0</v>
      </c>
      <c r="DM46" s="52">
        <f t="shared" si="98"/>
        <v>0</v>
      </c>
      <c r="DN46" s="52">
        <f t="shared" si="98"/>
        <v>0</v>
      </c>
      <c r="DO46" s="52">
        <f t="shared" si="98"/>
        <v>0</v>
      </c>
      <c r="DP46" s="52">
        <f t="shared" si="98"/>
        <v>0</v>
      </c>
      <c r="DQ46" s="52">
        <f t="shared" si="98"/>
        <v>0</v>
      </c>
      <c r="DR46" s="52">
        <f t="shared" si="98"/>
        <v>0</v>
      </c>
      <c r="DS46" s="52">
        <f t="shared" si="98"/>
        <v>0</v>
      </c>
      <c r="DT46" s="52">
        <f t="shared" si="98"/>
        <v>0</v>
      </c>
      <c r="DU46" s="52">
        <f t="shared" si="98"/>
        <v>0</v>
      </c>
      <c r="DV46" s="52">
        <f t="shared" si="98"/>
        <v>0</v>
      </c>
      <c r="DW46" s="52">
        <f t="shared" si="98"/>
        <v>0</v>
      </c>
      <c r="DX46" s="52">
        <f t="shared" si="98"/>
        <v>0</v>
      </c>
      <c r="DY46" s="52">
        <f t="shared" si="98"/>
        <v>0</v>
      </c>
      <c r="DZ46" s="52">
        <f t="shared" si="98"/>
        <v>0</v>
      </c>
      <c r="EA46" s="52">
        <f t="shared" si="98"/>
        <v>0</v>
      </c>
      <c r="EB46" s="52">
        <f t="shared" si="98"/>
        <v>0</v>
      </c>
      <c r="EC46" s="52">
        <f t="shared" si="98"/>
        <v>0</v>
      </c>
      <c r="ED46" s="52">
        <f t="shared" ref="ED46:FD46" si="99">IFERROR(IF(ED$28="FALSE",0,$C$46/$C$8),0)</f>
        <v>0</v>
      </c>
      <c r="EE46" s="52">
        <f t="shared" si="99"/>
        <v>0</v>
      </c>
      <c r="EF46" s="52">
        <f t="shared" si="99"/>
        <v>0</v>
      </c>
      <c r="EG46" s="52">
        <f t="shared" si="99"/>
        <v>0</v>
      </c>
      <c r="EH46" s="52">
        <f t="shared" si="99"/>
        <v>0</v>
      </c>
      <c r="EI46" s="52">
        <f t="shared" si="99"/>
        <v>0</v>
      </c>
      <c r="EJ46" s="52">
        <f t="shared" si="99"/>
        <v>0</v>
      </c>
      <c r="EK46" s="52">
        <f t="shared" si="99"/>
        <v>0</v>
      </c>
      <c r="EL46" s="52">
        <f t="shared" si="99"/>
        <v>0</v>
      </c>
      <c r="EM46" s="52">
        <f t="shared" si="99"/>
        <v>0</v>
      </c>
      <c r="EN46" s="52">
        <f t="shared" si="99"/>
        <v>0</v>
      </c>
      <c r="EO46" s="52">
        <f t="shared" si="99"/>
        <v>0</v>
      </c>
      <c r="EP46" s="52">
        <f t="shared" si="99"/>
        <v>0</v>
      </c>
      <c r="EQ46" s="52">
        <f t="shared" si="99"/>
        <v>0</v>
      </c>
      <c r="ER46" s="52">
        <f t="shared" si="99"/>
        <v>0</v>
      </c>
      <c r="ES46" s="52">
        <f t="shared" si="99"/>
        <v>0</v>
      </c>
      <c r="ET46" s="52">
        <f t="shared" si="99"/>
        <v>0</v>
      </c>
      <c r="EU46" s="52">
        <f t="shared" si="99"/>
        <v>0</v>
      </c>
      <c r="EV46" s="52">
        <f t="shared" si="99"/>
        <v>0</v>
      </c>
      <c r="EW46" s="52">
        <f t="shared" si="99"/>
        <v>0</v>
      </c>
      <c r="EX46" s="52">
        <f t="shared" si="99"/>
        <v>0</v>
      </c>
      <c r="EY46" s="52">
        <f t="shared" si="99"/>
        <v>0</v>
      </c>
      <c r="EZ46" s="52">
        <f t="shared" si="99"/>
        <v>0</v>
      </c>
      <c r="FA46" s="52">
        <f t="shared" si="99"/>
        <v>0</v>
      </c>
      <c r="FB46" s="52">
        <f t="shared" si="99"/>
        <v>0</v>
      </c>
      <c r="FC46" s="52">
        <f t="shared" si="99"/>
        <v>0</v>
      </c>
      <c r="FD46" s="52">
        <f t="shared" si="99"/>
        <v>0</v>
      </c>
    </row>
    <row r="47" spans="2:160">
      <c r="B47" s="51" t="s">
        <v>125</v>
      </c>
      <c r="C47" s="52">
        <f ca="1">IF(Startup!$C$3="Project",SUMIF(Startup!$C$7:$D$27,Overview!B47,Startup!$D$7:$D$27),(SUMIF(Startup!$C$7:$D$27,Overview!B47,Startup!$D$7:$D$27)*Startup!$C$4))+IF(Pilot!$C$3="Project",SUMIF(Pilot!$C$7:$D$27,Overview!B47,Pilot!$D$7:$D$27),(SUMIF(Pilot!$C$7:$D$27,Overview!B47,Pilot!$D$7:$D$27)*Pilot!$C$4))+IF(PMO!$C$3="Project",SUMIF(PMO!$C$7:$D$27,Overview!B47,PMO!$D$7:$D$27),(SUMIF(PMO!$C$7:$D$27,Overview!B47,PMO!$D$7:$D$27)*PMO!$C$4))+IF('Design &amp; Fulfillment'!$C$3="Project",SUMIF('Design &amp; Fulfillment'!$C$7:$D$27,Overview!B47,'Design &amp; Fulfillment'!$D$7:$D$27),(SUMIF('Design &amp; Fulfillment'!$C$7:$D$27,Overview!B47,'Design &amp; Fulfillment'!$D$7:$D$27)*'Design &amp; Fulfillment'!$C$4))+IF(Workplace!$C$3="Project",SUMIF(Workplace!$C$7:$D$27,Overview!B47,Workplace!$D$7:$D$27),(SUMIF(Workplace!$C$7:$D$27,Overview!B47,Workplace!$D$7:$D$27)*Workplace!$C$4))+IF(Integration!$C$3="Project",SUMIF(Integration!$C$7:$D$27,Overview!B47,Integration!$D$7:$D$27),(SUMIF(Integration!$C$7:$D$27,Overview!B47,Integration!$D$7:$D$27)*Integration!$C$4))+IF(Logistics!$C$3="Project",SUMIF(Logistics!$C$7:$D$27,Overview!B47,Logistics!$D$7:$D$27),(SUMIF(Logistics!$C$7:$D$27,Overview!B47,Logistics!$D$7:$D$27)*Logistics!$C$4))+IF('Service Desk'!$C$3="Project",SUMIF('Service Desk'!$C$7:$D$27,Overview!B47,'Service Desk'!$D$7:$D$27),(SUMIF('Service Desk'!$C$7:$D$27,Overview!B47,'Service Desk'!$D$7:$D$27)*'Service Desk'!$C$4))+IF('Pro Services'!$C$3="Project",SUMIF('Pro Services'!$C$7:$D$27,Overview!B47,'Pro Services'!$D$7:$D$27),(SUMIF('Pro Services'!$C$7:$D$27,Overview!B47,'Pro Services'!$D$7:$D$27)*'Pro Services'!$C$4))</f>
        <v>0</v>
      </c>
      <c r="D47" s="53">
        <f ca="1">IF(Startup!$C$3="Project",SUMIF(Startup!$C$7:$H$27,Overview!B47,Startup!$H$7:$H$27),(SUMIF(Startup!$C$7:$H$27,Overview!B47,Startup!$H$7:$H$27)*Startup!$C$4))+IF(Pilot!$C$3="Project",SUMIF(Pilot!$C$7:$H$27,Overview!B47,Pilot!$H$7:$H$27),(SUMIF(Pilot!$C$7:$H$27,Overview!B47,Pilot!$H$7:$H$27)*Pilot!$C$4))+IF(PMO!$C$3="Project",SUMIF(PMO!$C$7:$H$27,Overview!B47,PMO!$H$7:$H$27),(SUMIF(PMO!$C$7:$H$27,Overview!B47,PMO!$H$7:$H$27)*PMO!$C$4))+IF('Design &amp; Fulfillment'!$C$3="Project",SUMIF('Design &amp; Fulfillment'!$C$7:$H$27,Overview!B47,'Design &amp; Fulfillment'!$H$7:$H$27),(SUMIF('Design &amp; Fulfillment'!$C$7:$H$27,Overview!B47,'Design &amp; Fulfillment'!$H$7:$H$27)*'Design &amp; Fulfillment'!$C$4))+IF(Workplace!$C$3="Project",SUMIF(Workplace!$C$7:$H$27,Overview!B47,Workplace!$H$7:$H$27),(SUMIF(Workplace!$C$7:$H$27,Overview!B47,Workplace!$H$7:$H$27)*Workplace!$C$4))+IF(Integration!$C$3="Project",SUMIF(Integration!$C$7:$H$27,Overview!B47,Integration!$H$7:$H$27),(SUMIF(Integration!$C$7:$H$27,Overview!B47,Integration!$H$7:$H$27)*Integration!$C$4))+IF(Logistics!$C$3="Project",SUMIF(Logistics!$C$7:$H$27,Overview!B47,Logistics!$H$7:$H$27),(SUMIF(Logistics!$C$7:$H$27,Overview!B47,Logistics!$H$7:$H$27)*Logistics!$C$4))+IF('Service Desk'!$C$3="Project",SUMIF('Service Desk'!$C$7:$H$27,Overview!B47,'Service Desk'!$H$7:$H$27),(SUMIF('Service Desk'!$C$7:$H$27,Overview!B47,'Service Desk'!$H$7:$H$27)*'Service Desk'!$C$4))+IF('Pro Services'!$C$3="Project",SUMIF('Pro Services'!$C$7:$H$27,Overview!B47,'Pro Services'!$H$7:$H$27),(SUMIF('Pro Services'!$C$7:$H$27,Overview!B47,'Pro Services'!$H$7:$H$27)*'Pro Services'!$C$4))</f>
        <v>0</v>
      </c>
      <c r="E47" s="52">
        <f t="shared" ca="1" si="19"/>
        <v>0</v>
      </c>
      <c r="F47" s="52">
        <f t="shared" ref="F47:AK47" si="100">IFERROR(IF(F$28="FALSE",0,$C$47/$C$8),0)</f>
        <v>0</v>
      </c>
      <c r="G47" s="52">
        <f t="shared" si="100"/>
        <v>0</v>
      </c>
      <c r="H47" s="52">
        <f t="shared" si="100"/>
        <v>0</v>
      </c>
      <c r="I47" s="52">
        <f t="shared" si="100"/>
        <v>0</v>
      </c>
      <c r="J47" s="52">
        <f t="shared" si="100"/>
        <v>0</v>
      </c>
      <c r="K47" s="52">
        <f t="shared" si="100"/>
        <v>0</v>
      </c>
      <c r="L47" s="52">
        <f t="shared" si="100"/>
        <v>0</v>
      </c>
      <c r="M47" s="52">
        <f t="shared" si="100"/>
        <v>0</v>
      </c>
      <c r="N47" s="52">
        <f t="shared" si="100"/>
        <v>0</v>
      </c>
      <c r="O47" s="52">
        <f t="shared" si="100"/>
        <v>0</v>
      </c>
      <c r="P47" s="52">
        <f t="shared" si="100"/>
        <v>0</v>
      </c>
      <c r="Q47" s="52">
        <f t="shared" si="100"/>
        <v>0</v>
      </c>
      <c r="R47" s="52">
        <f t="shared" si="100"/>
        <v>0</v>
      </c>
      <c r="S47" s="52">
        <f t="shared" si="100"/>
        <v>0</v>
      </c>
      <c r="T47" s="52">
        <f t="shared" si="100"/>
        <v>0</v>
      </c>
      <c r="U47" s="52">
        <f t="shared" si="100"/>
        <v>0</v>
      </c>
      <c r="V47" s="52">
        <f t="shared" si="100"/>
        <v>0</v>
      </c>
      <c r="W47" s="52">
        <f t="shared" si="100"/>
        <v>0</v>
      </c>
      <c r="X47" s="52">
        <f t="shared" si="100"/>
        <v>0</v>
      </c>
      <c r="Y47" s="52">
        <f t="shared" si="100"/>
        <v>0</v>
      </c>
      <c r="Z47" s="52">
        <f t="shared" si="100"/>
        <v>0</v>
      </c>
      <c r="AA47" s="52">
        <f t="shared" si="100"/>
        <v>0</v>
      </c>
      <c r="AB47" s="52">
        <f t="shared" si="100"/>
        <v>0</v>
      </c>
      <c r="AC47" s="52">
        <f t="shared" si="100"/>
        <v>0</v>
      </c>
      <c r="AD47" s="52">
        <f t="shared" si="100"/>
        <v>0</v>
      </c>
      <c r="AE47" s="52">
        <f t="shared" si="100"/>
        <v>0</v>
      </c>
      <c r="AF47" s="52">
        <f t="shared" si="100"/>
        <v>0</v>
      </c>
      <c r="AG47" s="52">
        <f t="shared" si="100"/>
        <v>0</v>
      </c>
      <c r="AH47" s="52">
        <f t="shared" si="100"/>
        <v>0</v>
      </c>
      <c r="AI47" s="52">
        <f t="shared" si="100"/>
        <v>0</v>
      </c>
      <c r="AJ47" s="52">
        <f t="shared" si="100"/>
        <v>0</v>
      </c>
      <c r="AK47" s="52">
        <f t="shared" si="100"/>
        <v>0</v>
      </c>
      <c r="AL47" s="52">
        <f t="shared" ref="AL47:BQ47" si="101">IFERROR(IF(AL$28="FALSE",0,$C$47/$C$8),0)</f>
        <v>0</v>
      </c>
      <c r="AM47" s="52">
        <f t="shared" si="101"/>
        <v>0</v>
      </c>
      <c r="AN47" s="52">
        <f t="shared" si="101"/>
        <v>0</v>
      </c>
      <c r="AO47" s="52">
        <f t="shared" si="101"/>
        <v>0</v>
      </c>
      <c r="AP47" s="52">
        <f t="shared" si="101"/>
        <v>0</v>
      </c>
      <c r="AQ47" s="52">
        <f t="shared" si="101"/>
        <v>0</v>
      </c>
      <c r="AR47" s="52">
        <f t="shared" si="101"/>
        <v>0</v>
      </c>
      <c r="AS47" s="52">
        <f t="shared" si="101"/>
        <v>0</v>
      </c>
      <c r="AT47" s="52">
        <f t="shared" si="101"/>
        <v>0</v>
      </c>
      <c r="AU47" s="52">
        <f t="shared" si="101"/>
        <v>0</v>
      </c>
      <c r="AV47" s="52">
        <f t="shared" si="101"/>
        <v>0</v>
      </c>
      <c r="AW47" s="52">
        <f t="shared" si="101"/>
        <v>0</v>
      </c>
      <c r="AX47" s="52">
        <f t="shared" si="101"/>
        <v>0</v>
      </c>
      <c r="AY47" s="52">
        <f t="shared" si="101"/>
        <v>0</v>
      </c>
      <c r="AZ47" s="52">
        <f t="shared" si="101"/>
        <v>0</v>
      </c>
      <c r="BA47" s="52">
        <f t="shared" si="101"/>
        <v>0</v>
      </c>
      <c r="BB47" s="52">
        <f t="shared" si="101"/>
        <v>0</v>
      </c>
      <c r="BC47" s="52">
        <f t="shared" si="101"/>
        <v>0</v>
      </c>
      <c r="BD47" s="52">
        <f t="shared" si="101"/>
        <v>0</v>
      </c>
      <c r="BE47" s="52">
        <f t="shared" si="101"/>
        <v>0</v>
      </c>
      <c r="BF47" s="52">
        <f t="shared" si="101"/>
        <v>0</v>
      </c>
      <c r="BG47" s="52">
        <f t="shared" si="101"/>
        <v>0</v>
      </c>
      <c r="BH47" s="52">
        <f t="shared" si="101"/>
        <v>0</v>
      </c>
      <c r="BI47" s="52">
        <f t="shared" si="101"/>
        <v>0</v>
      </c>
      <c r="BJ47" s="52">
        <f t="shared" si="101"/>
        <v>0</v>
      </c>
      <c r="BK47" s="52">
        <f t="shared" si="101"/>
        <v>0</v>
      </c>
      <c r="BL47" s="52">
        <f t="shared" si="101"/>
        <v>0</v>
      </c>
      <c r="BM47" s="52">
        <f t="shared" si="101"/>
        <v>0</v>
      </c>
      <c r="BN47" s="52">
        <f t="shared" si="101"/>
        <v>0</v>
      </c>
      <c r="BO47" s="52">
        <f t="shared" si="101"/>
        <v>0</v>
      </c>
      <c r="BP47" s="52">
        <f t="shared" si="101"/>
        <v>0</v>
      </c>
      <c r="BQ47" s="52">
        <f t="shared" si="101"/>
        <v>0</v>
      </c>
      <c r="BR47" s="52">
        <f t="shared" ref="BR47:CW47" si="102">IFERROR(IF(BR$28="FALSE",0,$C$47/$C$8),0)</f>
        <v>0</v>
      </c>
      <c r="BS47" s="52">
        <f t="shared" si="102"/>
        <v>0</v>
      </c>
      <c r="BT47" s="52">
        <f t="shared" si="102"/>
        <v>0</v>
      </c>
      <c r="BU47" s="52">
        <f t="shared" si="102"/>
        <v>0</v>
      </c>
      <c r="BV47" s="52">
        <f t="shared" si="102"/>
        <v>0</v>
      </c>
      <c r="BW47" s="52">
        <f t="shared" si="102"/>
        <v>0</v>
      </c>
      <c r="BX47" s="52">
        <f t="shared" si="102"/>
        <v>0</v>
      </c>
      <c r="BY47" s="52">
        <f t="shared" si="102"/>
        <v>0</v>
      </c>
      <c r="BZ47" s="52">
        <f t="shared" si="102"/>
        <v>0</v>
      </c>
      <c r="CA47" s="52">
        <f t="shared" si="102"/>
        <v>0</v>
      </c>
      <c r="CB47" s="52">
        <f t="shared" si="102"/>
        <v>0</v>
      </c>
      <c r="CC47" s="52">
        <f t="shared" si="102"/>
        <v>0</v>
      </c>
      <c r="CD47" s="52">
        <f t="shared" si="102"/>
        <v>0</v>
      </c>
      <c r="CE47" s="52">
        <f t="shared" si="102"/>
        <v>0</v>
      </c>
      <c r="CF47" s="52">
        <f t="shared" si="102"/>
        <v>0</v>
      </c>
      <c r="CG47" s="52">
        <f t="shared" si="102"/>
        <v>0</v>
      </c>
      <c r="CH47" s="52">
        <f t="shared" si="102"/>
        <v>0</v>
      </c>
      <c r="CI47" s="52">
        <f t="shared" si="102"/>
        <v>0</v>
      </c>
      <c r="CJ47" s="52">
        <f t="shared" si="102"/>
        <v>0</v>
      </c>
      <c r="CK47" s="52">
        <f t="shared" si="102"/>
        <v>0</v>
      </c>
      <c r="CL47" s="52">
        <f t="shared" si="102"/>
        <v>0</v>
      </c>
      <c r="CM47" s="52">
        <f t="shared" si="102"/>
        <v>0</v>
      </c>
      <c r="CN47" s="52">
        <f t="shared" si="102"/>
        <v>0</v>
      </c>
      <c r="CO47" s="52">
        <f t="shared" si="102"/>
        <v>0</v>
      </c>
      <c r="CP47" s="52">
        <f t="shared" si="102"/>
        <v>0</v>
      </c>
      <c r="CQ47" s="52">
        <f t="shared" si="102"/>
        <v>0</v>
      </c>
      <c r="CR47" s="52">
        <f t="shared" si="102"/>
        <v>0</v>
      </c>
      <c r="CS47" s="52">
        <f t="shared" si="102"/>
        <v>0</v>
      </c>
      <c r="CT47" s="52">
        <f t="shared" si="102"/>
        <v>0</v>
      </c>
      <c r="CU47" s="52">
        <f t="shared" si="102"/>
        <v>0</v>
      </c>
      <c r="CV47" s="52">
        <f t="shared" si="102"/>
        <v>0</v>
      </c>
      <c r="CW47" s="52">
        <f t="shared" si="102"/>
        <v>0</v>
      </c>
      <c r="CX47" s="52">
        <f t="shared" ref="CX47:EC47" si="103">IFERROR(IF(CX$28="FALSE",0,$C$47/$C$8),0)</f>
        <v>0</v>
      </c>
      <c r="CY47" s="52">
        <f t="shared" si="103"/>
        <v>0</v>
      </c>
      <c r="CZ47" s="52">
        <f t="shared" si="103"/>
        <v>0</v>
      </c>
      <c r="DA47" s="52">
        <f t="shared" si="103"/>
        <v>0</v>
      </c>
      <c r="DB47" s="52">
        <f t="shared" si="103"/>
        <v>0</v>
      </c>
      <c r="DC47" s="52">
        <f t="shared" si="103"/>
        <v>0</v>
      </c>
      <c r="DD47" s="52">
        <f t="shared" si="103"/>
        <v>0</v>
      </c>
      <c r="DE47" s="52">
        <f t="shared" si="103"/>
        <v>0</v>
      </c>
      <c r="DF47" s="52">
        <f t="shared" si="103"/>
        <v>0</v>
      </c>
      <c r="DG47" s="52">
        <f t="shared" si="103"/>
        <v>0</v>
      </c>
      <c r="DH47" s="52">
        <f t="shared" si="103"/>
        <v>0</v>
      </c>
      <c r="DI47" s="52">
        <f t="shared" si="103"/>
        <v>0</v>
      </c>
      <c r="DJ47" s="52">
        <f t="shared" si="103"/>
        <v>0</v>
      </c>
      <c r="DK47" s="52">
        <f t="shared" si="103"/>
        <v>0</v>
      </c>
      <c r="DL47" s="52">
        <f t="shared" si="103"/>
        <v>0</v>
      </c>
      <c r="DM47" s="52">
        <f t="shared" si="103"/>
        <v>0</v>
      </c>
      <c r="DN47" s="52">
        <f t="shared" si="103"/>
        <v>0</v>
      </c>
      <c r="DO47" s="52">
        <f t="shared" si="103"/>
        <v>0</v>
      </c>
      <c r="DP47" s="52">
        <f t="shared" si="103"/>
        <v>0</v>
      </c>
      <c r="DQ47" s="52">
        <f t="shared" si="103"/>
        <v>0</v>
      </c>
      <c r="DR47" s="52">
        <f t="shared" si="103"/>
        <v>0</v>
      </c>
      <c r="DS47" s="52">
        <f t="shared" si="103"/>
        <v>0</v>
      </c>
      <c r="DT47" s="52">
        <f t="shared" si="103"/>
        <v>0</v>
      </c>
      <c r="DU47" s="52">
        <f t="shared" si="103"/>
        <v>0</v>
      </c>
      <c r="DV47" s="52">
        <f t="shared" si="103"/>
        <v>0</v>
      </c>
      <c r="DW47" s="52">
        <f t="shared" si="103"/>
        <v>0</v>
      </c>
      <c r="DX47" s="52">
        <f t="shared" si="103"/>
        <v>0</v>
      </c>
      <c r="DY47" s="52">
        <f t="shared" si="103"/>
        <v>0</v>
      </c>
      <c r="DZ47" s="52">
        <f t="shared" si="103"/>
        <v>0</v>
      </c>
      <c r="EA47" s="52">
        <f t="shared" si="103"/>
        <v>0</v>
      </c>
      <c r="EB47" s="52">
        <f t="shared" si="103"/>
        <v>0</v>
      </c>
      <c r="EC47" s="52">
        <f t="shared" si="103"/>
        <v>0</v>
      </c>
      <c r="ED47" s="52">
        <f t="shared" ref="ED47:FD47" si="104">IFERROR(IF(ED$28="FALSE",0,$C$47/$C$8),0)</f>
        <v>0</v>
      </c>
      <c r="EE47" s="52">
        <f t="shared" si="104"/>
        <v>0</v>
      </c>
      <c r="EF47" s="52">
        <f t="shared" si="104"/>
        <v>0</v>
      </c>
      <c r="EG47" s="52">
        <f t="shared" si="104"/>
        <v>0</v>
      </c>
      <c r="EH47" s="52">
        <f t="shared" si="104"/>
        <v>0</v>
      </c>
      <c r="EI47" s="52">
        <f t="shared" si="104"/>
        <v>0</v>
      </c>
      <c r="EJ47" s="52">
        <f t="shared" si="104"/>
        <v>0</v>
      </c>
      <c r="EK47" s="52">
        <f t="shared" si="104"/>
        <v>0</v>
      </c>
      <c r="EL47" s="52">
        <f t="shared" si="104"/>
        <v>0</v>
      </c>
      <c r="EM47" s="52">
        <f t="shared" si="104"/>
        <v>0</v>
      </c>
      <c r="EN47" s="52">
        <f t="shared" si="104"/>
        <v>0</v>
      </c>
      <c r="EO47" s="52">
        <f t="shared" si="104"/>
        <v>0</v>
      </c>
      <c r="EP47" s="52">
        <f t="shared" si="104"/>
        <v>0</v>
      </c>
      <c r="EQ47" s="52">
        <f t="shared" si="104"/>
        <v>0</v>
      </c>
      <c r="ER47" s="52">
        <f t="shared" si="104"/>
        <v>0</v>
      </c>
      <c r="ES47" s="52">
        <f t="shared" si="104"/>
        <v>0</v>
      </c>
      <c r="ET47" s="52">
        <f t="shared" si="104"/>
        <v>0</v>
      </c>
      <c r="EU47" s="52">
        <f t="shared" si="104"/>
        <v>0</v>
      </c>
      <c r="EV47" s="52">
        <f t="shared" si="104"/>
        <v>0</v>
      </c>
      <c r="EW47" s="52">
        <f t="shared" si="104"/>
        <v>0</v>
      </c>
      <c r="EX47" s="52">
        <f t="shared" si="104"/>
        <v>0</v>
      </c>
      <c r="EY47" s="52">
        <f t="shared" si="104"/>
        <v>0</v>
      </c>
      <c r="EZ47" s="52">
        <f t="shared" si="104"/>
        <v>0</v>
      </c>
      <c r="FA47" s="52">
        <f t="shared" si="104"/>
        <v>0</v>
      </c>
      <c r="FB47" s="52">
        <f t="shared" si="104"/>
        <v>0</v>
      </c>
      <c r="FC47" s="52">
        <f t="shared" si="104"/>
        <v>0</v>
      </c>
      <c r="FD47" s="52">
        <f t="shared" si="104"/>
        <v>0</v>
      </c>
    </row>
    <row r="48" spans="2:160">
      <c r="B48" s="51" t="s">
        <v>126</v>
      </c>
      <c r="C48" s="52">
        <f ca="1">IF(Startup!$C$3="Project",SUMIF(Startup!$C$7:$D$27,Overview!B48,Startup!$D$7:$D$27),(SUMIF(Startup!$C$7:$D$27,Overview!B48,Startup!$D$7:$D$27)*Startup!$C$4))+IF(Pilot!$C$3="Project",SUMIF(Pilot!$C$7:$D$27,Overview!B48,Pilot!$D$7:$D$27),(SUMIF(Pilot!$C$7:$D$27,Overview!B48,Pilot!$D$7:$D$27)*Pilot!$C$4))+IF(PMO!$C$3="Project",SUMIF(PMO!$C$7:$D$27,Overview!B48,PMO!$D$7:$D$27),(SUMIF(PMO!$C$7:$D$27,Overview!B48,PMO!$D$7:$D$27)*PMO!$C$4))+IF('Design &amp; Fulfillment'!$C$3="Project",SUMIF('Design &amp; Fulfillment'!$C$7:$D$27,Overview!B48,'Design &amp; Fulfillment'!$D$7:$D$27),(SUMIF('Design &amp; Fulfillment'!$C$7:$D$27,Overview!B48,'Design &amp; Fulfillment'!$D$7:$D$27)*'Design &amp; Fulfillment'!$C$4))+IF(Workplace!$C$3="Project",SUMIF(Workplace!$C$7:$D$27,Overview!B48,Workplace!$D$7:$D$27),(SUMIF(Workplace!$C$7:$D$27,Overview!B48,Workplace!$D$7:$D$27)*Workplace!$C$4))+IF(Integration!$C$3="Project",SUMIF(Integration!$C$7:$D$27,Overview!B48,Integration!$D$7:$D$27),(SUMIF(Integration!$C$7:$D$27,Overview!B48,Integration!$D$7:$D$27)*Integration!$C$4))+IF(Logistics!$C$3="Project",SUMIF(Logistics!$C$7:$D$27,Overview!B48,Logistics!$D$7:$D$27),(SUMIF(Logistics!$C$7:$D$27,Overview!B48,Logistics!$D$7:$D$27)*Logistics!$C$4))+IF('Service Desk'!$C$3="Project",SUMIF('Service Desk'!$C$7:$D$27,Overview!B48,'Service Desk'!$D$7:$D$27),(SUMIF('Service Desk'!$C$7:$D$27,Overview!B48,'Service Desk'!$D$7:$D$27)*'Service Desk'!$C$4))+IF('Pro Services'!$C$3="Project",SUMIF('Pro Services'!$C$7:$D$27,Overview!B48,'Pro Services'!$D$7:$D$27),(SUMIF('Pro Services'!$C$7:$D$27,Overview!B48,'Pro Services'!$D$7:$D$27)*'Pro Services'!$C$4))</f>
        <v>0</v>
      </c>
      <c r="D48" s="53">
        <f ca="1">IF(Startup!$C$3="Project",SUMIF(Startup!$C$7:$H$27,Overview!B48,Startup!$H$7:$H$27),(SUMIF(Startup!$C$7:$H$27,Overview!B48,Startup!$H$7:$H$27)*Startup!$C$4))+IF(Pilot!$C$3="Project",SUMIF(Pilot!$C$7:$H$27,Overview!B48,Pilot!$H$7:$H$27),(SUMIF(Pilot!$C$7:$H$27,Overview!B48,Pilot!$H$7:$H$27)*Pilot!$C$4))+IF(PMO!$C$3="Project",SUMIF(PMO!$C$7:$H$27,Overview!B48,PMO!$H$7:$H$27),(SUMIF(PMO!$C$7:$H$27,Overview!B48,PMO!$H$7:$H$27)*PMO!$C$4))+IF('Design &amp; Fulfillment'!$C$3="Project",SUMIF('Design &amp; Fulfillment'!$C$7:$H$27,Overview!B48,'Design &amp; Fulfillment'!$H$7:$H$27),(SUMIF('Design &amp; Fulfillment'!$C$7:$H$27,Overview!B48,'Design &amp; Fulfillment'!$H$7:$H$27)*'Design &amp; Fulfillment'!$C$4))+IF(Workplace!$C$3="Project",SUMIF(Workplace!$C$7:$H$27,Overview!B48,Workplace!$H$7:$H$27),(SUMIF(Workplace!$C$7:$H$27,Overview!B48,Workplace!$H$7:$H$27)*Workplace!$C$4))+IF(Integration!$C$3="Project",SUMIF(Integration!$C$7:$H$27,Overview!B48,Integration!$H$7:$H$27),(SUMIF(Integration!$C$7:$H$27,Overview!B48,Integration!$H$7:$H$27)*Integration!$C$4))+IF(Logistics!$C$3="Project",SUMIF(Logistics!$C$7:$H$27,Overview!B48,Logistics!$H$7:$H$27),(SUMIF(Logistics!$C$7:$H$27,Overview!B48,Logistics!$H$7:$H$27)*Logistics!$C$4))+IF('Service Desk'!$C$3="Project",SUMIF('Service Desk'!$C$7:$H$27,Overview!B48,'Service Desk'!$H$7:$H$27),(SUMIF('Service Desk'!$C$7:$H$27,Overview!B48,'Service Desk'!$H$7:$H$27)*'Service Desk'!$C$4))+IF('Pro Services'!$C$3="Project",SUMIF('Pro Services'!$C$7:$H$27,Overview!B48,'Pro Services'!$H$7:$H$27),(SUMIF('Pro Services'!$C$7:$H$27,Overview!B48,'Pro Services'!$H$7:$H$27)*'Pro Services'!$C$4))</f>
        <v>0</v>
      </c>
      <c r="E48" s="52">
        <f t="shared" ca="1" si="19"/>
        <v>0</v>
      </c>
      <c r="F48" s="52">
        <f t="shared" ref="F48:AK48" si="105">IFERROR(IF(F$28="FALSE",0,$C$48/$C$8),0)</f>
        <v>0</v>
      </c>
      <c r="G48" s="52">
        <f t="shared" si="105"/>
        <v>0</v>
      </c>
      <c r="H48" s="52">
        <f t="shared" si="105"/>
        <v>0</v>
      </c>
      <c r="I48" s="52">
        <f t="shared" si="105"/>
        <v>0</v>
      </c>
      <c r="J48" s="52">
        <f t="shared" si="105"/>
        <v>0</v>
      </c>
      <c r="K48" s="52">
        <f t="shared" si="105"/>
        <v>0</v>
      </c>
      <c r="L48" s="52">
        <f t="shared" si="105"/>
        <v>0</v>
      </c>
      <c r="M48" s="52">
        <f t="shared" si="105"/>
        <v>0</v>
      </c>
      <c r="N48" s="52">
        <f t="shared" si="105"/>
        <v>0</v>
      </c>
      <c r="O48" s="52">
        <f t="shared" si="105"/>
        <v>0</v>
      </c>
      <c r="P48" s="52">
        <f t="shared" si="105"/>
        <v>0</v>
      </c>
      <c r="Q48" s="52">
        <f t="shared" si="105"/>
        <v>0</v>
      </c>
      <c r="R48" s="52">
        <f t="shared" si="105"/>
        <v>0</v>
      </c>
      <c r="S48" s="52">
        <f t="shared" si="105"/>
        <v>0</v>
      </c>
      <c r="T48" s="52">
        <f t="shared" si="105"/>
        <v>0</v>
      </c>
      <c r="U48" s="52">
        <f t="shared" si="105"/>
        <v>0</v>
      </c>
      <c r="V48" s="52">
        <f t="shared" si="105"/>
        <v>0</v>
      </c>
      <c r="W48" s="52">
        <f t="shared" si="105"/>
        <v>0</v>
      </c>
      <c r="X48" s="52">
        <f t="shared" si="105"/>
        <v>0</v>
      </c>
      <c r="Y48" s="52">
        <f t="shared" si="105"/>
        <v>0</v>
      </c>
      <c r="Z48" s="52">
        <f t="shared" si="105"/>
        <v>0</v>
      </c>
      <c r="AA48" s="52">
        <f t="shared" si="105"/>
        <v>0</v>
      </c>
      <c r="AB48" s="52">
        <f t="shared" si="105"/>
        <v>0</v>
      </c>
      <c r="AC48" s="52">
        <f t="shared" si="105"/>
        <v>0</v>
      </c>
      <c r="AD48" s="52">
        <f t="shared" si="105"/>
        <v>0</v>
      </c>
      <c r="AE48" s="52">
        <f t="shared" si="105"/>
        <v>0</v>
      </c>
      <c r="AF48" s="52">
        <f t="shared" si="105"/>
        <v>0</v>
      </c>
      <c r="AG48" s="52">
        <f t="shared" si="105"/>
        <v>0</v>
      </c>
      <c r="AH48" s="52">
        <f t="shared" si="105"/>
        <v>0</v>
      </c>
      <c r="AI48" s="52">
        <f t="shared" si="105"/>
        <v>0</v>
      </c>
      <c r="AJ48" s="52">
        <f t="shared" si="105"/>
        <v>0</v>
      </c>
      <c r="AK48" s="52">
        <f t="shared" si="105"/>
        <v>0</v>
      </c>
      <c r="AL48" s="52">
        <f t="shared" ref="AL48:BQ48" si="106">IFERROR(IF(AL$28="FALSE",0,$C$48/$C$8),0)</f>
        <v>0</v>
      </c>
      <c r="AM48" s="52">
        <f t="shared" si="106"/>
        <v>0</v>
      </c>
      <c r="AN48" s="52">
        <f t="shared" si="106"/>
        <v>0</v>
      </c>
      <c r="AO48" s="52">
        <f t="shared" si="106"/>
        <v>0</v>
      </c>
      <c r="AP48" s="52">
        <f t="shared" si="106"/>
        <v>0</v>
      </c>
      <c r="AQ48" s="52">
        <f t="shared" si="106"/>
        <v>0</v>
      </c>
      <c r="AR48" s="52">
        <f t="shared" si="106"/>
        <v>0</v>
      </c>
      <c r="AS48" s="52">
        <f t="shared" si="106"/>
        <v>0</v>
      </c>
      <c r="AT48" s="52">
        <f t="shared" si="106"/>
        <v>0</v>
      </c>
      <c r="AU48" s="52">
        <f t="shared" si="106"/>
        <v>0</v>
      </c>
      <c r="AV48" s="52">
        <f t="shared" si="106"/>
        <v>0</v>
      </c>
      <c r="AW48" s="52">
        <f t="shared" si="106"/>
        <v>0</v>
      </c>
      <c r="AX48" s="52">
        <f t="shared" si="106"/>
        <v>0</v>
      </c>
      <c r="AY48" s="52">
        <f t="shared" si="106"/>
        <v>0</v>
      </c>
      <c r="AZ48" s="52">
        <f t="shared" si="106"/>
        <v>0</v>
      </c>
      <c r="BA48" s="52">
        <f t="shared" si="106"/>
        <v>0</v>
      </c>
      <c r="BB48" s="52">
        <f t="shared" si="106"/>
        <v>0</v>
      </c>
      <c r="BC48" s="52">
        <f t="shared" si="106"/>
        <v>0</v>
      </c>
      <c r="BD48" s="52">
        <f t="shared" si="106"/>
        <v>0</v>
      </c>
      <c r="BE48" s="52">
        <f t="shared" si="106"/>
        <v>0</v>
      </c>
      <c r="BF48" s="52">
        <f t="shared" si="106"/>
        <v>0</v>
      </c>
      <c r="BG48" s="52">
        <f t="shared" si="106"/>
        <v>0</v>
      </c>
      <c r="BH48" s="52">
        <f t="shared" si="106"/>
        <v>0</v>
      </c>
      <c r="BI48" s="52">
        <f t="shared" si="106"/>
        <v>0</v>
      </c>
      <c r="BJ48" s="52">
        <f t="shared" si="106"/>
        <v>0</v>
      </c>
      <c r="BK48" s="52">
        <f t="shared" si="106"/>
        <v>0</v>
      </c>
      <c r="BL48" s="52">
        <f t="shared" si="106"/>
        <v>0</v>
      </c>
      <c r="BM48" s="52">
        <f t="shared" si="106"/>
        <v>0</v>
      </c>
      <c r="BN48" s="52">
        <f t="shared" si="106"/>
        <v>0</v>
      </c>
      <c r="BO48" s="52">
        <f t="shared" si="106"/>
        <v>0</v>
      </c>
      <c r="BP48" s="52">
        <f t="shared" si="106"/>
        <v>0</v>
      </c>
      <c r="BQ48" s="52">
        <f t="shared" si="106"/>
        <v>0</v>
      </c>
      <c r="BR48" s="52">
        <f t="shared" ref="BR48:CW48" si="107">IFERROR(IF(BR$28="FALSE",0,$C$48/$C$8),0)</f>
        <v>0</v>
      </c>
      <c r="BS48" s="52">
        <f t="shared" si="107"/>
        <v>0</v>
      </c>
      <c r="BT48" s="52">
        <f t="shared" si="107"/>
        <v>0</v>
      </c>
      <c r="BU48" s="52">
        <f t="shared" si="107"/>
        <v>0</v>
      </c>
      <c r="BV48" s="52">
        <f t="shared" si="107"/>
        <v>0</v>
      </c>
      <c r="BW48" s="52">
        <f t="shared" si="107"/>
        <v>0</v>
      </c>
      <c r="BX48" s="52">
        <f t="shared" si="107"/>
        <v>0</v>
      </c>
      <c r="BY48" s="52">
        <f t="shared" si="107"/>
        <v>0</v>
      </c>
      <c r="BZ48" s="52">
        <f t="shared" si="107"/>
        <v>0</v>
      </c>
      <c r="CA48" s="52">
        <f t="shared" si="107"/>
        <v>0</v>
      </c>
      <c r="CB48" s="52">
        <f t="shared" si="107"/>
        <v>0</v>
      </c>
      <c r="CC48" s="52">
        <f t="shared" si="107"/>
        <v>0</v>
      </c>
      <c r="CD48" s="52">
        <f t="shared" si="107"/>
        <v>0</v>
      </c>
      <c r="CE48" s="52">
        <f t="shared" si="107"/>
        <v>0</v>
      </c>
      <c r="CF48" s="52">
        <f t="shared" si="107"/>
        <v>0</v>
      </c>
      <c r="CG48" s="52">
        <f t="shared" si="107"/>
        <v>0</v>
      </c>
      <c r="CH48" s="52">
        <f t="shared" si="107"/>
        <v>0</v>
      </c>
      <c r="CI48" s="52">
        <f t="shared" si="107"/>
        <v>0</v>
      </c>
      <c r="CJ48" s="52">
        <f t="shared" si="107"/>
        <v>0</v>
      </c>
      <c r="CK48" s="52">
        <f t="shared" si="107"/>
        <v>0</v>
      </c>
      <c r="CL48" s="52">
        <f t="shared" si="107"/>
        <v>0</v>
      </c>
      <c r="CM48" s="52">
        <f t="shared" si="107"/>
        <v>0</v>
      </c>
      <c r="CN48" s="52">
        <f t="shared" si="107"/>
        <v>0</v>
      </c>
      <c r="CO48" s="52">
        <f t="shared" si="107"/>
        <v>0</v>
      </c>
      <c r="CP48" s="52">
        <f t="shared" si="107"/>
        <v>0</v>
      </c>
      <c r="CQ48" s="52">
        <f t="shared" si="107"/>
        <v>0</v>
      </c>
      <c r="CR48" s="52">
        <f t="shared" si="107"/>
        <v>0</v>
      </c>
      <c r="CS48" s="52">
        <f t="shared" si="107"/>
        <v>0</v>
      </c>
      <c r="CT48" s="52">
        <f t="shared" si="107"/>
        <v>0</v>
      </c>
      <c r="CU48" s="52">
        <f t="shared" si="107"/>
        <v>0</v>
      </c>
      <c r="CV48" s="52">
        <f t="shared" si="107"/>
        <v>0</v>
      </c>
      <c r="CW48" s="52">
        <f t="shared" si="107"/>
        <v>0</v>
      </c>
      <c r="CX48" s="52">
        <f t="shared" ref="CX48:EC48" si="108">IFERROR(IF(CX$28="FALSE",0,$C$48/$C$8),0)</f>
        <v>0</v>
      </c>
      <c r="CY48" s="52">
        <f t="shared" si="108"/>
        <v>0</v>
      </c>
      <c r="CZ48" s="52">
        <f t="shared" si="108"/>
        <v>0</v>
      </c>
      <c r="DA48" s="52">
        <f t="shared" si="108"/>
        <v>0</v>
      </c>
      <c r="DB48" s="52">
        <f t="shared" si="108"/>
        <v>0</v>
      </c>
      <c r="DC48" s="52">
        <f t="shared" si="108"/>
        <v>0</v>
      </c>
      <c r="DD48" s="52">
        <f t="shared" si="108"/>
        <v>0</v>
      </c>
      <c r="DE48" s="52">
        <f t="shared" si="108"/>
        <v>0</v>
      </c>
      <c r="DF48" s="52">
        <f t="shared" si="108"/>
        <v>0</v>
      </c>
      <c r="DG48" s="52">
        <f t="shared" si="108"/>
        <v>0</v>
      </c>
      <c r="DH48" s="52">
        <f t="shared" si="108"/>
        <v>0</v>
      </c>
      <c r="DI48" s="52">
        <f t="shared" si="108"/>
        <v>0</v>
      </c>
      <c r="DJ48" s="52">
        <f t="shared" si="108"/>
        <v>0</v>
      </c>
      <c r="DK48" s="52">
        <f t="shared" si="108"/>
        <v>0</v>
      </c>
      <c r="DL48" s="52">
        <f t="shared" si="108"/>
        <v>0</v>
      </c>
      <c r="DM48" s="52">
        <f t="shared" si="108"/>
        <v>0</v>
      </c>
      <c r="DN48" s="52">
        <f t="shared" si="108"/>
        <v>0</v>
      </c>
      <c r="DO48" s="52">
        <f t="shared" si="108"/>
        <v>0</v>
      </c>
      <c r="DP48" s="52">
        <f t="shared" si="108"/>
        <v>0</v>
      </c>
      <c r="DQ48" s="52">
        <f t="shared" si="108"/>
        <v>0</v>
      </c>
      <c r="DR48" s="52">
        <f t="shared" si="108"/>
        <v>0</v>
      </c>
      <c r="DS48" s="52">
        <f t="shared" si="108"/>
        <v>0</v>
      </c>
      <c r="DT48" s="52">
        <f t="shared" si="108"/>
        <v>0</v>
      </c>
      <c r="DU48" s="52">
        <f t="shared" si="108"/>
        <v>0</v>
      </c>
      <c r="DV48" s="52">
        <f t="shared" si="108"/>
        <v>0</v>
      </c>
      <c r="DW48" s="52">
        <f t="shared" si="108"/>
        <v>0</v>
      </c>
      <c r="DX48" s="52">
        <f t="shared" si="108"/>
        <v>0</v>
      </c>
      <c r="DY48" s="52">
        <f t="shared" si="108"/>
        <v>0</v>
      </c>
      <c r="DZ48" s="52">
        <f t="shared" si="108"/>
        <v>0</v>
      </c>
      <c r="EA48" s="52">
        <f t="shared" si="108"/>
        <v>0</v>
      </c>
      <c r="EB48" s="52">
        <f t="shared" si="108"/>
        <v>0</v>
      </c>
      <c r="EC48" s="52">
        <f t="shared" si="108"/>
        <v>0</v>
      </c>
      <c r="ED48" s="52">
        <f t="shared" ref="ED48:FD48" si="109">IFERROR(IF(ED$28="FALSE",0,$C$48/$C$8),0)</f>
        <v>0</v>
      </c>
      <c r="EE48" s="52">
        <f t="shared" si="109"/>
        <v>0</v>
      </c>
      <c r="EF48" s="52">
        <f t="shared" si="109"/>
        <v>0</v>
      </c>
      <c r="EG48" s="52">
        <f t="shared" si="109"/>
        <v>0</v>
      </c>
      <c r="EH48" s="52">
        <f t="shared" si="109"/>
        <v>0</v>
      </c>
      <c r="EI48" s="52">
        <f t="shared" si="109"/>
        <v>0</v>
      </c>
      <c r="EJ48" s="52">
        <f t="shared" si="109"/>
        <v>0</v>
      </c>
      <c r="EK48" s="52">
        <f t="shared" si="109"/>
        <v>0</v>
      </c>
      <c r="EL48" s="52">
        <f t="shared" si="109"/>
        <v>0</v>
      </c>
      <c r="EM48" s="52">
        <f t="shared" si="109"/>
        <v>0</v>
      </c>
      <c r="EN48" s="52">
        <f t="shared" si="109"/>
        <v>0</v>
      </c>
      <c r="EO48" s="52">
        <f t="shared" si="109"/>
        <v>0</v>
      </c>
      <c r="EP48" s="52">
        <f t="shared" si="109"/>
        <v>0</v>
      </c>
      <c r="EQ48" s="52">
        <f t="shared" si="109"/>
        <v>0</v>
      </c>
      <c r="ER48" s="52">
        <f t="shared" si="109"/>
        <v>0</v>
      </c>
      <c r="ES48" s="52">
        <f t="shared" si="109"/>
        <v>0</v>
      </c>
      <c r="ET48" s="52">
        <f t="shared" si="109"/>
        <v>0</v>
      </c>
      <c r="EU48" s="52">
        <f t="shared" si="109"/>
        <v>0</v>
      </c>
      <c r="EV48" s="52">
        <f t="shared" si="109"/>
        <v>0</v>
      </c>
      <c r="EW48" s="52">
        <f t="shared" si="109"/>
        <v>0</v>
      </c>
      <c r="EX48" s="52">
        <f t="shared" si="109"/>
        <v>0</v>
      </c>
      <c r="EY48" s="52">
        <f t="shared" si="109"/>
        <v>0</v>
      </c>
      <c r="EZ48" s="52">
        <f t="shared" si="109"/>
        <v>0</v>
      </c>
      <c r="FA48" s="52">
        <f t="shared" si="109"/>
        <v>0</v>
      </c>
      <c r="FB48" s="52">
        <f t="shared" si="109"/>
        <v>0</v>
      </c>
      <c r="FC48" s="52">
        <f t="shared" si="109"/>
        <v>0</v>
      </c>
      <c r="FD48" s="52">
        <f t="shared" si="109"/>
        <v>0</v>
      </c>
    </row>
    <row r="49" spans="2:160">
      <c r="B49" s="51" t="s">
        <v>128</v>
      </c>
      <c r="C49" s="52">
        <f ca="1">IF(Startup!$C$3="Project",SUMIF(Startup!$C$7:$D$27,Overview!B49,Startup!$D$7:$D$27),(SUMIF(Startup!$C$7:$D$27,Overview!B49,Startup!$D$7:$D$27)*Startup!$C$4))+IF(Pilot!$C$3="Project",SUMIF(Pilot!$C$7:$D$27,Overview!B49,Pilot!$D$7:$D$27),(SUMIF(Pilot!$C$7:$D$27,Overview!B49,Pilot!$D$7:$D$27)*Pilot!$C$4))+IF(PMO!$C$3="Project",SUMIF(PMO!$C$7:$D$27,Overview!B49,PMO!$D$7:$D$27),(SUMIF(PMO!$C$7:$D$27,Overview!B49,PMO!$D$7:$D$27)*PMO!$C$4))+IF('Design &amp; Fulfillment'!$C$3="Project",SUMIF('Design &amp; Fulfillment'!$C$7:$D$27,Overview!B49,'Design &amp; Fulfillment'!$D$7:$D$27),(SUMIF('Design &amp; Fulfillment'!$C$7:$D$27,Overview!B49,'Design &amp; Fulfillment'!$D$7:$D$27)*'Design &amp; Fulfillment'!$C$4))+IF(Workplace!$C$3="Project",SUMIF(Workplace!$C$7:$D$27,Overview!B49,Workplace!$D$7:$D$27),(SUMIF(Workplace!$C$7:$D$27,Overview!B49,Workplace!$D$7:$D$27)*Workplace!$C$4))+IF(Integration!$C$3="Project",SUMIF(Integration!$C$7:$D$27,Overview!B49,Integration!$D$7:$D$27),(SUMIF(Integration!$C$7:$D$27,Overview!B49,Integration!$D$7:$D$27)*Integration!$C$4))+IF(Logistics!$C$3="Project",SUMIF(Logistics!$C$7:$D$27,Overview!B49,Logistics!$D$7:$D$27),(SUMIF(Logistics!$C$7:$D$27,Overview!B49,Logistics!$D$7:$D$27)*Logistics!$C$4))+IF('Service Desk'!$C$3="Project",SUMIF('Service Desk'!$C$7:$D$27,Overview!B49,'Service Desk'!$D$7:$D$27),(SUMIF('Service Desk'!$C$7:$D$27,Overview!B49,'Service Desk'!$D$7:$D$27)*'Service Desk'!$C$4))+IF('Pro Services'!$C$3="Project",SUMIF('Pro Services'!$C$7:$D$27,Overview!B49,'Pro Services'!$D$7:$D$27),(SUMIF('Pro Services'!$C$7:$D$27,Overview!B49,'Pro Services'!$D$7:$D$27)*'Pro Services'!$C$4))</f>
        <v>0</v>
      </c>
      <c r="D49" s="53">
        <f ca="1">IF(Startup!$C$3="Project",SUMIF(Startup!$C$7:$H$27,Overview!B49,Startup!$H$7:$H$27),(SUMIF(Startup!$C$7:$H$27,Overview!B49,Startup!$H$7:$H$27)*Startup!$C$4))+IF(Pilot!$C$3="Project",SUMIF(Pilot!$C$7:$H$27,Overview!B49,Pilot!$H$7:$H$27),(SUMIF(Pilot!$C$7:$H$27,Overview!B49,Pilot!$H$7:$H$27)*Pilot!$C$4))+IF(PMO!$C$3="Project",SUMIF(PMO!$C$7:$H$27,Overview!B49,PMO!$H$7:$H$27),(SUMIF(PMO!$C$7:$H$27,Overview!B49,PMO!$H$7:$H$27)*PMO!$C$4))+IF('Design &amp; Fulfillment'!$C$3="Project",SUMIF('Design &amp; Fulfillment'!$C$7:$H$27,Overview!B49,'Design &amp; Fulfillment'!$H$7:$H$27),(SUMIF('Design &amp; Fulfillment'!$C$7:$H$27,Overview!B49,'Design &amp; Fulfillment'!$H$7:$H$27)*'Design &amp; Fulfillment'!$C$4))+IF(Workplace!$C$3="Project",SUMIF(Workplace!$C$7:$H$27,Overview!B49,Workplace!$H$7:$H$27),(SUMIF(Workplace!$C$7:$H$27,Overview!B49,Workplace!$H$7:$H$27)*Workplace!$C$4))+IF(Integration!$C$3="Project",SUMIF(Integration!$C$7:$H$27,Overview!B49,Integration!$H$7:$H$27),(SUMIF(Integration!$C$7:$H$27,Overview!B49,Integration!$H$7:$H$27)*Integration!$C$4))+IF(Logistics!$C$3="Project",SUMIF(Logistics!$C$7:$H$27,Overview!B49,Logistics!$H$7:$H$27),(SUMIF(Logistics!$C$7:$H$27,Overview!B49,Logistics!$H$7:$H$27)*Logistics!$C$4))+IF('Service Desk'!$C$3="Project",SUMIF('Service Desk'!$C$7:$H$27,Overview!B49,'Service Desk'!$H$7:$H$27),(SUMIF('Service Desk'!$C$7:$H$27,Overview!B49,'Service Desk'!$H$7:$H$27)*'Service Desk'!$C$4))+IF('Pro Services'!$C$3="Project",SUMIF('Pro Services'!$C$7:$H$27,Overview!B49,'Pro Services'!$H$7:$H$27),(SUMIF('Pro Services'!$C$7:$H$27,Overview!B49,'Pro Services'!$H$7:$H$27)*'Pro Services'!$C$4))</f>
        <v>0</v>
      </c>
      <c r="E49" s="52">
        <f t="shared" ca="1" si="19"/>
        <v>0</v>
      </c>
      <c r="F49" s="52">
        <f t="shared" ref="F49:AK49" si="110">IFERROR(IF(F$28="FALSE",0,$C$49/$C$8),0)</f>
        <v>0</v>
      </c>
      <c r="G49" s="52">
        <f t="shared" si="110"/>
        <v>0</v>
      </c>
      <c r="H49" s="52">
        <f t="shared" si="110"/>
        <v>0</v>
      </c>
      <c r="I49" s="52">
        <f t="shared" si="110"/>
        <v>0</v>
      </c>
      <c r="J49" s="52">
        <f t="shared" si="110"/>
        <v>0</v>
      </c>
      <c r="K49" s="52">
        <f t="shared" si="110"/>
        <v>0</v>
      </c>
      <c r="L49" s="52">
        <f t="shared" si="110"/>
        <v>0</v>
      </c>
      <c r="M49" s="52">
        <f t="shared" si="110"/>
        <v>0</v>
      </c>
      <c r="N49" s="52">
        <f t="shared" si="110"/>
        <v>0</v>
      </c>
      <c r="O49" s="52">
        <f t="shared" si="110"/>
        <v>0</v>
      </c>
      <c r="P49" s="52">
        <f t="shared" si="110"/>
        <v>0</v>
      </c>
      <c r="Q49" s="52">
        <f t="shared" si="110"/>
        <v>0</v>
      </c>
      <c r="R49" s="52">
        <f t="shared" si="110"/>
        <v>0</v>
      </c>
      <c r="S49" s="52">
        <f t="shared" si="110"/>
        <v>0</v>
      </c>
      <c r="T49" s="52">
        <f t="shared" si="110"/>
        <v>0</v>
      </c>
      <c r="U49" s="52">
        <f t="shared" si="110"/>
        <v>0</v>
      </c>
      <c r="V49" s="52">
        <f t="shared" si="110"/>
        <v>0</v>
      </c>
      <c r="W49" s="52">
        <f t="shared" si="110"/>
        <v>0</v>
      </c>
      <c r="X49" s="52">
        <f t="shared" si="110"/>
        <v>0</v>
      </c>
      <c r="Y49" s="52">
        <f t="shared" si="110"/>
        <v>0</v>
      </c>
      <c r="Z49" s="52">
        <f t="shared" si="110"/>
        <v>0</v>
      </c>
      <c r="AA49" s="52">
        <f t="shared" si="110"/>
        <v>0</v>
      </c>
      <c r="AB49" s="52">
        <f t="shared" si="110"/>
        <v>0</v>
      </c>
      <c r="AC49" s="52">
        <f t="shared" si="110"/>
        <v>0</v>
      </c>
      <c r="AD49" s="52">
        <f t="shared" si="110"/>
        <v>0</v>
      </c>
      <c r="AE49" s="52">
        <f t="shared" si="110"/>
        <v>0</v>
      </c>
      <c r="AF49" s="52">
        <f t="shared" si="110"/>
        <v>0</v>
      </c>
      <c r="AG49" s="52">
        <f t="shared" si="110"/>
        <v>0</v>
      </c>
      <c r="AH49" s="52">
        <f t="shared" si="110"/>
        <v>0</v>
      </c>
      <c r="AI49" s="52">
        <f t="shared" si="110"/>
        <v>0</v>
      </c>
      <c r="AJ49" s="52">
        <f t="shared" si="110"/>
        <v>0</v>
      </c>
      <c r="AK49" s="52">
        <f t="shared" si="110"/>
        <v>0</v>
      </c>
      <c r="AL49" s="52">
        <f t="shared" ref="AL49:BQ49" si="111">IFERROR(IF(AL$28="FALSE",0,$C$49/$C$8),0)</f>
        <v>0</v>
      </c>
      <c r="AM49" s="52">
        <f t="shared" si="111"/>
        <v>0</v>
      </c>
      <c r="AN49" s="52">
        <f t="shared" si="111"/>
        <v>0</v>
      </c>
      <c r="AO49" s="52">
        <f t="shared" si="111"/>
        <v>0</v>
      </c>
      <c r="AP49" s="52">
        <f t="shared" si="111"/>
        <v>0</v>
      </c>
      <c r="AQ49" s="52">
        <f t="shared" si="111"/>
        <v>0</v>
      </c>
      <c r="AR49" s="52">
        <f t="shared" si="111"/>
        <v>0</v>
      </c>
      <c r="AS49" s="52">
        <f t="shared" si="111"/>
        <v>0</v>
      </c>
      <c r="AT49" s="52">
        <f t="shared" si="111"/>
        <v>0</v>
      </c>
      <c r="AU49" s="52">
        <f t="shared" si="111"/>
        <v>0</v>
      </c>
      <c r="AV49" s="52">
        <f t="shared" si="111"/>
        <v>0</v>
      </c>
      <c r="AW49" s="52">
        <f t="shared" si="111"/>
        <v>0</v>
      </c>
      <c r="AX49" s="52">
        <f t="shared" si="111"/>
        <v>0</v>
      </c>
      <c r="AY49" s="52">
        <f t="shared" si="111"/>
        <v>0</v>
      </c>
      <c r="AZ49" s="52">
        <f t="shared" si="111"/>
        <v>0</v>
      </c>
      <c r="BA49" s="52">
        <f t="shared" si="111"/>
        <v>0</v>
      </c>
      <c r="BB49" s="52">
        <f t="shared" si="111"/>
        <v>0</v>
      </c>
      <c r="BC49" s="52">
        <f t="shared" si="111"/>
        <v>0</v>
      </c>
      <c r="BD49" s="52">
        <f t="shared" si="111"/>
        <v>0</v>
      </c>
      <c r="BE49" s="52">
        <f t="shared" si="111"/>
        <v>0</v>
      </c>
      <c r="BF49" s="52">
        <f t="shared" si="111"/>
        <v>0</v>
      </c>
      <c r="BG49" s="52">
        <f t="shared" si="111"/>
        <v>0</v>
      </c>
      <c r="BH49" s="52">
        <f t="shared" si="111"/>
        <v>0</v>
      </c>
      <c r="BI49" s="52">
        <f t="shared" si="111"/>
        <v>0</v>
      </c>
      <c r="BJ49" s="52">
        <f t="shared" si="111"/>
        <v>0</v>
      </c>
      <c r="BK49" s="52">
        <f t="shared" si="111"/>
        <v>0</v>
      </c>
      <c r="BL49" s="52">
        <f t="shared" si="111"/>
        <v>0</v>
      </c>
      <c r="BM49" s="52">
        <f t="shared" si="111"/>
        <v>0</v>
      </c>
      <c r="BN49" s="52">
        <f t="shared" si="111"/>
        <v>0</v>
      </c>
      <c r="BO49" s="52">
        <f t="shared" si="111"/>
        <v>0</v>
      </c>
      <c r="BP49" s="52">
        <f t="shared" si="111"/>
        <v>0</v>
      </c>
      <c r="BQ49" s="52">
        <f t="shared" si="111"/>
        <v>0</v>
      </c>
      <c r="BR49" s="52">
        <f t="shared" ref="BR49:CW49" si="112">IFERROR(IF(BR$28="FALSE",0,$C$49/$C$8),0)</f>
        <v>0</v>
      </c>
      <c r="BS49" s="52">
        <f t="shared" si="112"/>
        <v>0</v>
      </c>
      <c r="BT49" s="52">
        <f t="shared" si="112"/>
        <v>0</v>
      </c>
      <c r="BU49" s="52">
        <f t="shared" si="112"/>
        <v>0</v>
      </c>
      <c r="BV49" s="52">
        <f t="shared" si="112"/>
        <v>0</v>
      </c>
      <c r="BW49" s="52">
        <f t="shared" si="112"/>
        <v>0</v>
      </c>
      <c r="BX49" s="52">
        <f t="shared" si="112"/>
        <v>0</v>
      </c>
      <c r="BY49" s="52">
        <f t="shared" si="112"/>
        <v>0</v>
      </c>
      <c r="BZ49" s="52">
        <f t="shared" si="112"/>
        <v>0</v>
      </c>
      <c r="CA49" s="52">
        <f t="shared" si="112"/>
        <v>0</v>
      </c>
      <c r="CB49" s="52">
        <f t="shared" si="112"/>
        <v>0</v>
      </c>
      <c r="CC49" s="52">
        <f t="shared" si="112"/>
        <v>0</v>
      </c>
      <c r="CD49" s="52">
        <f t="shared" si="112"/>
        <v>0</v>
      </c>
      <c r="CE49" s="52">
        <f t="shared" si="112"/>
        <v>0</v>
      </c>
      <c r="CF49" s="52">
        <f t="shared" si="112"/>
        <v>0</v>
      </c>
      <c r="CG49" s="52">
        <f t="shared" si="112"/>
        <v>0</v>
      </c>
      <c r="CH49" s="52">
        <f t="shared" si="112"/>
        <v>0</v>
      </c>
      <c r="CI49" s="52">
        <f t="shared" si="112"/>
        <v>0</v>
      </c>
      <c r="CJ49" s="52">
        <f t="shared" si="112"/>
        <v>0</v>
      </c>
      <c r="CK49" s="52">
        <f t="shared" si="112"/>
        <v>0</v>
      </c>
      <c r="CL49" s="52">
        <f t="shared" si="112"/>
        <v>0</v>
      </c>
      <c r="CM49" s="52">
        <f t="shared" si="112"/>
        <v>0</v>
      </c>
      <c r="CN49" s="52">
        <f t="shared" si="112"/>
        <v>0</v>
      </c>
      <c r="CO49" s="52">
        <f t="shared" si="112"/>
        <v>0</v>
      </c>
      <c r="CP49" s="52">
        <f t="shared" si="112"/>
        <v>0</v>
      </c>
      <c r="CQ49" s="52">
        <f t="shared" si="112"/>
        <v>0</v>
      </c>
      <c r="CR49" s="52">
        <f t="shared" si="112"/>
        <v>0</v>
      </c>
      <c r="CS49" s="52">
        <f t="shared" si="112"/>
        <v>0</v>
      </c>
      <c r="CT49" s="52">
        <f t="shared" si="112"/>
        <v>0</v>
      </c>
      <c r="CU49" s="52">
        <f t="shared" si="112"/>
        <v>0</v>
      </c>
      <c r="CV49" s="52">
        <f t="shared" si="112"/>
        <v>0</v>
      </c>
      <c r="CW49" s="52">
        <f t="shared" si="112"/>
        <v>0</v>
      </c>
      <c r="CX49" s="52">
        <f t="shared" ref="CX49:EC49" si="113">IFERROR(IF(CX$28="FALSE",0,$C$49/$C$8),0)</f>
        <v>0</v>
      </c>
      <c r="CY49" s="52">
        <f t="shared" si="113"/>
        <v>0</v>
      </c>
      <c r="CZ49" s="52">
        <f t="shared" si="113"/>
        <v>0</v>
      </c>
      <c r="DA49" s="52">
        <f t="shared" si="113"/>
        <v>0</v>
      </c>
      <c r="DB49" s="52">
        <f t="shared" si="113"/>
        <v>0</v>
      </c>
      <c r="DC49" s="52">
        <f t="shared" si="113"/>
        <v>0</v>
      </c>
      <c r="DD49" s="52">
        <f t="shared" si="113"/>
        <v>0</v>
      </c>
      <c r="DE49" s="52">
        <f t="shared" si="113"/>
        <v>0</v>
      </c>
      <c r="DF49" s="52">
        <f t="shared" si="113"/>
        <v>0</v>
      </c>
      <c r="DG49" s="52">
        <f t="shared" si="113"/>
        <v>0</v>
      </c>
      <c r="DH49" s="52">
        <f t="shared" si="113"/>
        <v>0</v>
      </c>
      <c r="DI49" s="52">
        <f t="shared" si="113"/>
        <v>0</v>
      </c>
      <c r="DJ49" s="52">
        <f t="shared" si="113"/>
        <v>0</v>
      </c>
      <c r="DK49" s="52">
        <f t="shared" si="113"/>
        <v>0</v>
      </c>
      <c r="DL49" s="52">
        <f t="shared" si="113"/>
        <v>0</v>
      </c>
      <c r="DM49" s="52">
        <f t="shared" si="113"/>
        <v>0</v>
      </c>
      <c r="DN49" s="52">
        <f t="shared" si="113"/>
        <v>0</v>
      </c>
      <c r="DO49" s="52">
        <f t="shared" si="113"/>
        <v>0</v>
      </c>
      <c r="DP49" s="52">
        <f t="shared" si="113"/>
        <v>0</v>
      </c>
      <c r="DQ49" s="52">
        <f t="shared" si="113"/>
        <v>0</v>
      </c>
      <c r="DR49" s="52">
        <f t="shared" si="113"/>
        <v>0</v>
      </c>
      <c r="DS49" s="52">
        <f t="shared" si="113"/>
        <v>0</v>
      </c>
      <c r="DT49" s="52">
        <f t="shared" si="113"/>
        <v>0</v>
      </c>
      <c r="DU49" s="52">
        <f t="shared" si="113"/>
        <v>0</v>
      </c>
      <c r="DV49" s="52">
        <f t="shared" si="113"/>
        <v>0</v>
      </c>
      <c r="DW49" s="52">
        <f t="shared" si="113"/>
        <v>0</v>
      </c>
      <c r="DX49" s="52">
        <f t="shared" si="113"/>
        <v>0</v>
      </c>
      <c r="DY49" s="52">
        <f t="shared" si="113"/>
        <v>0</v>
      </c>
      <c r="DZ49" s="52">
        <f t="shared" si="113"/>
        <v>0</v>
      </c>
      <c r="EA49" s="52">
        <f t="shared" si="113"/>
        <v>0</v>
      </c>
      <c r="EB49" s="52">
        <f t="shared" si="113"/>
        <v>0</v>
      </c>
      <c r="EC49" s="52">
        <f t="shared" si="113"/>
        <v>0</v>
      </c>
      <c r="ED49" s="52">
        <f t="shared" ref="ED49:FD49" si="114">IFERROR(IF(ED$28="FALSE",0,$C$49/$C$8),0)</f>
        <v>0</v>
      </c>
      <c r="EE49" s="52">
        <f t="shared" si="114"/>
        <v>0</v>
      </c>
      <c r="EF49" s="52">
        <f t="shared" si="114"/>
        <v>0</v>
      </c>
      <c r="EG49" s="52">
        <f t="shared" si="114"/>
        <v>0</v>
      </c>
      <c r="EH49" s="52">
        <f t="shared" si="114"/>
        <v>0</v>
      </c>
      <c r="EI49" s="52">
        <f t="shared" si="114"/>
        <v>0</v>
      </c>
      <c r="EJ49" s="52">
        <f t="shared" si="114"/>
        <v>0</v>
      </c>
      <c r="EK49" s="52">
        <f t="shared" si="114"/>
        <v>0</v>
      </c>
      <c r="EL49" s="52">
        <f t="shared" si="114"/>
        <v>0</v>
      </c>
      <c r="EM49" s="52">
        <f t="shared" si="114"/>
        <v>0</v>
      </c>
      <c r="EN49" s="52">
        <f t="shared" si="114"/>
        <v>0</v>
      </c>
      <c r="EO49" s="52">
        <f t="shared" si="114"/>
        <v>0</v>
      </c>
      <c r="EP49" s="52">
        <f t="shared" si="114"/>
        <v>0</v>
      </c>
      <c r="EQ49" s="52">
        <f t="shared" si="114"/>
        <v>0</v>
      </c>
      <c r="ER49" s="52">
        <f t="shared" si="114"/>
        <v>0</v>
      </c>
      <c r="ES49" s="52">
        <f t="shared" si="114"/>
        <v>0</v>
      </c>
      <c r="ET49" s="52">
        <f t="shared" si="114"/>
        <v>0</v>
      </c>
      <c r="EU49" s="52">
        <f t="shared" si="114"/>
        <v>0</v>
      </c>
      <c r="EV49" s="52">
        <f t="shared" si="114"/>
        <v>0</v>
      </c>
      <c r="EW49" s="52">
        <f t="shared" si="114"/>
        <v>0</v>
      </c>
      <c r="EX49" s="52">
        <f t="shared" si="114"/>
        <v>0</v>
      </c>
      <c r="EY49" s="52">
        <f t="shared" si="114"/>
        <v>0</v>
      </c>
      <c r="EZ49" s="52">
        <f t="shared" si="114"/>
        <v>0</v>
      </c>
      <c r="FA49" s="52">
        <f t="shared" si="114"/>
        <v>0</v>
      </c>
      <c r="FB49" s="52">
        <f t="shared" si="114"/>
        <v>0</v>
      </c>
      <c r="FC49" s="52">
        <f t="shared" si="114"/>
        <v>0</v>
      </c>
      <c r="FD49" s="52">
        <f t="shared" si="114"/>
        <v>0</v>
      </c>
    </row>
    <row r="50" spans="2:160">
      <c r="B50" s="51" t="s">
        <v>129</v>
      </c>
      <c r="C50" s="52">
        <f ca="1">IF(Startup!$C$3="Project",SUMIF(Startup!$C$7:$D$27,Overview!B50,Startup!$D$7:$D$27),(SUMIF(Startup!$C$7:$D$27,Overview!B50,Startup!$D$7:$D$27)*Startup!$C$4))+IF(Pilot!$C$3="Project",SUMIF(Pilot!$C$7:$D$27,Overview!B50,Pilot!$D$7:$D$27),(SUMIF(Pilot!$C$7:$D$27,Overview!B50,Pilot!$D$7:$D$27)*Pilot!$C$4))+IF(PMO!$C$3="Project",SUMIF(PMO!$C$7:$D$27,Overview!B50,PMO!$D$7:$D$27),(SUMIF(PMO!$C$7:$D$27,Overview!B50,PMO!$D$7:$D$27)*PMO!$C$4))+IF('Design &amp; Fulfillment'!$C$3="Project",SUMIF('Design &amp; Fulfillment'!$C$7:$D$27,Overview!B50,'Design &amp; Fulfillment'!$D$7:$D$27),(SUMIF('Design &amp; Fulfillment'!$C$7:$D$27,Overview!B50,'Design &amp; Fulfillment'!$D$7:$D$27)*'Design &amp; Fulfillment'!$C$4))+IF(Workplace!$C$3="Project",SUMIF(Workplace!$C$7:$D$27,Overview!B50,Workplace!$D$7:$D$27),(SUMIF(Workplace!$C$7:$D$27,Overview!B50,Workplace!$D$7:$D$27)*Workplace!$C$4))+IF(Integration!$C$3="Project",SUMIF(Integration!$C$7:$D$27,Overview!B50,Integration!$D$7:$D$27),(SUMIF(Integration!$C$7:$D$27,Overview!B50,Integration!$D$7:$D$27)*Integration!$C$4))+IF(Logistics!$C$3="Project",SUMIF(Logistics!$C$7:$D$27,Overview!B50,Logistics!$D$7:$D$27),(SUMIF(Logistics!$C$7:$D$27,Overview!B50,Logistics!$D$7:$D$27)*Logistics!$C$4))+IF('Service Desk'!$C$3="Project",SUMIF('Service Desk'!$C$7:$D$27,Overview!B50,'Service Desk'!$D$7:$D$27),(SUMIF('Service Desk'!$C$7:$D$27,Overview!B50,'Service Desk'!$D$7:$D$27)*'Service Desk'!$C$4))+IF('Pro Services'!$C$3="Project",SUMIF('Pro Services'!$C$7:$D$27,Overview!B50,'Pro Services'!$D$7:$D$27),(SUMIF('Pro Services'!$C$7:$D$27,Overview!B50,'Pro Services'!$D$7:$D$27)*'Pro Services'!$C$4))</f>
        <v>0</v>
      </c>
      <c r="D50" s="53">
        <f ca="1">IF(Startup!$C$3="Project",SUMIF(Startup!$C$7:$H$27,Overview!B50,Startup!$H$7:$H$27),(SUMIF(Startup!$C$7:$H$27,Overview!B50,Startup!$H$7:$H$27)*Startup!$C$4))+IF(Pilot!$C$3="Project",SUMIF(Pilot!$C$7:$H$27,Overview!B50,Pilot!$H$7:$H$27),(SUMIF(Pilot!$C$7:$H$27,Overview!B50,Pilot!$H$7:$H$27)*Pilot!$C$4))+IF(PMO!$C$3="Project",SUMIF(PMO!$C$7:$H$27,Overview!B50,PMO!$H$7:$H$27),(SUMIF(PMO!$C$7:$H$27,Overview!B50,PMO!$H$7:$H$27)*PMO!$C$4))+IF('Design &amp; Fulfillment'!$C$3="Project",SUMIF('Design &amp; Fulfillment'!$C$7:$H$27,Overview!B50,'Design &amp; Fulfillment'!$H$7:$H$27),(SUMIF('Design &amp; Fulfillment'!$C$7:$H$27,Overview!B50,'Design &amp; Fulfillment'!$H$7:$H$27)*'Design &amp; Fulfillment'!$C$4))+IF(Workplace!$C$3="Project",SUMIF(Workplace!$C$7:$H$27,Overview!B50,Workplace!$H$7:$H$27),(SUMIF(Workplace!$C$7:$H$27,Overview!B50,Workplace!$H$7:$H$27)*Workplace!$C$4))+IF(Integration!$C$3="Project",SUMIF(Integration!$C$7:$H$27,Overview!B50,Integration!$H$7:$H$27),(SUMIF(Integration!$C$7:$H$27,Overview!B50,Integration!$H$7:$H$27)*Integration!$C$4))+IF(Logistics!$C$3="Project",SUMIF(Logistics!$C$7:$H$27,Overview!B50,Logistics!$H$7:$H$27),(SUMIF(Logistics!$C$7:$H$27,Overview!B50,Logistics!$H$7:$H$27)*Logistics!$C$4))+IF('Service Desk'!$C$3="Project",SUMIF('Service Desk'!$C$7:$H$27,Overview!B50,'Service Desk'!$H$7:$H$27),(SUMIF('Service Desk'!$C$7:$H$27,Overview!B50,'Service Desk'!$H$7:$H$27)*'Service Desk'!$C$4))+IF('Pro Services'!$C$3="Project",SUMIF('Pro Services'!$C$7:$H$27,Overview!B50,'Pro Services'!$H$7:$H$27),(SUMIF('Pro Services'!$C$7:$H$27,Overview!B50,'Pro Services'!$H$7:$H$27)*'Pro Services'!$C$4))</f>
        <v>0</v>
      </c>
      <c r="E50" s="52">
        <f t="shared" ca="1" si="19"/>
        <v>0</v>
      </c>
      <c r="F50" s="52">
        <f t="shared" ref="F50:AK50" si="115">IFERROR(IF(F$28="FALSE",0,$C$50/$C$8),0)</f>
        <v>0</v>
      </c>
      <c r="G50" s="52">
        <f t="shared" si="115"/>
        <v>0</v>
      </c>
      <c r="H50" s="52">
        <f t="shared" si="115"/>
        <v>0</v>
      </c>
      <c r="I50" s="52">
        <f t="shared" si="115"/>
        <v>0</v>
      </c>
      <c r="J50" s="52">
        <f t="shared" si="115"/>
        <v>0</v>
      </c>
      <c r="K50" s="52">
        <f t="shared" si="115"/>
        <v>0</v>
      </c>
      <c r="L50" s="52">
        <f t="shared" si="115"/>
        <v>0</v>
      </c>
      <c r="M50" s="52">
        <f t="shared" si="115"/>
        <v>0</v>
      </c>
      <c r="N50" s="52">
        <f t="shared" si="115"/>
        <v>0</v>
      </c>
      <c r="O50" s="52">
        <f t="shared" si="115"/>
        <v>0</v>
      </c>
      <c r="P50" s="52">
        <f t="shared" si="115"/>
        <v>0</v>
      </c>
      <c r="Q50" s="52">
        <f t="shared" si="115"/>
        <v>0</v>
      </c>
      <c r="R50" s="52">
        <f t="shared" si="115"/>
        <v>0</v>
      </c>
      <c r="S50" s="52">
        <f t="shared" si="115"/>
        <v>0</v>
      </c>
      <c r="T50" s="52">
        <f t="shared" si="115"/>
        <v>0</v>
      </c>
      <c r="U50" s="52">
        <f t="shared" si="115"/>
        <v>0</v>
      </c>
      <c r="V50" s="52">
        <f t="shared" si="115"/>
        <v>0</v>
      </c>
      <c r="W50" s="52">
        <f t="shared" si="115"/>
        <v>0</v>
      </c>
      <c r="X50" s="52">
        <f t="shared" si="115"/>
        <v>0</v>
      </c>
      <c r="Y50" s="52">
        <f t="shared" si="115"/>
        <v>0</v>
      </c>
      <c r="Z50" s="52">
        <f t="shared" si="115"/>
        <v>0</v>
      </c>
      <c r="AA50" s="52">
        <f t="shared" si="115"/>
        <v>0</v>
      </c>
      <c r="AB50" s="52">
        <f t="shared" si="115"/>
        <v>0</v>
      </c>
      <c r="AC50" s="52">
        <f t="shared" si="115"/>
        <v>0</v>
      </c>
      <c r="AD50" s="52">
        <f t="shared" si="115"/>
        <v>0</v>
      </c>
      <c r="AE50" s="52">
        <f t="shared" si="115"/>
        <v>0</v>
      </c>
      <c r="AF50" s="52">
        <f t="shared" si="115"/>
        <v>0</v>
      </c>
      <c r="AG50" s="52">
        <f t="shared" si="115"/>
        <v>0</v>
      </c>
      <c r="AH50" s="52">
        <f t="shared" si="115"/>
        <v>0</v>
      </c>
      <c r="AI50" s="52">
        <f t="shared" si="115"/>
        <v>0</v>
      </c>
      <c r="AJ50" s="52">
        <f t="shared" si="115"/>
        <v>0</v>
      </c>
      <c r="AK50" s="52">
        <f t="shared" si="115"/>
        <v>0</v>
      </c>
      <c r="AL50" s="52">
        <f t="shared" ref="AL50:BQ50" si="116">IFERROR(IF(AL$28="FALSE",0,$C$50/$C$8),0)</f>
        <v>0</v>
      </c>
      <c r="AM50" s="52">
        <f t="shared" si="116"/>
        <v>0</v>
      </c>
      <c r="AN50" s="52">
        <f t="shared" si="116"/>
        <v>0</v>
      </c>
      <c r="AO50" s="52">
        <f t="shared" si="116"/>
        <v>0</v>
      </c>
      <c r="AP50" s="52">
        <f t="shared" si="116"/>
        <v>0</v>
      </c>
      <c r="AQ50" s="52">
        <f t="shared" si="116"/>
        <v>0</v>
      </c>
      <c r="AR50" s="52">
        <f t="shared" si="116"/>
        <v>0</v>
      </c>
      <c r="AS50" s="52">
        <f t="shared" si="116"/>
        <v>0</v>
      </c>
      <c r="AT50" s="52">
        <f t="shared" si="116"/>
        <v>0</v>
      </c>
      <c r="AU50" s="52">
        <f t="shared" si="116"/>
        <v>0</v>
      </c>
      <c r="AV50" s="52">
        <f t="shared" si="116"/>
        <v>0</v>
      </c>
      <c r="AW50" s="52">
        <f t="shared" si="116"/>
        <v>0</v>
      </c>
      <c r="AX50" s="52">
        <f t="shared" si="116"/>
        <v>0</v>
      </c>
      <c r="AY50" s="52">
        <f t="shared" si="116"/>
        <v>0</v>
      </c>
      <c r="AZ50" s="52">
        <f t="shared" si="116"/>
        <v>0</v>
      </c>
      <c r="BA50" s="52">
        <f t="shared" si="116"/>
        <v>0</v>
      </c>
      <c r="BB50" s="52">
        <f t="shared" si="116"/>
        <v>0</v>
      </c>
      <c r="BC50" s="52">
        <f t="shared" si="116"/>
        <v>0</v>
      </c>
      <c r="BD50" s="52">
        <f t="shared" si="116"/>
        <v>0</v>
      </c>
      <c r="BE50" s="52">
        <f t="shared" si="116"/>
        <v>0</v>
      </c>
      <c r="BF50" s="52">
        <f t="shared" si="116"/>
        <v>0</v>
      </c>
      <c r="BG50" s="52">
        <f t="shared" si="116"/>
        <v>0</v>
      </c>
      <c r="BH50" s="52">
        <f t="shared" si="116"/>
        <v>0</v>
      </c>
      <c r="BI50" s="52">
        <f t="shared" si="116"/>
        <v>0</v>
      </c>
      <c r="BJ50" s="52">
        <f t="shared" si="116"/>
        <v>0</v>
      </c>
      <c r="BK50" s="52">
        <f t="shared" si="116"/>
        <v>0</v>
      </c>
      <c r="BL50" s="52">
        <f t="shared" si="116"/>
        <v>0</v>
      </c>
      <c r="BM50" s="52">
        <f t="shared" si="116"/>
        <v>0</v>
      </c>
      <c r="BN50" s="52">
        <f t="shared" si="116"/>
        <v>0</v>
      </c>
      <c r="BO50" s="52">
        <f t="shared" si="116"/>
        <v>0</v>
      </c>
      <c r="BP50" s="52">
        <f t="shared" si="116"/>
        <v>0</v>
      </c>
      <c r="BQ50" s="52">
        <f t="shared" si="116"/>
        <v>0</v>
      </c>
      <c r="BR50" s="52">
        <f t="shared" ref="BR50:CW50" si="117">IFERROR(IF(BR$28="FALSE",0,$C$50/$C$8),0)</f>
        <v>0</v>
      </c>
      <c r="BS50" s="52">
        <f t="shared" si="117"/>
        <v>0</v>
      </c>
      <c r="BT50" s="52">
        <f t="shared" si="117"/>
        <v>0</v>
      </c>
      <c r="BU50" s="52">
        <f t="shared" si="117"/>
        <v>0</v>
      </c>
      <c r="BV50" s="52">
        <f t="shared" si="117"/>
        <v>0</v>
      </c>
      <c r="BW50" s="52">
        <f t="shared" si="117"/>
        <v>0</v>
      </c>
      <c r="BX50" s="52">
        <f t="shared" si="117"/>
        <v>0</v>
      </c>
      <c r="BY50" s="52">
        <f t="shared" si="117"/>
        <v>0</v>
      </c>
      <c r="BZ50" s="52">
        <f t="shared" si="117"/>
        <v>0</v>
      </c>
      <c r="CA50" s="52">
        <f t="shared" si="117"/>
        <v>0</v>
      </c>
      <c r="CB50" s="52">
        <f t="shared" si="117"/>
        <v>0</v>
      </c>
      <c r="CC50" s="52">
        <f t="shared" si="117"/>
        <v>0</v>
      </c>
      <c r="CD50" s="52">
        <f t="shared" si="117"/>
        <v>0</v>
      </c>
      <c r="CE50" s="52">
        <f t="shared" si="117"/>
        <v>0</v>
      </c>
      <c r="CF50" s="52">
        <f t="shared" si="117"/>
        <v>0</v>
      </c>
      <c r="CG50" s="52">
        <f t="shared" si="117"/>
        <v>0</v>
      </c>
      <c r="CH50" s="52">
        <f t="shared" si="117"/>
        <v>0</v>
      </c>
      <c r="CI50" s="52">
        <f t="shared" si="117"/>
        <v>0</v>
      </c>
      <c r="CJ50" s="52">
        <f t="shared" si="117"/>
        <v>0</v>
      </c>
      <c r="CK50" s="52">
        <f t="shared" si="117"/>
        <v>0</v>
      </c>
      <c r="CL50" s="52">
        <f t="shared" si="117"/>
        <v>0</v>
      </c>
      <c r="CM50" s="52">
        <f t="shared" si="117"/>
        <v>0</v>
      </c>
      <c r="CN50" s="52">
        <f t="shared" si="117"/>
        <v>0</v>
      </c>
      <c r="CO50" s="52">
        <f t="shared" si="117"/>
        <v>0</v>
      </c>
      <c r="CP50" s="52">
        <f t="shared" si="117"/>
        <v>0</v>
      </c>
      <c r="CQ50" s="52">
        <f t="shared" si="117"/>
        <v>0</v>
      </c>
      <c r="CR50" s="52">
        <f t="shared" si="117"/>
        <v>0</v>
      </c>
      <c r="CS50" s="52">
        <f t="shared" si="117"/>
        <v>0</v>
      </c>
      <c r="CT50" s="52">
        <f t="shared" si="117"/>
        <v>0</v>
      </c>
      <c r="CU50" s="52">
        <f t="shared" si="117"/>
        <v>0</v>
      </c>
      <c r="CV50" s="52">
        <f t="shared" si="117"/>
        <v>0</v>
      </c>
      <c r="CW50" s="52">
        <f t="shared" si="117"/>
        <v>0</v>
      </c>
      <c r="CX50" s="52">
        <f t="shared" ref="CX50:EC50" si="118">IFERROR(IF(CX$28="FALSE",0,$C$50/$C$8),0)</f>
        <v>0</v>
      </c>
      <c r="CY50" s="52">
        <f t="shared" si="118"/>
        <v>0</v>
      </c>
      <c r="CZ50" s="52">
        <f t="shared" si="118"/>
        <v>0</v>
      </c>
      <c r="DA50" s="52">
        <f t="shared" si="118"/>
        <v>0</v>
      </c>
      <c r="DB50" s="52">
        <f t="shared" si="118"/>
        <v>0</v>
      </c>
      <c r="DC50" s="52">
        <f t="shared" si="118"/>
        <v>0</v>
      </c>
      <c r="DD50" s="52">
        <f t="shared" si="118"/>
        <v>0</v>
      </c>
      <c r="DE50" s="52">
        <f t="shared" si="118"/>
        <v>0</v>
      </c>
      <c r="DF50" s="52">
        <f t="shared" si="118"/>
        <v>0</v>
      </c>
      <c r="DG50" s="52">
        <f t="shared" si="118"/>
        <v>0</v>
      </c>
      <c r="DH50" s="52">
        <f t="shared" si="118"/>
        <v>0</v>
      </c>
      <c r="DI50" s="52">
        <f t="shared" si="118"/>
        <v>0</v>
      </c>
      <c r="DJ50" s="52">
        <f t="shared" si="118"/>
        <v>0</v>
      </c>
      <c r="DK50" s="52">
        <f t="shared" si="118"/>
        <v>0</v>
      </c>
      <c r="DL50" s="52">
        <f t="shared" si="118"/>
        <v>0</v>
      </c>
      <c r="DM50" s="52">
        <f t="shared" si="118"/>
        <v>0</v>
      </c>
      <c r="DN50" s="52">
        <f t="shared" si="118"/>
        <v>0</v>
      </c>
      <c r="DO50" s="52">
        <f t="shared" si="118"/>
        <v>0</v>
      </c>
      <c r="DP50" s="52">
        <f t="shared" si="118"/>
        <v>0</v>
      </c>
      <c r="DQ50" s="52">
        <f t="shared" si="118"/>
        <v>0</v>
      </c>
      <c r="DR50" s="52">
        <f t="shared" si="118"/>
        <v>0</v>
      </c>
      <c r="DS50" s="52">
        <f t="shared" si="118"/>
        <v>0</v>
      </c>
      <c r="DT50" s="52">
        <f t="shared" si="118"/>
        <v>0</v>
      </c>
      <c r="DU50" s="52">
        <f t="shared" si="118"/>
        <v>0</v>
      </c>
      <c r="DV50" s="52">
        <f t="shared" si="118"/>
        <v>0</v>
      </c>
      <c r="DW50" s="52">
        <f t="shared" si="118"/>
        <v>0</v>
      </c>
      <c r="DX50" s="52">
        <f t="shared" si="118"/>
        <v>0</v>
      </c>
      <c r="DY50" s="52">
        <f t="shared" si="118"/>
        <v>0</v>
      </c>
      <c r="DZ50" s="52">
        <f t="shared" si="118"/>
        <v>0</v>
      </c>
      <c r="EA50" s="52">
        <f t="shared" si="118"/>
        <v>0</v>
      </c>
      <c r="EB50" s="52">
        <f t="shared" si="118"/>
        <v>0</v>
      </c>
      <c r="EC50" s="52">
        <f t="shared" si="118"/>
        <v>0</v>
      </c>
      <c r="ED50" s="52">
        <f t="shared" ref="ED50:FD50" si="119">IFERROR(IF(ED$28="FALSE",0,$C$50/$C$8),0)</f>
        <v>0</v>
      </c>
      <c r="EE50" s="52">
        <f t="shared" si="119"/>
        <v>0</v>
      </c>
      <c r="EF50" s="52">
        <f t="shared" si="119"/>
        <v>0</v>
      </c>
      <c r="EG50" s="52">
        <f t="shared" si="119"/>
        <v>0</v>
      </c>
      <c r="EH50" s="52">
        <f t="shared" si="119"/>
        <v>0</v>
      </c>
      <c r="EI50" s="52">
        <f t="shared" si="119"/>
        <v>0</v>
      </c>
      <c r="EJ50" s="52">
        <f t="shared" si="119"/>
        <v>0</v>
      </c>
      <c r="EK50" s="52">
        <f t="shared" si="119"/>
        <v>0</v>
      </c>
      <c r="EL50" s="52">
        <f t="shared" si="119"/>
        <v>0</v>
      </c>
      <c r="EM50" s="52">
        <f t="shared" si="119"/>
        <v>0</v>
      </c>
      <c r="EN50" s="52">
        <f t="shared" si="119"/>
        <v>0</v>
      </c>
      <c r="EO50" s="52">
        <f t="shared" si="119"/>
        <v>0</v>
      </c>
      <c r="EP50" s="52">
        <f t="shared" si="119"/>
        <v>0</v>
      </c>
      <c r="EQ50" s="52">
        <f t="shared" si="119"/>
        <v>0</v>
      </c>
      <c r="ER50" s="52">
        <f t="shared" si="119"/>
        <v>0</v>
      </c>
      <c r="ES50" s="52">
        <f t="shared" si="119"/>
        <v>0</v>
      </c>
      <c r="ET50" s="52">
        <f t="shared" si="119"/>
        <v>0</v>
      </c>
      <c r="EU50" s="52">
        <f t="shared" si="119"/>
        <v>0</v>
      </c>
      <c r="EV50" s="52">
        <f t="shared" si="119"/>
        <v>0</v>
      </c>
      <c r="EW50" s="52">
        <f t="shared" si="119"/>
        <v>0</v>
      </c>
      <c r="EX50" s="52">
        <f t="shared" si="119"/>
        <v>0</v>
      </c>
      <c r="EY50" s="52">
        <f t="shared" si="119"/>
        <v>0</v>
      </c>
      <c r="EZ50" s="52">
        <f t="shared" si="119"/>
        <v>0</v>
      </c>
      <c r="FA50" s="52">
        <f t="shared" si="119"/>
        <v>0</v>
      </c>
      <c r="FB50" s="52">
        <f t="shared" si="119"/>
        <v>0</v>
      </c>
      <c r="FC50" s="52">
        <f t="shared" si="119"/>
        <v>0</v>
      </c>
      <c r="FD50" s="52">
        <f t="shared" si="119"/>
        <v>0</v>
      </c>
    </row>
    <row r="51" spans="2:160">
      <c r="B51" s="51" t="s">
        <v>130</v>
      </c>
      <c r="C51" s="52">
        <f ca="1">IF(Startup!$C$3="Project",SUMIF(Startup!$C$7:$D$27,Overview!B51,Startup!$D$7:$D$27),(SUMIF(Startup!$C$7:$D$27,Overview!B51,Startup!$D$7:$D$27)*Startup!$C$4))+IF(Pilot!$C$3="Project",SUMIF(Pilot!$C$7:$D$27,Overview!B51,Pilot!$D$7:$D$27),(SUMIF(Pilot!$C$7:$D$27,Overview!B51,Pilot!$D$7:$D$27)*Pilot!$C$4))+IF(PMO!$C$3="Project",SUMIF(PMO!$C$7:$D$27,Overview!B51,PMO!$D$7:$D$27),(SUMIF(PMO!$C$7:$D$27,Overview!B51,PMO!$D$7:$D$27)*PMO!$C$4))+IF('Design &amp; Fulfillment'!$C$3="Project",SUMIF('Design &amp; Fulfillment'!$C$7:$D$27,Overview!B51,'Design &amp; Fulfillment'!$D$7:$D$27),(SUMIF('Design &amp; Fulfillment'!$C$7:$D$27,Overview!B51,'Design &amp; Fulfillment'!$D$7:$D$27)*'Design &amp; Fulfillment'!$C$4))+IF(Workplace!$C$3="Project",SUMIF(Workplace!$C$7:$D$27,Overview!B51,Workplace!$D$7:$D$27),(SUMIF(Workplace!$C$7:$D$27,Overview!B51,Workplace!$D$7:$D$27)*Workplace!$C$4))+IF(Integration!$C$3="Project",SUMIF(Integration!$C$7:$D$27,Overview!B51,Integration!$D$7:$D$27),(SUMIF(Integration!$C$7:$D$27,Overview!B51,Integration!$D$7:$D$27)*Integration!$C$4))+IF(Logistics!$C$3="Project",SUMIF(Logistics!$C$7:$D$27,Overview!B51,Logistics!$D$7:$D$27),(SUMIF(Logistics!$C$7:$D$27,Overview!B51,Logistics!$D$7:$D$27)*Logistics!$C$4))+IF('Service Desk'!$C$3="Project",SUMIF('Service Desk'!$C$7:$D$27,Overview!B51,'Service Desk'!$D$7:$D$27),(SUMIF('Service Desk'!$C$7:$D$27,Overview!B51,'Service Desk'!$D$7:$D$27)*'Service Desk'!$C$4))+IF('Pro Services'!$C$3="Project",SUMIF('Pro Services'!$C$7:$D$27,Overview!B51,'Pro Services'!$D$7:$D$27),(SUMIF('Pro Services'!$C$7:$D$27,Overview!B51,'Pro Services'!$D$7:$D$27)*'Pro Services'!$C$4))</f>
        <v>0</v>
      </c>
      <c r="D51" s="53">
        <f ca="1">IF(Startup!$C$3="Project",SUMIF(Startup!$C$7:$H$27,Overview!B51,Startup!$H$7:$H$27),(SUMIF(Startup!$C$7:$H$27,Overview!B51,Startup!$H$7:$H$27)*Startup!$C$4))+IF(Pilot!$C$3="Project",SUMIF(Pilot!$C$7:$H$27,Overview!B51,Pilot!$H$7:$H$27),(SUMIF(Pilot!$C$7:$H$27,Overview!B51,Pilot!$H$7:$H$27)*Pilot!$C$4))+IF(PMO!$C$3="Project",SUMIF(PMO!$C$7:$H$27,Overview!B51,PMO!$H$7:$H$27),(SUMIF(PMO!$C$7:$H$27,Overview!B51,PMO!$H$7:$H$27)*PMO!$C$4))+IF('Design &amp; Fulfillment'!$C$3="Project",SUMIF('Design &amp; Fulfillment'!$C$7:$H$27,Overview!B51,'Design &amp; Fulfillment'!$H$7:$H$27),(SUMIF('Design &amp; Fulfillment'!$C$7:$H$27,Overview!B51,'Design &amp; Fulfillment'!$H$7:$H$27)*'Design &amp; Fulfillment'!$C$4))+IF(Workplace!$C$3="Project",SUMIF(Workplace!$C$7:$H$27,Overview!B51,Workplace!$H$7:$H$27),(SUMIF(Workplace!$C$7:$H$27,Overview!B51,Workplace!$H$7:$H$27)*Workplace!$C$4))+IF(Integration!$C$3="Project",SUMIF(Integration!$C$7:$H$27,Overview!B51,Integration!$H$7:$H$27),(SUMIF(Integration!$C$7:$H$27,Overview!B51,Integration!$H$7:$H$27)*Integration!$C$4))+IF(Logistics!$C$3="Project",SUMIF(Logistics!$C$7:$H$27,Overview!B51,Logistics!$H$7:$H$27),(SUMIF(Logistics!$C$7:$H$27,Overview!B51,Logistics!$H$7:$H$27)*Logistics!$C$4))+IF('Service Desk'!$C$3="Project",SUMIF('Service Desk'!$C$7:$H$27,Overview!B51,'Service Desk'!$H$7:$H$27),(SUMIF('Service Desk'!$C$7:$H$27,Overview!B51,'Service Desk'!$H$7:$H$27)*'Service Desk'!$C$4))+IF('Pro Services'!$C$3="Project",SUMIF('Pro Services'!$C$7:$H$27,Overview!B51,'Pro Services'!$H$7:$H$27),(SUMIF('Pro Services'!$C$7:$H$27,Overview!B51,'Pro Services'!$H$7:$H$27)*'Pro Services'!$C$4))</f>
        <v>0</v>
      </c>
      <c r="E51" s="52">
        <f t="shared" ref="E51:E116" ca="1" si="120">IFERROR(C51/$C$8,0)</f>
        <v>0</v>
      </c>
      <c r="F51" s="52">
        <f t="shared" ref="F51:AK51" si="121">IFERROR(IF(F$28="FALSE",0,$C$51/$C$8),0)</f>
        <v>0</v>
      </c>
      <c r="G51" s="52">
        <f t="shared" si="121"/>
        <v>0</v>
      </c>
      <c r="H51" s="52">
        <f t="shared" si="121"/>
        <v>0</v>
      </c>
      <c r="I51" s="52">
        <f t="shared" si="121"/>
        <v>0</v>
      </c>
      <c r="J51" s="52">
        <f t="shared" si="121"/>
        <v>0</v>
      </c>
      <c r="K51" s="52">
        <f t="shared" si="121"/>
        <v>0</v>
      </c>
      <c r="L51" s="52">
        <f t="shared" si="121"/>
        <v>0</v>
      </c>
      <c r="M51" s="52">
        <f t="shared" si="121"/>
        <v>0</v>
      </c>
      <c r="N51" s="52">
        <f t="shared" si="121"/>
        <v>0</v>
      </c>
      <c r="O51" s="52">
        <f t="shared" si="121"/>
        <v>0</v>
      </c>
      <c r="P51" s="52">
        <f t="shared" si="121"/>
        <v>0</v>
      </c>
      <c r="Q51" s="52">
        <f t="shared" si="121"/>
        <v>0</v>
      </c>
      <c r="R51" s="52">
        <f t="shared" si="121"/>
        <v>0</v>
      </c>
      <c r="S51" s="52">
        <f t="shared" si="121"/>
        <v>0</v>
      </c>
      <c r="T51" s="52">
        <f t="shared" si="121"/>
        <v>0</v>
      </c>
      <c r="U51" s="52">
        <f t="shared" si="121"/>
        <v>0</v>
      </c>
      <c r="V51" s="52">
        <f t="shared" si="121"/>
        <v>0</v>
      </c>
      <c r="W51" s="52">
        <f t="shared" si="121"/>
        <v>0</v>
      </c>
      <c r="X51" s="52">
        <f t="shared" si="121"/>
        <v>0</v>
      </c>
      <c r="Y51" s="52">
        <f t="shared" si="121"/>
        <v>0</v>
      </c>
      <c r="Z51" s="52">
        <f t="shared" si="121"/>
        <v>0</v>
      </c>
      <c r="AA51" s="52">
        <f t="shared" si="121"/>
        <v>0</v>
      </c>
      <c r="AB51" s="52">
        <f t="shared" si="121"/>
        <v>0</v>
      </c>
      <c r="AC51" s="52">
        <f t="shared" si="121"/>
        <v>0</v>
      </c>
      <c r="AD51" s="52">
        <f t="shared" si="121"/>
        <v>0</v>
      </c>
      <c r="AE51" s="52">
        <f t="shared" si="121"/>
        <v>0</v>
      </c>
      <c r="AF51" s="52">
        <f t="shared" si="121"/>
        <v>0</v>
      </c>
      <c r="AG51" s="52">
        <f t="shared" si="121"/>
        <v>0</v>
      </c>
      <c r="AH51" s="52">
        <f t="shared" si="121"/>
        <v>0</v>
      </c>
      <c r="AI51" s="52">
        <f t="shared" si="121"/>
        <v>0</v>
      </c>
      <c r="AJ51" s="52">
        <f t="shared" si="121"/>
        <v>0</v>
      </c>
      <c r="AK51" s="52">
        <f t="shared" si="121"/>
        <v>0</v>
      </c>
      <c r="AL51" s="52">
        <f t="shared" ref="AL51:BQ51" si="122">IFERROR(IF(AL$28="FALSE",0,$C$51/$C$8),0)</f>
        <v>0</v>
      </c>
      <c r="AM51" s="52">
        <f t="shared" si="122"/>
        <v>0</v>
      </c>
      <c r="AN51" s="52">
        <f t="shared" si="122"/>
        <v>0</v>
      </c>
      <c r="AO51" s="52">
        <f t="shared" si="122"/>
        <v>0</v>
      </c>
      <c r="AP51" s="52">
        <f t="shared" si="122"/>
        <v>0</v>
      </c>
      <c r="AQ51" s="52">
        <f t="shared" si="122"/>
        <v>0</v>
      </c>
      <c r="AR51" s="52">
        <f t="shared" si="122"/>
        <v>0</v>
      </c>
      <c r="AS51" s="52">
        <f t="shared" si="122"/>
        <v>0</v>
      </c>
      <c r="AT51" s="52">
        <f t="shared" si="122"/>
        <v>0</v>
      </c>
      <c r="AU51" s="52">
        <f t="shared" si="122"/>
        <v>0</v>
      </c>
      <c r="AV51" s="52">
        <f t="shared" si="122"/>
        <v>0</v>
      </c>
      <c r="AW51" s="52">
        <f t="shared" si="122"/>
        <v>0</v>
      </c>
      <c r="AX51" s="52">
        <f t="shared" si="122"/>
        <v>0</v>
      </c>
      <c r="AY51" s="52">
        <f t="shared" si="122"/>
        <v>0</v>
      </c>
      <c r="AZ51" s="52">
        <f t="shared" si="122"/>
        <v>0</v>
      </c>
      <c r="BA51" s="52">
        <f t="shared" si="122"/>
        <v>0</v>
      </c>
      <c r="BB51" s="52">
        <f t="shared" si="122"/>
        <v>0</v>
      </c>
      <c r="BC51" s="52">
        <f t="shared" si="122"/>
        <v>0</v>
      </c>
      <c r="BD51" s="52">
        <f t="shared" si="122"/>
        <v>0</v>
      </c>
      <c r="BE51" s="52">
        <f t="shared" si="122"/>
        <v>0</v>
      </c>
      <c r="BF51" s="52">
        <f t="shared" si="122"/>
        <v>0</v>
      </c>
      <c r="BG51" s="52">
        <f t="shared" si="122"/>
        <v>0</v>
      </c>
      <c r="BH51" s="52">
        <f t="shared" si="122"/>
        <v>0</v>
      </c>
      <c r="BI51" s="52">
        <f t="shared" si="122"/>
        <v>0</v>
      </c>
      <c r="BJ51" s="52">
        <f t="shared" si="122"/>
        <v>0</v>
      </c>
      <c r="BK51" s="52">
        <f t="shared" si="122"/>
        <v>0</v>
      </c>
      <c r="BL51" s="52">
        <f t="shared" si="122"/>
        <v>0</v>
      </c>
      <c r="BM51" s="52">
        <f t="shared" si="122"/>
        <v>0</v>
      </c>
      <c r="BN51" s="52">
        <f t="shared" si="122"/>
        <v>0</v>
      </c>
      <c r="BO51" s="52">
        <f t="shared" si="122"/>
        <v>0</v>
      </c>
      <c r="BP51" s="52">
        <f t="shared" si="122"/>
        <v>0</v>
      </c>
      <c r="BQ51" s="52">
        <f t="shared" si="122"/>
        <v>0</v>
      </c>
      <c r="BR51" s="52">
        <f t="shared" ref="BR51:CW51" si="123">IFERROR(IF(BR$28="FALSE",0,$C$51/$C$8),0)</f>
        <v>0</v>
      </c>
      <c r="BS51" s="52">
        <f t="shared" si="123"/>
        <v>0</v>
      </c>
      <c r="BT51" s="52">
        <f t="shared" si="123"/>
        <v>0</v>
      </c>
      <c r="BU51" s="52">
        <f t="shared" si="123"/>
        <v>0</v>
      </c>
      <c r="BV51" s="52">
        <f t="shared" si="123"/>
        <v>0</v>
      </c>
      <c r="BW51" s="52">
        <f t="shared" si="123"/>
        <v>0</v>
      </c>
      <c r="BX51" s="52">
        <f t="shared" si="123"/>
        <v>0</v>
      </c>
      <c r="BY51" s="52">
        <f t="shared" si="123"/>
        <v>0</v>
      </c>
      <c r="BZ51" s="52">
        <f t="shared" si="123"/>
        <v>0</v>
      </c>
      <c r="CA51" s="52">
        <f t="shared" si="123"/>
        <v>0</v>
      </c>
      <c r="CB51" s="52">
        <f t="shared" si="123"/>
        <v>0</v>
      </c>
      <c r="CC51" s="52">
        <f t="shared" si="123"/>
        <v>0</v>
      </c>
      <c r="CD51" s="52">
        <f t="shared" si="123"/>
        <v>0</v>
      </c>
      <c r="CE51" s="52">
        <f t="shared" si="123"/>
        <v>0</v>
      </c>
      <c r="CF51" s="52">
        <f t="shared" si="123"/>
        <v>0</v>
      </c>
      <c r="CG51" s="52">
        <f t="shared" si="123"/>
        <v>0</v>
      </c>
      <c r="CH51" s="52">
        <f t="shared" si="123"/>
        <v>0</v>
      </c>
      <c r="CI51" s="52">
        <f t="shared" si="123"/>
        <v>0</v>
      </c>
      <c r="CJ51" s="52">
        <f t="shared" si="123"/>
        <v>0</v>
      </c>
      <c r="CK51" s="52">
        <f t="shared" si="123"/>
        <v>0</v>
      </c>
      <c r="CL51" s="52">
        <f t="shared" si="123"/>
        <v>0</v>
      </c>
      <c r="CM51" s="52">
        <f t="shared" si="123"/>
        <v>0</v>
      </c>
      <c r="CN51" s="52">
        <f t="shared" si="123"/>
        <v>0</v>
      </c>
      <c r="CO51" s="52">
        <f t="shared" si="123"/>
        <v>0</v>
      </c>
      <c r="CP51" s="52">
        <f t="shared" si="123"/>
        <v>0</v>
      </c>
      <c r="CQ51" s="52">
        <f t="shared" si="123"/>
        <v>0</v>
      </c>
      <c r="CR51" s="52">
        <f t="shared" si="123"/>
        <v>0</v>
      </c>
      <c r="CS51" s="52">
        <f t="shared" si="123"/>
        <v>0</v>
      </c>
      <c r="CT51" s="52">
        <f t="shared" si="123"/>
        <v>0</v>
      </c>
      <c r="CU51" s="52">
        <f t="shared" si="123"/>
        <v>0</v>
      </c>
      <c r="CV51" s="52">
        <f t="shared" si="123"/>
        <v>0</v>
      </c>
      <c r="CW51" s="52">
        <f t="shared" si="123"/>
        <v>0</v>
      </c>
      <c r="CX51" s="52">
        <f t="shared" ref="CX51:EC51" si="124">IFERROR(IF(CX$28="FALSE",0,$C$51/$C$8),0)</f>
        <v>0</v>
      </c>
      <c r="CY51" s="52">
        <f t="shared" si="124"/>
        <v>0</v>
      </c>
      <c r="CZ51" s="52">
        <f t="shared" si="124"/>
        <v>0</v>
      </c>
      <c r="DA51" s="52">
        <f t="shared" si="124"/>
        <v>0</v>
      </c>
      <c r="DB51" s="52">
        <f t="shared" si="124"/>
        <v>0</v>
      </c>
      <c r="DC51" s="52">
        <f t="shared" si="124"/>
        <v>0</v>
      </c>
      <c r="DD51" s="52">
        <f t="shared" si="124"/>
        <v>0</v>
      </c>
      <c r="DE51" s="52">
        <f t="shared" si="124"/>
        <v>0</v>
      </c>
      <c r="DF51" s="52">
        <f t="shared" si="124"/>
        <v>0</v>
      </c>
      <c r="DG51" s="52">
        <f t="shared" si="124"/>
        <v>0</v>
      </c>
      <c r="DH51" s="52">
        <f t="shared" si="124"/>
        <v>0</v>
      </c>
      <c r="DI51" s="52">
        <f t="shared" si="124"/>
        <v>0</v>
      </c>
      <c r="DJ51" s="52">
        <f t="shared" si="124"/>
        <v>0</v>
      </c>
      <c r="DK51" s="52">
        <f t="shared" si="124"/>
        <v>0</v>
      </c>
      <c r="DL51" s="52">
        <f t="shared" si="124"/>
        <v>0</v>
      </c>
      <c r="DM51" s="52">
        <f t="shared" si="124"/>
        <v>0</v>
      </c>
      <c r="DN51" s="52">
        <f t="shared" si="124"/>
        <v>0</v>
      </c>
      <c r="DO51" s="52">
        <f t="shared" si="124"/>
        <v>0</v>
      </c>
      <c r="DP51" s="52">
        <f t="shared" si="124"/>
        <v>0</v>
      </c>
      <c r="DQ51" s="52">
        <f t="shared" si="124"/>
        <v>0</v>
      </c>
      <c r="DR51" s="52">
        <f t="shared" si="124"/>
        <v>0</v>
      </c>
      <c r="DS51" s="52">
        <f t="shared" si="124"/>
        <v>0</v>
      </c>
      <c r="DT51" s="52">
        <f t="shared" si="124"/>
        <v>0</v>
      </c>
      <c r="DU51" s="52">
        <f t="shared" si="124"/>
        <v>0</v>
      </c>
      <c r="DV51" s="52">
        <f t="shared" si="124"/>
        <v>0</v>
      </c>
      <c r="DW51" s="52">
        <f t="shared" si="124"/>
        <v>0</v>
      </c>
      <c r="DX51" s="52">
        <f t="shared" si="124"/>
        <v>0</v>
      </c>
      <c r="DY51" s="52">
        <f t="shared" si="124"/>
        <v>0</v>
      </c>
      <c r="DZ51" s="52">
        <f t="shared" si="124"/>
        <v>0</v>
      </c>
      <c r="EA51" s="52">
        <f t="shared" si="124"/>
        <v>0</v>
      </c>
      <c r="EB51" s="52">
        <f t="shared" si="124"/>
        <v>0</v>
      </c>
      <c r="EC51" s="52">
        <f t="shared" si="124"/>
        <v>0</v>
      </c>
      <c r="ED51" s="52">
        <f t="shared" ref="ED51:FD51" si="125">IFERROR(IF(ED$28="FALSE",0,$C$51/$C$8),0)</f>
        <v>0</v>
      </c>
      <c r="EE51" s="52">
        <f t="shared" si="125"/>
        <v>0</v>
      </c>
      <c r="EF51" s="52">
        <f t="shared" si="125"/>
        <v>0</v>
      </c>
      <c r="EG51" s="52">
        <f t="shared" si="125"/>
        <v>0</v>
      </c>
      <c r="EH51" s="52">
        <f t="shared" si="125"/>
        <v>0</v>
      </c>
      <c r="EI51" s="52">
        <f t="shared" si="125"/>
        <v>0</v>
      </c>
      <c r="EJ51" s="52">
        <f t="shared" si="125"/>
        <v>0</v>
      </c>
      <c r="EK51" s="52">
        <f t="shared" si="125"/>
        <v>0</v>
      </c>
      <c r="EL51" s="52">
        <f t="shared" si="125"/>
        <v>0</v>
      </c>
      <c r="EM51" s="52">
        <f t="shared" si="125"/>
        <v>0</v>
      </c>
      <c r="EN51" s="52">
        <f t="shared" si="125"/>
        <v>0</v>
      </c>
      <c r="EO51" s="52">
        <f t="shared" si="125"/>
        <v>0</v>
      </c>
      <c r="EP51" s="52">
        <f t="shared" si="125"/>
        <v>0</v>
      </c>
      <c r="EQ51" s="52">
        <f t="shared" si="125"/>
        <v>0</v>
      </c>
      <c r="ER51" s="52">
        <f t="shared" si="125"/>
        <v>0</v>
      </c>
      <c r="ES51" s="52">
        <f t="shared" si="125"/>
        <v>0</v>
      </c>
      <c r="ET51" s="52">
        <f t="shared" si="125"/>
        <v>0</v>
      </c>
      <c r="EU51" s="52">
        <f t="shared" si="125"/>
        <v>0</v>
      </c>
      <c r="EV51" s="52">
        <f t="shared" si="125"/>
        <v>0</v>
      </c>
      <c r="EW51" s="52">
        <f t="shared" si="125"/>
        <v>0</v>
      </c>
      <c r="EX51" s="52">
        <f t="shared" si="125"/>
        <v>0</v>
      </c>
      <c r="EY51" s="52">
        <f t="shared" si="125"/>
        <v>0</v>
      </c>
      <c r="EZ51" s="52">
        <f t="shared" si="125"/>
        <v>0</v>
      </c>
      <c r="FA51" s="52">
        <f t="shared" si="125"/>
        <v>0</v>
      </c>
      <c r="FB51" s="52">
        <f t="shared" si="125"/>
        <v>0</v>
      </c>
      <c r="FC51" s="52">
        <f t="shared" si="125"/>
        <v>0</v>
      </c>
      <c r="FD51" s="52">
        <f t="shared" si="125"/>
        <v>0</v>
      </c>
    </row>
    <row r="52" spans="2:160">
      <c r="B52" s="51" t="s">
        <v>131</v>
      </c>
      <c r="C52" s="52">
        <f ca="1">IF(Startup!$C$3="Project",SUMIF(Startup!$C$7:$D$27,Overview!B52,Startup!$D$7:$D$27),(SUMIF(Startup!$C$7:$D$27,Overview!B52,Startup!$D$7:$D$27)*Startup!$C$4))+IF(Pilot!$C$3="Project",SUMIF(Pilot!$C$7:$D$27,Overview!B52,Pilot!$D$7:$D$27),(SUMIF(Pilot!$C$7:$D$27,Overview!B52,Pilot!$D$7:$D$27)*Pilot!$C$4))+IF(PMO!$C$3="Project",SUMIF(PMO!$C$7:$D$27,Overview!B52,PMO!$D$7:$D$27),(SUMIF(PMO!$C$7:$D$27,Overview!B52,PMO!$D$7:$D$27)*PMO!$C$4))+IF('Design &amp; Fulfillment'!$C$3="Project",SUMIF('Design &amp; Fulfillment'!$C$7:$D$27,Overview!B52,'Design &amp; Fulfillment'!$D$7:$D$27),(SUMIF('Design &amp; Fulfillment'!$C$7:$D$27,Overview!B52,'Design &amp; Fulfillment'!$D$7:$D$27)*'Design &amp; Fulfillment'!$C$4))+IF(Workplace!$C$3="Project",SUMIF(Workplace!$C$7:$D$27,Overview!B52,Workplace!$D$7:$D$27),(SUMIF(Workplace!$C$7:$D$27,Overview!B52,Workplace!$D$7:$D$27)*Workplace!$C$4))+IF(Integration!$C$3="Project",SUMIF(Integration!$C$7:$D$27,Overview!B52,Integration!$D$7:$D$27),(SUMIF(Integration!$C$7:$D$27,Overview!B52,Integration!$D$7:$D$27)*Integration!$C$4))+IF(Logistics!$C$3="Project",SUMIF(Logistics!$C$7:$D$27,Overview!B52,Logistics!$D$7:$D$27),(SUMIF(Logistics!$C$7:$D$27,Overview!B52,Logistics!$D$7:$D$27)*Logistics!$C$4))+IF('Service Desk'!$C$3="Project",SUMIF('Service Desk'!$C$7:$D$27,Overview!B52,'Service Desk'!$D$7:$D$27),(SUMIF('Service Desk'!$C$7:$D$27,Overview!B52,'Service Desk'!$D$7:$D$27)*'Service Desk'!$C$4))+IF('Pro Services'!$C$3="Project",SUMIF('Pro Services'!$C$7:$D$27,Overview!B52,'Pro Services'!$D$7:$D$27),(SUMIF('Pro Services'!$C$7:$D$27,Overview!B52,'Pro Services'!$D$7:$D$27)*'Pro Services'!$C$4))</f>
        <v>0</v>
      </c>
      <c r="D52" s="53">
        <f ca="1">IF(Startup!$C$3="Project",SUMIF(Startup!$C$7:$H$27,Overview!B52,Startup!$H$7:$H$27),(SUMIF(Startup!$C$7:$H$27,Overview!B52,Startup!$H$7:$H$27)*Startup!$C$4))+IF(Pilot!$C$3="Project",SUMIF(Pilot!$C$7:$H$27,Overview!B52,Pilot!$H$7:$H$27),(SUMIF(Pilot!$C$7:$H$27,Overview!B52,Pilot!$H$7:$H$27)*Pilot!$C$4))+IF(PMO!$C$3="Project",SUMIF(PMO!$C$7:$H$27,Overview!B52,PMO!$H$7:$H$27),(SUMIF(PMO!$C$7:$H$27,Overview!B52,PMO!$H$7:$H$27)*PMO!$C$4))+IF('Design &amp; Fulfillment'!$C$3="Project",SUMIF('Design &amp; Fulfillment'!$C$7:$H$27,Overview!B52,'Design &amp; Fulfillment'!$H$7:$H$27),(SUMIF('Design &amp; Fulfillment'!$C$7:$H$27,Overview!B52,'Design &amp; Fulfillment'!$H$7:$H$27)*'Design &amp; Fulfillment'!$C$4))+IF(Workplace!$C$3="Project",SUMIF(Workplace!$C$7:$H$27,Overview!B52,Workplace!$H$7:$H$27),(SUMIF(Workplace!$C$7:$H$27,Overview!B52,Workplace!$H$7:$H$27)*Workplace!$C$4))+IF(Integration!$C$3="Project",SUMIF(Integration!$C$7:$H$27,Overview!B52,Integration!$H$7:$H$27),(SUMIF(Integration!$C$7:$H$27,Overview!B52,Integration!$H$7:$H$27)*Integration!$C$4))+IF(Logistics!$C$3="Project",SUMIF(Logistics!$C$7:$H$27,Overview!B52,Logistics!$H$7:$H$27),(SUMIF(Logistics!$C$7:$H$27,Overview!B52,Logistics!$H$7:$H$27)*Logistics!$C$4))+IF('Service Desk'!$C$3="Project",SUMIF('Service Desk'!$C$7:$H$27,Overview!B52,'Service Desk'!$H$7:$H$27),(SUMIF('Service Desk'!$C$7:$H$27,Overview!B52,'Service Desk'!$H$7:$H$27)*'Service Desk'!$C$4))+IF('Pro Services'!$C$3="Project",SUMIF('Pro Services'!$C$7:$H$27,Overview!B52,'Pro Services'!$H$7:$H$27),(SUMIF('Pro Services'!$C$7:$H$27,Overview!B52,'Pro Services'!$H$7:$H$27)*'Pro Services'!$C$4))</f>
        <v>0</v>
      </c>
      <c r="E52" s="52">
        <f t="shared" ca="1" si="120"/>
        <v>0</v>
      </c>
      <c r="F52" s="52">
        <f t="shared" ref="F52:AK52" si="126">IFERROR(IF(F$28="FALSE",0,$C$52/$C$8),0)</f>
        <v>0</v>
      </c>
      <c r="G52" s="52">
        <f t="shared" si="126"/>
        <v>0</v>
      </c>
      <c r="H52" s="52">
        <f t="shared" si="126"/>
        <v>0</v>
      </c>
      <c r="I52" s="52">
        <f t="shared" si="126"/>
        <v>0</v>
      </c>
      <c r="J52" s="52">
        <f t="shared" si="126"/>
        <v>0</v>
      </c>
      <c r="K52" s="52">
        <f t="shared" si="126"/>
        <v>0</v>
      </c>
      <c r="L52" s="52">
        <f t="shared" si="126"/>
        <v>0</v>
      </c>
      <c r="M52" s="52">
        <f t="shared" si="126"/>
        <v>0</v>
      </c>
      <c r="N52" s="52">
        <f t="shared" si="126"/>
        <v>0</v>
      </c>
      <c r="O52" s="52">
        <f t="shared" si="126"/>
        <v>0</v>
      </c>
      <c r="P52" s="52">
        <f t="shared" si="126"/>
        <v>0</v>
      </c>
      <c r="Q52" s="52">
        <f t="shared" si="126"/>
        <v>0</v>
      </c>
      <c r="R52" s="52">
        <f t="shared" si="126"/>
        <v>0</v>
      </c>
      <c r="S52" s="52">
        <f t="shared" si="126"/>
        <v>0</v>
      </c>
      <c r="T52" s="52">
        <f t="shared" si="126"/>
        <v>0</v>
      </c>
      <c r="U52" s="52">
        <f t="shared" si="126"/>
        <v>0</v>
      </c>
      <c r="V52" s="52">
        <f t="shared" si="126"/>
        <v>0</v>
      </c>
      <c r="W52" s="52">
        <f t="shared" si="126"/>
        <v>0</v>
      </c>
      <c r="X52" s="52">
        <f t="shared" si="126"/>
        <v>0</v>
      </c>
      <c r="Y52" s="52">
        <f t="shared" si="126"/>
        <v>0</v>
      </c>
      <c r="Z52" s="52">
        <f t="shared" si="126"/>
        <v>0</v>
      </c>
      <c r="AA52" s="52">
        <f t="shared" si="126"/>
        <v>0</v>
      </c>
      <c r="AB52" s="52">
        <f t="shared" si="126"/>
        <v>0</v>
      </c>
      <c r="AC52" s="52">
        <f t="shared" si="126"/>
        <v>0</v>
      </c>
      <c r="AD52" s="52">
        <f t="shared" si="126"/>
        <v>0</v>
      </c>
      <c r="AE52" s="52">
        <f t="shared" si="126"/>
        <v>0</v>
      </c>
      <c r="AF52" s="52">
        <f t="shared" si="126"/>
        <v>0</v>
      </c>
      <c r="AG52" s="52">
        <f t="shared" si="126"/>
        <v>0</v>
      </c>
      <c r="AH52" s="52">
        <f t="shared" si="126"/>
        <v>0</v>
      </c>
      <c r="AI52" s="52">
        <f t="shared" si="126"/>
        <v>0</v>
      </c>
      <c r="AJ52" s="52">
        <f t="shared" si="126"/>
        <v>0</v>
      </c>
      <c r="AK52" s="52">
        <f t="shared" si="126"/>
        <v>0</v>
      </c>
      <c r="AL52" s="52">
        <f t="shared" ref="AL52:BQ52" si="127">IFERROR(IF(AL$28="FALSE",0,$C$52/$C$8),0)</f>
        <v>0</v>
      </c>
      <c r="AM52" s="52">
        <f t="shared" si="127"/>
        <v>0</v>
      </c>
      <c r="AN52" s="52">
        <f t="shared" si="127"/>
        <v>0</v>
      </c>
      <c r="AO52" s="52">
        <f t="shared" si="127"/>
        <v>0</v>
      </c>
      <c r="AP52" s="52">
        <f t="shared" si="127"/>
        <v>0</v>
      </c>
      <c r="AQ52" s="52">
        <f t="shared" si="127"/>
        <v>0</v>
      </c>
      <c r="AR52" s="52">
        <f t="shared" si="127"/>
        <v>0</v>
      </c>
      <c r="AS52" s="52">
        <f t="shared" si="127"/>
        <v>0</v>
      </c>
      <c r="AT52" s="52">
        <f t="shared" si="127"/>
        <v>0</v>
      </c>
      <c r="AU52" s="52">
        <f t="shared" si="127"/>
        <v>0</v>
      </c>
      <c r="AV52" s="52">
        <f t="shared" si="127"/>
        <v>0</v>
      </c>
      <c r="AW52" s="52">
        <f t="shared" si="127"/>
        <v>0</v>
      </c>
      <c r="AX52" s="52">
        <f t="shared" si="127"/>
        <v>0</v>
      </c>
      <c r="AY52" s="52">
        <f t="shared" si="127"/>
        <v>0</v>
      </c>
      <c r="AZ52" s="52">
        <f t="shared" si="127"/>
        <v>0</v>
      </c>
      <c r="BA52" s="52">
        <f t="shared" si="127"/>
        <v>0</v>
      </c>
      <c r="BB52" s="52">
        <f t="shared" si="127"/>
        <v>0</v>
      </c>
      <c r="BC52" s="52">
        <f t="shared" si="127"/>
        <v>0</v>
      </c>
      <c r="BD52" s="52">
        <f t="shared" si="127"/>
        <v>0</v>
      </c>
      <c r="BE52" s="52">
        <f t="shared" si="127"/>
        <v>0</v>
      </c>
      <c r="BF52" s="52">
        <f t="shared" si="127"/>
        <v>0</v>
      </c>
      <c r="BG52" s="52">
        <f t="shared" si="127"/>
        <v>0</v>
      </c>
      <c r="BH52" s="52">
        <f t="shared" si="127"/>
        <v>0</v>
      </c>
      <c r="BI52" s="52">
        <f t="shared" si="127"/>
        <v>0</v>
      </c>
      <c r="BJ52" s="52">
        <f t="shared" si="127"/>
        <v>0</v>
      </c>
      <c r="BK52" s="52">
        <f t="shared" si="127"/>
        <v>0</v>
      </c>
      <c r="BL52" s="52">
        <f t="shared" si="127"/>
        <v>0</v>
      </c>
      <c r="BM52" s="52">
        <f t="shared" si="127"/>
        <v>0</v>
      </c>
      <c r="BN52" s="52">
        <f t="shared" si="127"/>
        <v>0</v>
      </c>
      <c r="BO52" s="52">
        <f t="shared" si="127"/>
        <v>0</v>
      </c>
      <c r="BP52" s="52">
        <f t="shared" si="127"/>
        <v>0</v>
      </c>
      <c r="BQ52" s="52">
        <f t="shared" si="127"/>
        <v>0</v>
      </c>
      <c r="BR52" s="52">
        <f t="shared" ref="BR52:CW52" si="128">IFERROR(IF(BR$28="FALSE",0,$C$52/$C$8),0)</f>
        <v>0</v>
      </c>
      <c r="BS52" s="52">
        <f t="shared" si="128"/>
        <v>0</v>
      </c>
      <c r="BT52" s="52">
        <f t="shared" si="128"/>
        <v>0</v>
      </c>
      <c r="BU52" s="52">
        <f t="shared" si="128"/>
        <v>0</v>
      </c>
      <c r="BV52" s="52">
        <f t="shared" si="128"/>
        <v>0</v>
      </c>
      <c r="BW52" s="52">
        <f t="shared" si="128"/>
        <v>0</v>
      </c>
      <c r="BX52" s="52">
        <f t="shared" si="128"/>
        <v>0</v>
      </c>
      <c r="BY52" s="52">
        <f t="shared" si="128"/>
        <v>0</v>
      </c>
      <c r="BZ52" s="52">
        <f t="shared" si="128"/>
        <v>0</v>
      </c>
      <c r="CA52" s="52">
        <f t="shared" si="128"/>
        <v>0</v>
      </c>
      <c r="CB52" s="52">
        <f t="shared" si="128"/>
        <v>0</v>
      </c>
      <c r="CC52" s="52">
        <f t="shared" si="128"/>
        <v>0</v>
      </c>
      <c r="CD52" s="52">
        <f t="shared" si="128"/>
        <v>0</v>
      </c>
      <c r="CE52" s="52">
        <f t="shared" si="128"/>
        <v>0</v>
      </c>
      <c r="CF52" s="52">
        <f t="shared" si="128"/>
        <v>0</v>
      </c>
      <c r="CG52" s="52">
        <f t="shared" si="128"/>
        <v>0</v>
      </c>
      <c r="CH52" s="52">
        <f t="shared" si="128"/>
        <v>0</v>
      </c>
      <c r="CI52" s="52">
        <f t="shared" si="128"/>
        <v>0</v>
      </c>
      <c r="CJ52" s="52">
        <f t="shared" si="128"/>
        <v>0</v>
      </c>
      <c r="CK52" s="52">
        <f t="shared" si="128"/>
        <v>0</v>
      </c>
      <c r="CL52" s="52">
        <f t="shared" si="128"/>
        <v>0</v>
      </c>
      <c r="CM52" s="52">
        <f t="shared" si="128"/>
        <v>0</v>
      </c>
      <c r="CN52" s="52">
        <f t="shared" si="128"/>
        <v>0</v>
      </c>
      <c r="CO52" s="52">
        <f t="shared" si="128"/>
        <v>0</v>
      </c>
      <c r="CP52" s="52">
        <f t="shared" si="128"/>
        <v>0</v>
      </c>
      <c r="CQ52" s="52">
        <f t="shared" si="128"/>
        <v>0</v>
      </c>
      <c r="CR52" s="52">
        <f t="shared" si="128"/>
        <v>0</v>
      </c>
      <c r="CS52" s="52">
        <f t="shared" si="128"/>
        <v>0</v>
      </c>
      <c r="CT52" s="52">
        <f t="shared" si="128"/>
        <v>0</v>
      </c>
      <c r="CU52" s="52">
        <f t="shared" si="128"/>
        <v>0</v>
      </c>
      <c r="CV52" s="52">
        <f t="shared" si="128"/>
        <v>0</v>
      </c>
      <c r="CW52" s="52">
        <f t="shared" si="128"/>
        <v>0</v>
      </c>
      <c r="CX52" s="52">
        <f t="shared" ref="CX52:EC52" si="129">IFERROR(IF(CX$28="FALSE",0,$C$52/$C$8),0)</f>
        <v>0</v>
      </c>
      <c r="CY52" s="52">
        <f t="shared" si="129"/>
        <v>0</v>
      </c>
      <c r="CZ52" s="52">
        <f t="shared" si="129"/>
        <v>0</v>
      </c>
      <c r="DA52" s="52">
        <f t="shared" si="129"/>
        <v>0</v>
      </c>
      <c r="DB52" s="52">
        <f t="shared" si="129"/>
        <v>0</v>
      </c>
      <c r="DC52" s="52">
        <f t="shared" si="129"/>
        <v>0</v>
      </c>
      <c r="DD52" s="52">
        <f t="shared" si="129"/>
        <v>0</v>
      </c>
      <c r="DE52" s="52">
        <f t="shared" si="129"/>
        <v>0</v>
      </c>
      <c r="DF52" s="52">
        <f t="shared" si="129"/>
        <v>0</v>
      </c>
      <c r="DG52" s="52">
        <f t="shared" si="129"/>
        <v>0</v>
      </c>
      <c r="DH52" s="52">
        <f t="shared" si="129"/>
        <v>0</v>
      </c>
      <c r="DI52" s="52">
        <f t="shared" si="129"/>
        <v>0</v>
      </c>
      <c r="DJ52" s="52">
        <f t="shared" si="129"/>
        <v>0</v>
      </c>
      <c r="DK52" s="52">
        <f t="shared" si="129"/>
        <v>0</v>
      </c>
      <c r="DL52" s="52">
        <f t="shared" si="129"/>
        <v>0</v>
      </c>
      <c r="DM52" s="52">
        <f t="shared" si="129"/>
        <v>0</v>
      </c>
      <c r="DN52" s="52">
        <f t="shared" si="129"/>
        <v>0</v>
      </c>
      <c r="DO52" s="52">
        <f t="shared" si="129"/>
        <v>0</v>
      </c>
      <c r="DP52" s="52">
        <f t="shared" si="129"/>
        <v>0</v>
      </c>
      <c r="DQ52" s="52">
        <f t="shared" si="129"/>
        <v>0</v>
      </c>
      <c r="DR52" s="52">
        <f t="shared" si="129"/>
        <v>0</v>
      </c>
      <c r="DS52" s="52">
        <f t="shared" si="129"/>
        <v>0</v>
      </c>
      <c r="DT52" s="52">
        <f t="shared" si="129"/>
        <v>0</v>
      </c>
      <c r="DU52" s="52">
        <f t="shared" si="129"/>
        <v>0</v>
      </c>
      <c r="DV52" s="52">
        <f t="shared" si="129"/>
        <v>0</v>
      </c>
      <c r="DW52" s="52">
        <f t="shared" si="129"/>
        <v>0</v>
      </c>
      <c r="DX52" s="52">
        <f t="shared" si="129"/>
        <v>0</v>
      </c>
      <c r="DY52" s="52">
        <f t="shared" si="129"/>
        <v>0</v>
      </c>
      <c r="DZ52" s="52">
        <f t="shared" si="129"/>
        <v>0</v>
      </c>
      <c r="EA52" s="52">
        <f t="shared" si="129"/>
        <v>0</v>
      </c>
      <c r="EB52" s="52">
        <f t="shared" si="129"/>
        <v>0</v>
      </c>
      <c r="EC52" s="52">
        <f t="shared" si="129"/>
        <v>0</v>
      </c>
      <c r="ED52" s="52">
        <f t="shared" ref="ED52:FD52" si="130">IFERROR(IF(ED$28="FALSE",0,$C$52/$C$8),0)</f>
        <v>0</v>
      </c>
      <c r="EE52" s="52">
        <f t="shared" si="130"/>
        <v>0</v>
      </c>
      <c r="EF52" s="52">
        <f t="shared" si="130"/>
        <v>0</v>
      </c>
      <c r="EG52" s="52">
        <f t="shared" si="130"/>
        <v>0</v>
      </c>
      <c r="EH52" s="52">
        <f t="shared" si="130"/>
        <v>0</v>
      </c>
      <c r="EI52" s="52">
        <f t="shared" si="130"/>
        <v>0</v>
      </c>
      <c r="EJ52" s="52">
        <f t="shared" si="130"/>
        <v>0</v>
      </c>
      <c r="EK52" s="52">
        <f t="shared" si="130"/>
        <v>0</v>
      </c>
      <c r="EL52" s="52">
        <f t="shared" si="130"/>
        <v>0</v>
      </c>
      <c r="EM52" s="52">
        <f t="shared" si="130"/>
        <v>0</v>
      </c>
      <c r="EN52" s="52">
        <f t="shared" si="130"/>
        <v>0</v>
      </c>
      <c r="EO52" s="52">
        <f t="shared" si="130"/>
        <v>0</v>
      </c>
      <c r="EP52" s="52">
        <f t="shared" si="130"/>
        <v>0</v>
      </c>
      <c r="EQ52" s="52">
        <f t="shared" si="130"/>
        <v>0</v>
      </c>
      <c r="ER52" s="52">
        <f t="shared" si="130"/>
        <v>0</v>
      </c>
      <c r="ES52" s="52">
        <f t="shared" si="130"/>
        <v>0</v>
      </c>
      <c r="ET52" s="52">
        <f t="shared" si="130"/>
        <v>0</v>
      </c>
      <c r="EU52" s="52">
        <f t="shared" si="130"/>
        <v>0</v>
      </c>
      <c r="EV52" s="52">
        <f t="shared" si="130"/>
        <v>0</v>
      </c>
      <c r="EW52" s="52">
        <f t="shared" si="130"/>
        <v>0</v>
      </c>
      <c r="EX52" s="52">
        <f t="shared" si="130"/>
        <v>0</v>
      </c>
      <c r="EY52" s="52">
        <f t="shared" si="130"/>
        <v>0</v>
      </c>
      <c r="EZ52" s="52">
        <f t="shared" si="130"/>
        <v>0</v>
      </c>
      <c r="FA52" s="52">
        <f t="shared" si="130"/>
        <v>0</v>
      </c>
      <c r="FB52" s="52">
        <f t="shared" si="130"/>
        <v>0</v>
      </c>
      <c r="FC52" s="52">
        <f t="shared" si="130"/>
        <v>0</v>
      </c>
      <c r="FD52" s="52">
        <f t="shared" si="130"/>
        <v>0</v>
      </c>
    </row>
    <row r="53" spans="2:160">
      <c r="B53" s="51" t="s">
        <v>132</v>
      </c>
      <c r="C53" s="52">
        <f ca="1">IF(Startup!$C$3="Project",SUMIF(Startup!$C$7:$D$27,Overview!B53,Startup!$D$7:$D$27),(SUMIF(Startup!$C$7:$D$27,Overview!B53,Startup!$D$7:$D$27)*Startup!$C$4))+IF(Pilot!$C$3="Project",SUMIF(Pilot!$C$7:$D$27,Overview!B53,Pilot!$D$7:$D$27),(SUMIF(Pilot!$C$7:$D$27,Overview!B53,Pilot!$D$7:$D$27)*Pilot!$C$4))+IF(PMO!$C$3="Project",SUMIF(PMO!$C$7:$D$27,Overview!B53,PMO!$D$7:$D$27),(SUMIF(PMO!$C$7:$D$27,Overview!B53,PMO!$D$7:$D$27)*PMO!$C$4))+IF('Design &amp; Fulfillment'!$C$3="Project",SUMIF('Design &amp; Fulfillment'!$C$7:$D$27,Overview!B53,'Design &amp; Fulfillment'!$D$7:$D$27),(SUMIF('Design &amp; Fulfillment'!$C$7:$D$27,Overview!B53,'Design &amp; Fulfillment'!$D$7:$D$27)*'Design &amp; Fulfillment'!$C$4))+IF(Workplace!$C$3="Project",SUMIF(Workplace!$C$7:$D$27,Overview!B53,Workplace!$D$7:$D$27),(SUMIF(Workplace!$C$7:$D$27,Overview!B53,Workplace!$D$7:$D$27)*Workplace!$C$4))+IF(Integration!$C$3="Project",SUMIF(Integration!$C$7:$D$27,Overview!B53,Integration!$D$7:$D$27),(SUMIF(Integration!$C$7:$D$27,Overview!B53,Integration!$D$7:$D$27)*Integration!$C$4))+IF(Logistics!$C$3="Project",SUMIF(Logistics!$C$7:$D$27,Overview!B53,Logistics!$D$7:$D$27),(SUMIF(Logistics!$C$7:$D$27,Overview!B53,Logistics!$D$7:$D$27)*Logistics!$C$4))+IF('Service Desk'!$C$3="Project",SUMIF('Service Desk'!$C$7:$D$27,Overview!B53,'Service Desk'!$D$7:$D$27),(SUMIF('Service Desk'!$C$7:$D$27,Overview!B53,'Service Desk'!$D$7:$D$27)*'Service Desk'!$C$4))+IF('Pro Services'!$C$3="Project",SUMIF('Pro Services'!$C$7:$D$27,Overview!B53,'Pro Services'!$D$7:$D$27),(SUMIF('Pro Services'!$C$7:$D$27,Overview!B53,'Pro Services'!$D$7:$D$27)*'Pro Services'!$C$4))</f>
        <v>0</v>
      </c>
      <c r="D53" s="53">
        <f ca="1">IF(Startup!$C$3="Project",SUMIF(Startup!$C$7:$H$27,Overview!B53,Startup!$H$7:$H$27),(SUMIF(Startup!$C$7:$H$27,Overview!B53,Startup!$H$7:$H$27)*Startup!$C$4))+IF(Pilot!$C$3="Project",SUMIF(Pilot!$C$7:$H$27,Overview!B53,Pilot!$H$7:$H$27),(SUMIF(Pilot!$C$7:$H$27,Overview!B53,Pilot!$H$7:$H$27)*Pilot!$C$4))+IF(PMO!$C$3="Project",SUMIF(PMO!$C$7:$H$27,Overview!B53,PMO!$H$7:$H$27),(SUMIF(PMO!$C$7:$H$27,Overview!B53,PMO!$H$7:$H$27)*PMO!$C$4))+IF('Design &amp; Fulfillment'!$C$3="Project",SUMIF('Design &amp; Fulfillment'!$C$7:$H$27,Overview!B53,'Design &amp; Fulfillment'!$H$7:$H$27),(SUMIF('Design &amp; Fulfillment'!$C$7:$H$27,Overview!B53,'Design &amp; Fulfillment'!$H$7:$H$27)*'Design &amp; Fulfillment'!$C$4))+IF(Workplace!$C$3="Project",SUMIF(Workplace!$C$7:$H$27,Overview!B53,Workplace!$H$7:$H$27),(SUMIF(Workplace!$C$7:$H$27,Overview!B53,Workplace!$H$7:$H$27)*Workplace!$C$4))+IF(Integration!$C$3="Project",SUMIF(Integration!$C$7:$H$27,Overview!B53,Integration!$H$7:$H$27),(SUMIF(Integration!$C$7:$H$27,Overview!B53,Integration!$H$7:$H$27)*Integration!$C$4))+IF(Logistics!$C$3="Project",SUMIF(Logistics!$C$7:$H$27,Overview!B53,Logistics!$H$7:$H$27),(SUMIF(Logistics!$C$7:$H$27,Overview!B53,Logistics!$H$7:$H$27)*Logistics!$C$4))+IF('Service Desk'!$C$3="Project",SUMIF('Service Desk'!$C$7:$H$27,Overview!B53,'Service Desk'!$H$7:$H$27),(SUMIF('Service Desk'!$C$7:$H$27,Overview!B53,'Service Desk'!$H$7:$H$27)*'Service Desk'!$C$4))+IF('Pro Services'!$C$3="Project",SUMIF('Pro Services'!$C$7:$H$27,Overview!B53,'Pro Services'!$H$7:$H$27),(SUMIF('Pro Services'!$C$7:$H$27,Overview!B53,'Pro Services'!$H$7:$H$27)*'Pro Services'!$C$4))</f>
        <v>0</v>
      </c>
      <c r="E53" s="52">
        <f t="shared" ca="1" si="120"/>
        <v>0</v>
      </c>
      <c r="F53" s="52">
        <f t="shared" ref="F53:AK53" si="131">IFERROR(IF(F$28="FALSE",0,$C$53/$C$8),0)</f>
        <v>0</v>
      </c>
      <c r="G53" s="52">
        <f t="shared" si="131"/>
        <v>0</v>
      </c>
      <c r="H53" s="52">
        <f t="shared" si="131"/>
        <v>0</v>
      </c>
      <c r="I53" s="52">
        <f t="shared" si="131"/>
        <v>0</v>
      </c>
      <c r="J53" s="52">
        <f t="shared" si="131"/>
        <v>0</v>
      </c>
      <c r="K53" s="52">
        <f t="shared" si="131"/>
        <v>0</v>
      </c>
      <c r="L53" s="52">
        <f t="shared" si="131"/>
        <v>0</v>
      </c>
      <c r="M53" s="52">
        <f t="shared" si="131"/>
        <v>0</v>
      </c>
      <c r="N53" s="52">
        <f t="shared" si="131"/>
        <v>0</v>
      </c>
      <c r="O53" s="52">
        <f t="shared" si="131"/>
        <v>0</v>
      </c>
      <c r="P53" s="52">
        <f t="shared" si="131"/>
        <v>0</v>
      </c>
      <c r="Q53" s="52">
        <f t="shared" si="131"/>
        <v>0</v>
      </c>
      <c r="R53" s="52">
        <f t="shared" si="131"/>
        <v>0</v>
      </c>
      <c r="S53" s="52">
        <f t="shared" si="131"/>
        <v>0</v>
      </c>
      <c r="T53" s="52">
        <f t="shared" si="131"/>
        <v>0</v>
      </c>
      <c r="U53" s="52">
        <f t="shared" si="131"/>
        <v>0</v>
      </c>
      <c r="V53" s="52">
        <f t="shared" si="131"/>
        <v>0</v>
      </c>
      <c r="W53" s="52">
        <f t="shared" si="131"/>
        <v>0</v>
      </c>
      <c r="X53" s="52">
        <f t="shared" si="131"/>
        <v>0</v>
      </c>
      <c r="Y53" s="52">
        <f t="shared" si="131"/>
        <v>0</v>
      </c>
      <c r="Z53" s="52">
        <f t="shared" si="131"/>
        <v>0</v>
      </c>
      <c r="AA53" s="52">
        <f t="shared" si="131"/>
        <v>0</v>
      </c>
      <c r="AB53" s="52">
        <f t="shared" si="131"/>
        <v>0</v>
      </c>
      <c r="AC53" s="52">
        <f t="shared" si="131"/>
        <v>0</v>
      </c>
      <c r="AD53" s="52">
        <f t="shared" si="131"/>
        <v>0</v>
      </c>
      <c r="AE53" s="52">
        <f t="shared" si="131"/>
        <v>0</v>
      </c>
      <c r="AF53" s="52">
        <f t="shared" si="131"/>
        <v>0</v>
      </c>
      <c r="AG53" s="52">
        <f t="shared" si="131"/>
        <v>0</v>
      </c>
      <c r="AH53" s="52">
        <f t="shared" si="131"/>
        <v>0</v>
      </c>
      <c r="AI53" s="52">
        <f t="shared" si="131"/>
        <v>0</v>
      </c>
      <c r="AJ53" s="52">
        <f t="shared" si="131"/>
        <v>0</v>
      </c>
      <c r="AK53" s="52">
        <f t="shared" si="131"/>
        <v>0</v>
      </c>
      <c r="AL53" s="52">
        <f t="shared" ref="AL53:BQ53" si="132">IFERROR(IF(AL$28="FALSE",0,$C$53/$C$8),0)</f>
        <v>0</v>
      </c>
      <c r="AM53" s="52">
        <f t="shared" si="132"/>
        <v>0</v>
      </c>
      <c r="AN53" s="52">
        <f t="shared" si="132"/>
        <v>0</v>
      </c>
      <c r="AO53" s="52">
        <f t="shared" si="132"/>
        <v>0</v>
      </c>
      <c r="AP53" s="52">
        <f t="shared" si="132"/>
        <v>0</v>
      </c>
      <c r="AQ53" s="52">
        <f t="shared" si="132"/>
        <v>0</v>
      </c>
      <c r="AR53" s="52">
        <f t="shared" si="132"/>
        <v>0</v>
      </c>
      <c r="AS53" s="52">
        <f t="shared" si="132"/>
        <v>0</v>
      </c>
      <c r="AT53" s="52">
        <f t="shared" si="132"/>
        <v>0</v>
      </c>
      <c r="AU53" s="52">
        <f t="shared" si="132"/>
        <v>0</v>
      </c>
      <c r="AV53" s="52">
        <f t="shared" si="132"/>
        <v>0</v>
      </c>
      <c r="AW53" s="52">
        <f t="shared" si="132"/>
        <v>0</v>
      </c>
      <c r="AX53" s="52">
        <f t="shared" si="132"/>
        <v>0</v>
      </c>
      <c r="AY53" s="52">
        <f t="shared" si="132"/>
        <v>0</v>
      </c>
      <c r="AZ53" s="52">
        <f t="shared" si="132"/>
        <v>0</v>
      </c>
      <c r="BA53" s="52">
        <f t="shared" si="132"/>
        <v>0</v>
      </c>
      <c r="BB53" s="52">
        <f t="shared" si="132"/>
        <v>0</v>
      </c>
      <c r="BC53" s="52">
        <f t="shared" si="132"/>
        <v>0</v>
      </c>
      <c r="BD53" s="52">
        <f t="shared" si="132"/>
        <v>0</v>
      </c>
      <c r="BE53" s="52">
        <f t="shared" si="132"/>
        <v>0</v>
      </c>
      <c r="BF53" s="52">
        <f t="shared" si="132"/>
        <v>0</v>
      </c>
      <c r="BG53" s="52">
        <f t="shared" si="132"/>
        <v>0</v>
      </c>
      <c r="BH53" s="52">
        <f t="shared" si="132"/>
        <v>0</v>
      </c>
      <c r="BI53" s="52">
        <f t="shared" si="132"/>
        <v>0</v>
      </c>
      <c r="BJ53" s="52">
        <f t="shared" si="132"/>
        <v>0</v>
      </c>
      <c r="BK53" s="52">
        <f t="shared" si="132"/>
        <v>0</v>
      </c>
      <c r="BL53" s="52">
        <f t="shared" si="132"/>
        <v>0</v>
      </c>
      <c r="BM53" s="52">
        <f t="shared" si="132"/>
        <v>0</v>
      </c>
      <c r="BN53" s="52">
        <f t="shared" si="132"/>
        <v>0</v>
      </c>
      <c r="BO53" s="52">
        <f t="shared" si="132"/>
        <v>0</v>
      </c>
      <c r="BP53" s="52">
        <f t="shared" si="132"/>
        <v>0</v>
      </c>
      <c r="BQ53" s="52">
        <f t="shared" si="132"/>
        <v>0</v>
      </c>
      <c r="BR53" s="52">
        <f t="shared" ref="BR53:CW53" si="133">IFERROR(IF(BR$28="FALSE",0,$C$53/$C$8),0)</f>
        <v>0</v>
      </c>
      <c r="BS53" s="52">
        <f t="shared" si="133"/>
        <v>0</v>
      </c>
      <c r="BT53" s="52">
        <f t="shared" si="133"/>
        <v>0</v>
      </c>
      <c r="BU53" s="52">
        <f t="shared" si="133"/>
        <v>0</v>
      </c>
      <c r="BV53" s="52">
        <f t="shared" si="133"/>
        <v>0</v>
      </c>
      <c r="BW53" s="52">
        <f t="shared" si="133"/>
        <v>0</v>
      </c>
      <c r="BX53" s="52">
        <f t="shared" si="133"/>
        <v>0</v>
      </c>
      <c r="BY53" s="52">
        <f t="shared" si="133"/>
        <v>0</v>
      </c>
      <c r="BZ53" s="52">
        <f t="shared" si="133"/>
        <v>0</v>
      </c>
      <c r="CA53" s="52">
        <f t="shared" si="133"/>
        <v>0</v>
      </c>
      <c r="CB53" s="52">
        <f t="shared" si="133"/>
        <v>0</v>
      </c>
      <c r="CC53" s="52">
        <f t="shared" si="133"/>
        <v>0</v>
      </c>
      <c r="CD53" s="52">
        <f t="shared" si="133"/>
        <v>0</v>
      </c>
      <c r="CE53" s="52">
        <f t="shared" si="133"/>
        <v>0</v>
      </c>
      <c r="CF53" s="52">
        <f t="shared" si="133"/>
        <v>0</v>
      </c>
      <c r="CG53" s="52">
        <f t="shared" si="133"/>
        <v>0</v>
      </c>
      <c r="CH53" s="52">
        <f t="shared" si="133"/>
        <v>0</v>
      </c>
      <c r="CI53" s="52">
        <f t="shared" si="133"/>
        <v>0</v>
      </c>
      <c r="CJ53" s="52">
        <f t="shared" si="133"/>
        <v>0</v>
      </c>
      <c r="CK53" s="52">
        <f t="shared" si="133"/>
        <v>0</v>
      </c>
      <c r="CL53" s="52">
        <f t="shared" si="133"/>
        <v>0</v>
      </c>
      <c r="CM53" s="52">
        <f t="shared" si="133"/>
        <v>0</v>
      </c>
      <c r="CN53" s="52">
        <f t="shared" si="133"/>
        <v>0</v>
      </c>
      <c r="CO53" s="52">
        <f t="shared" si="133"/>
        <v>0</v>
      </c>
      <c r="CP53" s="52">
        <f t="shared" si="133"/>
        <v>0</v>
      </c>
      <c r="CQ53" s="52">
        <f t="shared" si="133"/>
        <v>0</v>
      </c>
      <c r="CR53" s="52">
        <f t="shared" si="133"/>
        <v>0</v>
      </c>
      <c r="CS53" s="52">
        <f t="shared" si="133"/>
        <v>0</v>
      </c>
      <c r="CT53" s="52">
        <f t="shared" si="133"/>
        <v>0</v>
      </c>
      <c r="CU53" s="52">
        <f t="shared" si="133"/>
        <v>0</v>
      </c>
      <c r="CV53" s="52">
        <f t="shared" si="133"/>
        <v>0</v>
      </c>
      <c r="CW53" s="52">
        <f t="shared" si="133"/>
        <v>0</v>
      </c>
      <c r="CX53" s="52">
        <f t="shared" ref="CX53:EC53" si="134">IFERROR(IF(CX$28="FALSE",0,$C$53/$C$8),0)</f>
        <v>0</v>
      </c>
      <c r="CY53" s="52">
        <f t="shared" si="134"/>
        <v>0</v>
      </c>
      <c r="CZ53" s="52">
        <f t="shared" si="134"/>
        <v>0</v>
      </c>
      <c r="DA53" s="52">
        <f t="shared" si="134"/>
        <v>0</v>
      </c>
      <c r="DB53" s="52">
        <f t="shared" si="134"/>
        <v>0</v>
      </c>
      <c r="DC53" s="52">
        <f t="shared" si="134"/>
        <v>0</v>
      </c>
      <c r="DD53" s="52">
        <f t="shared" si="134"/>
        <v>0</v>
      </c>
      <c r="DE53" s="52">
        <f t="shared" si="134"/>
        <v>0</v>
      </c>
      <c r="DF53" s="52">
        <f t="shared" si="134"/>
        <v>0</v>
      </c>
      <c r="DG53" s="52">
        <f t="shared" si="134"/>
        <v>0</v>
      </c>
      <c r="DH53" s="52">
        <f t="shared" si="134"/>
        <v>0</v>
      </c>
      <c r="DI53" s="52">
        <f t="shared" si="134"/>
        <v>0</v>
      </c>
      <c r="DJ53" s="52">
        <f t="shared" si="134"/>
        <v>0</v>
      </c>
      <c r="DK53" s="52">
        <f t="shared" si="134"/>
        <v>0</v>
      </c>
      <c r="DL53" s="52">
        <f t="shared" si="134"/>
        <v>0</v>
      </c>
      <c r="DM53" s="52">
        <f t="shared" si="134"/>
        <v>0</v>
      </c>
      <c r="DN53" s="52">
        <f t="shared" si="134"/>
        <v>0</v>
      </c>
      <c r="DO53" s="52">
        <f t="shared" si="134"/>
        <v>0</v>
      </c>
      <c r="DP53" s="52">
        <f t="shared" si="134"/>
        <v>0</v>
      </c>
      <c r="DQ53" s="52">
        <f t="shared" si="134"/>
        <v>0</v>
      </c>
      <c r="DR53" s="52">
        <f t="shared" si="134"/>
        <v>0</v>
      </c>
      <c r="DS53" s="52">
        <f t="shared" si="134"/>
        <v>0</v>
      </c>
      <c r="DT53" s="52">
        <f t="shared" si="134"/>
        <v>0</v>
      </c>
      <c r="DU53" s="52">
        <f t="shared" si="134"/>
        <v>0</v>
      </c>
      <c r="DV53" s="52">
        <f t="shared" si="134"/>
        <v>0</v>
      </c>
      <c r="DW53" s="52">
        <f t="shared" si="134"/>
        <v>0</v>
      </c>
      <c r="DX53" s="52">
        <f t="shared" si="134"/>
        <v>0</v>
      </c>
      <c r="DY53" s="52">
        <f t="shared" si="134"/>
        <v>0</v>
      </c>
      <c r="DZ53" s="52">
        <f t="shared" si="134"/>
        <v>0</v>
      </c>
      <c r="EA53" s="52">
        <f t="shared" si="134"/>
        <v>0</v>
      </c>
      <c r="EB53" s="52">
        <f t="shared" si="134"/>
        <v>0</v>
      </c>
      <c r="EC53" s="52">
        <f t="shared" si="134"/>
        <v>0</v>
      </c>
      <c r="ED53" s="52">
        <f t="shared" ref="ED53:FD53" si="135">IFERROR(IF(ED$28="FALSE",0,$C$53/$C$8),0)</f>
        <v>0</v>
      </c>
      <c r="EE53" s="52">
        <f t="shared" si="135"/>
        <v>0</v>
      </c>
      <c r="EF53" s="52">
        <f t="shared" si="135"/>
        <v>0</v>
      </c>
      <c r="EG53" s="52">
        <f t="shared" si="135"/>
        <v>0</v>
      </c>
      <c r="EH53" s="52">
        <f t="shared" si="135"/>
        <v>0</v>
      </c>
      <c r="EI53" s="52">
        <f t="shared" si="135"/>
        <v>0</v>
      </c>
      <c r="EJ53" s="52">
        <f t="shared" si="135"/>
        <v>0</v>
      </c>
      <c r="EK53" s="52">
        <f t="shared" si="135"/>
        <v>0</v>
      </c>
      <c r="EL53" s="52">
        <f t="shared" si="135"/>
        <v>0</v>
      </c>
      <c r="EM53" s="52">
        <f t="shared" si="135"/>
        <v>0</v>
      </c>
      <c r="EN53" s="52">
        <f t="shared" si="135"/>
        <v>0</v>
      </c>
      <c r="EO53" s="52">
        <f t="shared" si="135"/>
        <v>0</v>
      </c>
      <c r="EP53" s="52">
        <f t="shared" si="135"/>
        <v>0</v>
      </c>
      <c r="EQ53" s="52">
        <f t="shared" si="135"/>
        <v>0</v>
      </c>
      <c r="ER53" s="52">
        <f t="shared" si="135"/>
        <v>0</v>
      </c>
      <c r="ES53" s="52">
        <f t="shared" si="135"/>
        <v>0</v>
      </c>
      <c r="ET53" s="52">
        <f t="shared" si="135"/>
        <v>0</v>
      </c>
      <c r="EU53" s="52">
        <f t="shared" si="135"/>
        <v>0</v>
      </c>
      <c r="EV53" s="52">
        <f t="shared" si="135"/>
        <v>0</v>
      </c>
      <c r="EW53" s="52">
        <f t="shared" si="135"/>
        <v>0</v>
      </c>
      <c r="EX53" s="52">
        <f t="shared" si="135"/>
        <v>0</v>
      </c>
      <c r="EY53" s="52">
        <f t="shared" si="135"/>
        <v>0</v>
      </c>
      <c r="EZ53" s="52">
        <f t="shared" si="135"/>
        <v>0</v>
      </c>
      <c r="FA53" s="52">
        <f t="shared" si="135"/>
        <v>0</v>
      </c>
      <c r="FB53" s="52">
        <f t="shared" si="135"/>
        <v>0</v>
      </c>
      <c r="FC53" s="52">
        <f t="shared" si="135"/>
        <v>0</v>
      </c>
      <c r="FD53" s="52">
        <f t="shared" si="135"/>
        <v>0</v>
      </c>
    </row>
    <row r="54" spans="2:160">
      <c r="B54" s="51" t="s">
        <v>133</v>
      </c>
      <c r="C54" s="52">
        <f ca="1">IF(Startup!$C$3="Project",SUMIF(Startup!$C$7:$D$27,Overview!B54,Startup!$D$7:$D$27),(SUMIF(Startup!$C$7:$D$27,Overview!B54,Startup!$D$7:$D$27)*Startup!$C$4))+IF(Pilot!$C$3="Project",SUMIF(Pilot!$C$7:$D$27,Overview!B54,Pilot!$D$7:$D$27),(SUMIF(Pilot!$C$7:$D$27,Overview!B54,Pilot!$D$7:$D$27)*Pilot!$C$4))+IF(PMO!$C$3="Project",SUMIF(PMO!$C$7:$D$27,Overview!B54,PMO!$D$7:$D$27),(SUMIF(PMO!$C$7:$D$27,Overview!B54,PMO!$D$7:$D$27)*PMO!$C$4))+IF('Design &amp; Fulfillment'!$C$3="Project",SUMIF('Design &amp; Fulfillment'!$C$7:$D$27,Overview!B54,'Design &amp; Fulfillment'!$D$7:$D$27),(SUMIF('Design &amp; Fulfillment'!$C$7:$D$27,Overview!B54,'Design &amp; Fulfillment'!$D$7:$D$27)*'Design &amp; Fulfillment'!$C$4))+IF(Workplace!$C$3="Project",SUMIF(Workplace!$C$7:$D$27,Overview!B54,Workplace!$D$7:$D$27),(SUMIF(Workplace!$C$7:$D$27,Overview!B54,Workplace!$D$7:$D$27)*Workplace!$C$4))+IF(Integration!$C$3="Project",SUMIF(Integration!$C$7:$D$27,Overview!B54,Integration!$D$7:$D$27),(SUMIF(Integration!$C$7:$D$27,Overview!B54,Integration!$D$7:$D$27)*Integration!$C$4))+IF(Logistics!$C$3="Project",SUMIF(Logistics!$C$7:$D$27,Overview!B54,Logistics!$D$7:$D$27),(SUMIF(Logistics!$C$7:$D$27,Overview!B54,Logistics!$D$7:$D$27)*Logistics!$C$4))+IF('Service Desk'!$C$3="Project",SUMIF('Service Desk'!$C$7:$D$27,Overview!B54,'Service Desk'!$D$7:$D$27),(SUMIF('Service Desk'!$C$7:$D$27,Overview!B54,'Service Desk'!$D$7:$D$27)*'Service Desk'!$C$4))+IF('Pro Services'!$C$3="Project",SUMIF('Pro Services'!$C$7:$D$27,Overview!B54,'Pro Services'!$D$7:$D$27),(SUMIF('Pro Services'!$C$7:$D$27,Overview!B54,'Pro Services'!$D$7:$D$27)*'Pro Services'!$C$4))</f>
        <v>0</v>
      </c>
      <c r="D54" s="53">
        <f ca="1">IF(Startup!$C$3="Project",SUMIF(Startup!$C$7:$H$27,Overview!B54,Startup!$H$7:$H$27),(SUMIF(Startup!$C$7:$H$27,Overview!B54,Startup!$H$7:$H$27)*Startup!$C$4))+IF(Pilot!$C$3="Project",SUMIF(Pilot!$C$7:$H$27,Overview!B54,Pilot!$H$7:$H$27),(SUMIF(Pilot!$C$7:$H$27,Overview!B54,Pilot!$H$7:$H$27)*Pilot!$C$4))+IF(PMO!$C$3="Project",SUMIF(PMO!$C$7:$H$27,Overview!B54,PMO!$H$7:$H$27),(SUMIF(PMO!$C$7:$H$27,Overview!B54,PMO!$H$7:$H$27)*PMO!$C$4))+IF('Design &amp; Fulfillment'!$C$3="Project",SUMIF('Design &amp; Fulfillment'!$C$7:$H$27,Overview!B54,'Design &amp; Fulfillment'!$H$7:$H$27),(SUMIF('Design &amp; Fulfillment'!$C$7:$H$27,Overview!B54,'Design &amp; Fulfillment'!$H$7:$H$27)*'Design &amp; Fulfillment'!$C$4))+IF(Workplace!$C$3="Project",SUMIF(Workplace!$C$7:$H$27,Overview!B54,Workplace!$H$7:$H$27),(SUMIF(Workplace!$C$7:$H$27,Overview!B54,Workplace!$H$7:$H$27)*Workplace!$C$4))+IF(Integration!$C$3="Project",SUMIF(Integration!$C$7:$H$27,Overview!B54,Integration!$H$7:$H$27),(SUMIF(Integration!$C$7:$H$27,Overview!B54,Integration!$H$7:$H$27)*Integration!$C$4))+IF(Logistics!$C$3="Project",SUMIF(Logistics!$C$7:$H$27,Overview!B54,Logistics!$H$7:$H$27),(SUMIF(Logistics!$C$7:$H$27,Overview!B54,Logistics!$H$7:$H$27)*Logistics!$C$4))+IF('Service Desk'!$C$3="Project",SUMIF('Service Desk'!$C$7:$H$27,Overview!B54,'Service Desk'!$H$7:$H$27),(SUMIF('Service Desk'!$C$7:$H$27,Overview!B54,'Service Desk'!$H$7:$H$27)*'Service Desk'!$C$4))+IF('Pro Services'!$C$3="Project",SUMIF('Pro Services'!$C$7:$H$27,Overview!B54,'Pro Services'!$H$7:$H$27),(SUMIF('Pro Services'!$C$7:$H$27,Overview!B54,'Pro Services'!$H$7:$H$27)*'Pro Services'!$C$4))</f>
        <v>0</v>
      </c>
      <c r="E54" s="52">
        <f t="shared" ca="1" si="120"/>
        <v>0</v>
      </c>
      <c r="F54" s="52">
        <f t="shared" ref="F54:AK54" si="136">IFERROR(IF(F$28="FALSE",0,$C$54/$C$8),0)</f>
        <v>0</v>
      </c>
      <c r="G54" s="52">
        <f t="shared" si="136"/>
        <v>0</v>
      </c>
      <c r="H54" s="52">
        <f t="shared" si="136"/>
        <v>0</v>
      </c>
      <c r="I54" s="52">
        <f t="shared" si="136"/>
        <v>0</v>
      </c>
      <c r="J54" s="52">
        <f t="shared" si="136"/>
        <v>0</v>
      </c>
      <c r="K54" s="52">
        <f t="shared" si="136"/>
        <v>0</v>
      </c>
      <c r="L54" s="52">
        <f t="shared" si="136"/>
        <v>0</v>
      </c>
      <c r="M54" s="52">
        <f t="shared" si="136"/>
        <v>0</v>
      </c>
      <c r="N54" s="52">
        <f t="shared" si="136"/>
        <v>0</v>
      </c>
      <c r="O54" s="52">
        <f t="shared" si="136"/>
        <v>0</v>
      </c>
      <c r="P54" s="52">
        <f t="shared" si="136"/>
        <v>0</v>
      </c>
      <c r="Q54" s="52">
        <f t="shared" si="136"/>
        <v>0</v>
      </c>
      <c r="R54" s="52">
        <f t="shared" si="136"/>
        <v>0</v>
      </c>
      <c r="S54" s="52">
        <f t="shared" si="136"/>
        <v>0</v>
      </c>
      <c r="T54" s="52">
        <f t="shared" si="136"/>
        <v>0</v>
      </c>
      <c r="U54" s="52">
        <f t="shared" si="136"/>
        <v>0</v>
      </c>
      <c r="V54" s="52">
        <f t="shared" si="136"/>
        <v>0</v>
      </c>
      <c r="W54" s="52">
        <f t="shared" si="136"/>
        <v>0</v>
      </c>
      <c r="X54" s="52">
        <f t="shared" si="136"/>
        <v>0</v>
      </c>
      <c r="Y54" s="52">
        <f t="shared" si="136"/>
        <v>0</v>
      </c>
      <c r="Z54" s="52">
        <f t="shared" si="136"/>
        <v>0</v>
      </c>
      <c r="AA54" s="52">
        <f t="shared" si="136"/>
        <v>0</v>
      </c>
      <c r="AB54" s="52">
        <f t="shared" si="136"/>
        <v>0</v>
      </c>
      <c r="AC54" s="52">
        <f t="shared" si="136"/>
        <v>0</v>
      </c>
      <c r="AD54" s="52">
        <f t="shared" si="136"/>
        <v>0</v>
      </c>
      <c r="AE54" s="52">
        <f t="shared" si="136"/>
        <v>0</v>
      </c>
      <c r="AF54" s="52">
        <f t="shared" si="136"/>
        <v>0</v>
      </c>
      <c r="AG54" s="52">
        <f t="shared" si="136"/>
        <v>0</v>
      </c>
      <c r="AH54" s="52">
        <f t="shared" si="136"/>
        <v>0</v>
      </c>
      <c r="AI54" s="52">
        <f t="shared" si="136"/>
        <v>0</v>
      </c>
      <c r="AJ54" s="52">
        <f t="shared" si="136"/>
        <v>0</v>
      </c>
      <c r="AK54" s="52">
        <f t="shared" si="136"/>
        <v>0</v>
      </c>
      <c r="AL54" s="52">
        <f t="shared" ref="AL54:BQ54" si="137">IFERROR(IF(AL$28="FALSE",0,$C$54/$C$8),0)</f>
        <v>0</v>
      </c>
      <c r="AM54" s="52">
        <f t="shared" si="137"/>
        <v>0</v>
      </c>
      <c r="AN54" s="52">
        <f t="shared" si="137"/>
        <v>0</v>
      </c>
      <c r="AO54" s="52">
        <f t="shared" si="137"/>
        <v>0</v>
      </c>
      <c r="AP54" s="52">
        <f t="shared" si="137"/>
        <v>0</v>
      </c>
      <c r="AQ54" s="52">
        <f t="shared" si="137"/>
        <v>0</v>
      </c>
      <c r="AR54" s="52">
        <f t="shared" si="137"/>
        <v>0</v>
      </c>
      <c r="AS54" s="52">
        <f t="shared" si="137"/>
        <v>0</v>
      </c>
      <c r="AT54" s="52">
        <f t="shared" si="137"/>
        <v>0</v>
      </c>
      <c r="AU54" s="52">
        <f t="shared" si="137"/>
        <v>0</v>
      </c>
      <c r="AV54" s="52">
        <f t="shared" si="137"/>
        <v>0</v>
      </c>
      <c r="AW54" s="52">
        <f t="shared" si="137"/>
        <v>0</v>
      </c>
      <c r="AX54" s="52">
        <f t="shared" si="137"/>
        <v>0</v>
      </c>
      <c r="AY54" s="52">
        <f t="shared" si="137"/>
        <v>0</v>
      </c>
      <c r="AZ54" s="52">
        <f t="shared" si="137"/>
        <v>0</v>
      </c>
      <c r="BA54" s="52">
        <f t="shared" si="137"/>
        <v>0</v>
      </c>
      <c r="BB54" s="52">
        <f t="shared" si="137"/>
        <v>0</v>
      </c>
      <c r="BC54" s="52">
        <f t="shared" si="137"/>
        <v>0</v>
      </c>
      <c r="BD54" s="52">
        <f t="shared" si="137"/>
        <v>0</v>
      </c>
      <c r="BE54" s="52">
        <f t="shared" si="137"/>
        <v>0</v>
      </c>
      <c r="BF54" s="52">
        <f t="shared" si="137"/>
        <v>0</v>
      </c>
      <c r="BG54" s="52">
        <f t="shared" si="137"/>
        <v>0</v>
      </c>
      <c r="BH54" s="52">
        <f t="shared" si="137"/>
        <v>0</v>
      </c>
      <c r="BI54" s="52">
        <f t="shared" si="137"/>
        <v>0</v>
      </c>
      <c r="BJ54" s="52">
        <f t="shared" si="137"/>
        <v>0</v>
      </c>
      <c r="BK54" s="52">
        <f t="shared" si="137"/>
        <v>0</v>
      </c>
      <c r="BL54" s="52">
        <f t="shared" si="137"/>
        <v>0</v>
      </c>
      <c r="BM54" s="52">
        <f t="shared" si="137"/>
        <v>0</v>
      </c>
      <c r="BN54" s="52">
        <f t="shared" si="137"/>
        <v>0</v>
      </c>
      <c r="BO54" s="52">
        <f t="shared" si="137"/>
        <v>0</v>
      </c>
      <c r="BP54" s="52">
        <f t="shared" si="137"/>
        <v>0</v>
      </c>
      <c r="BQ54" s="52">
        <f t="shared" si="137"/>
        <v>0</v>
      </c>
      <c r="BR54" s="52">
        <f t="shared" ref="BR54:CW54" si="138">IFERROR(IF(BR$28="FALSE",0,$C$54/$C$8),0)</f>
        <v>0</v>
      </c>
      <c r="BS54" s="52">
        <f t="shared" si="138"/>
        <v>0</v>
      </c>
      <c r="BT54" s="52">
        <f t="shared" si="138"/>
        <v>0</v>
      </c>
      <c r="BU54" s="52">
        <f t="shared" si="138"/>
        <v>0</v>
      </c>
      <c r="BV54" s="52">
        <f t="shared" si="138"/>
        <v>0</v>
      </c>
      <c r="BW54" s="52">
        <f t="shared" si="138"/>
        <v>0</v>
      </c>
      <c r="BX54" s="52">
        <f t="shared" si="138"/>
        <v>0</v>
      </c>
      <c r="BY54" s="52">
        <f t="shared" si="138"/>
        <v>0</v>
      </c>
      <c r="BZ54" s="52">
        <f t="shared" si="138"/>
        <v>0</v>
      </c>
      <c r="CA54" s="52">
        <f t="shared" si="138"/>
        <v>0</v>
      </c>
      <c r="CB54" s="52">
        <f t="shared" si="138"/>
        <v>0</v>
      </c>
      <c r="CC54" s="52">
        <f t="shared" si="138"/>
        <v>0</v>
      </c>
      <c r="CD54" s="52">
        <f t="shared" si="138"/>
        <v>0</v>
      </c>
      <c r="CE54" s="52">
        <f t="shared" si="138"/>
        <v>0</v>
      </c>
      <c r="CF54" s="52">
        <f t="shared" si="138"/>
        <v>0</v>
      </c>
      <c r="CG54" s="52">
        <f t="shared" si="138"/>
        <v>0</v>
      </c>
      <c r="CH54" s="52">
        <f t="shared" si="138"/>
        <v>0</v>
      </c>
      <c r="CI54" s="52">
        <f t="shared" si="138"/>
        <v>0</v>
      </c>
      <c r="CJ54" s="52">
        <f t="shared" si="138"/>
        <v>0</v>
      </c>
      <c r="CK54" s="52">
        <f t="shared" si="138"/>
        <v>0</v>
      </c>
      <c r="CL54" s="52">
        <f t="shared" si="138"/>
        <v>0</v>
      </c>
      <c r="CM54" s="52">
        <f t="shared" si="138"/>
        <v>0</v>
      </c>
      <c r="CN54" s="52">
        <f t="shared" si="138"/>
        <v>0</v>
      </c>
      <c r="CO54" s="52">
        <f t="shared" si="138"/>
        <v>0</v>
      </c>
      <c r="CP54" s="52">
        <f t="shared" si="138"/>
        <v>0</v>
      </c>
      <c r="CQ54" s="52">
        <f t="shared" si="138"/>
        <v>0</v>
      </c>
      <c r="CR54" s="52">
        <f t="shared" si="138"/>
        <v>0</v>
      </c>
      <c r="CS54" s="52">
        <f t="shared" si="138"/>
        <v>0</v>
      </c>
      <c r="CT54" s="52">
        <f t="shared" si="138"/>
        <v>0</v>
      </c>
      <c r="CU54" s="52">
        <f t="shared" si="138"/>
        <v>0</v>
      </c>
      <c r="CV54" s="52">
        <f t="shared" si="138"/>
        <v>0</v>
      </c>
      <c r="CW54" s="52">
        <f t="shared" si="138"/>
        <v>0</v>
      </c>
      <c r="CX54" s="52">
        <f t="shared" ref="CX54:EC54" si="139">IFERROR(IF(CX$28="FALSE",0,$C$54/$C$8),0)</f>
        <v>0</v>
      </c>
      <c r="CY54" s="52">
        <f t="shared" si="139"/>
        <v>0</v>
      </c>
      <c r="CZ54" s="52">
        <f t="shared" si="139"/>
        <v>0</v>
      </c>
      <c r="DA54" s="52">
        <f t="shared" si="139"/>
        <v>0</v>
      </c>
      <c r="DB54" s="52">
        <f t="shared" si="139"/>
        <v>0</v>
      </c>
      <c r="DC54" s="52">
        <f t="shared" si="139"/>
        <v>0</v>
      </c>
      <c r="DD54" s="52">
        <f t="shared" si="139"/>
        <v>0</v>
      </c>
      <c r="DE54" s="52">
        <f t="shared" si="139"/>
        <v>0</v>
      </c>
      <c r="DF54" s="52">
        <f t="shared" si="139"/>
        <v>0</v>
      </c>
      <c r="DG54" s="52">
        <f t="shared" si="139"/>
        <v>0</v>
      </c>
      <c r="DH54" s="52">
        <f t="shared" si="139"/>
        <v>0</v>
      </c>
      <c r="DI54" s="52">
        <f t="shared" si="139"/>
        <v>0</v>
      </c>
      <c r="DJ54" s="52">
        <f t="shared" si="139"/>
        <v>0</v>
      </c>
      <c r="DK54" s="52">
        <f t="shared" si="139"/>
        <v>0</v>
      </c>
      <c r="DL54" s="52">
        <f t="shared" si="139"/>
        <v>0</v>
      </c>
      <c r="DM54" s="52">
        <f t="shared" si="139"/>
        <v>0</v>
      </c>
      <c r="DN54" s="52">
        <f t="shared" si="139"/>
        <v>0</v>
      </c>
      <c r="DO54" s="52">
        <f t="shared" si="139"/>
        <v>0</v>
      </c>
      <c r="DP54" s="52">
        <f t="shared" si="139"/>
        <v>0</v>
      </c>
      <c r="DQ54" s="52">
        <f t="shared" si="139"/>
        <v>0</v>
      </c>
      <c r="DR54" s="52">
        <f t="shared" si="139"/>
        <v>0</v>
      </c>
      <c r="DS54" s="52">
        <f t="shared" si="139"/>
        <v>0</v>
      </c>
      <c r="DT54" s="52">
        <f t="shared" si="139"/>
        <v>0</v>
      </c>
      <c r="DU54" s="52">
        <f t="shared" si="139"/>
        <v>0</v>
      </c>
      <c r="DV54" s="52">
        <f t="shared" si="139"/>
        <v>0</v>
      </c>
      <c r="DW54" s="52">
        <f t="shared" si="139"/>
        <v>0</v>
      </c>
      <c r="DX54" s="52">
        <f t="shared" si="139"/>
        <v>0</v>
      </c>
      <c r="DY54" s="52">
        <f t="shared" si="139"/>
        <v>0</v>
      </c>
      <c r="DZ54" s="52">
        <f t="shared" si="139"/>
        <v>0</v>
      </c>
      <c r="EA54" s="52">
        <f t="shared" si="139"/>
        <v>0</v>
      </c>
      <c r="EB54" s="52">
        <f t="shared" si="139"/>
        <v>0</v>
      </c>
      <c r="EC54" s="52">
        <f t="shared" si="139"/>
        <v>0</v>
      </c>
      <c r="ED54" s="52">
        <f t="shared" ref="ED54:FD54" si="140">IFERROR(IF(ED$28="FALSE",0,$C$54/$C$8),0)</f>
        <v>0</v>
      </c>
      <c r="EE54" s="52">
        <f t="shared" si="140"/>
        <v>0</v>
      </c>
      <c r="EF54" s="52">
        <f t="shared" si="140"/>
        <v>0</v>
      </c>
      <c r="EG54" s="52">
        <f t="shared" si="140"/>
        <v>0</v>
      </c>
      <c r="EH54" s="52">
        <f t="shared" si="140"/>
        <v>0</v>
      </c>
      <c r="EI54" s="52">
        <f t="shared" si="140"/>
        <v>0</v>
      </c>
      <c r="EJ54" s="52">
        <f t="shared" si="140"/>
        <v>0</v>
      </c>
      <c r="EK54" s="52">
        <f t="shared" si="140"/>
        <v>0</v>
      </c>
      <c r="EL54" s="52">
        <f t="shared" si="140"/>
        <v>0</v>
      </c>
      <c r="EM54" s="52">
        <f t="shared" si="140"/>
        <v>0</v>
      </c>
      <c r="EN54" s="52">
        <f t="shared" si="140"/>
        <v>0</v>
      </c>
      <c r="EO54" s="52">
        <f t="shared" si="140"/>
        <v>0</v>
      </c>
      <c r="EP54" s="52">
        <f t="shared" si="140"/>
        <v>0</v>
      </c>
      <c r="EQ54" s="52">
        <f t="shared" si="140"/>
        <v>0</v>
      </c>
      <c r="ER54" s="52">
        <f t="shared" si="140"/>
        <v>0</v>
      </c>
      <c r="ES54" s="52">
        <f t="shared" si="140"/>
        <v>0</v>
      </c>
      <c r="ET54" s="52">
        <f t="shared" si="140"/>
        <v>0</v>
      </c>
      <c r="EU54" s="52">
        <f t="shared" si="140"/>
        <v>0</v>
      </c>
      <c r="EV54" s="52">
        <f t="shared" si="140"/>
        <v>0</v>
      </c>
      <c r="EW54" s="52">
        <f t="shared" si="140"/>
        <v>0</v>
      </c>
      <c r="EX54" s="52">
        <f t="shared" si="140"/>
        <v>0</v>
      </c>
      <c r="EY54" s="52">
        <f t="shared" si="140"/>
        <v>0</v>
      </c>
      <c r="EZ54" s="52">
        <f t="shared" si="140"/>
        <v>0</v>
      </c>
      <c r="FA54" s="52">
        <f t="shared" si="140"/>
        <v>0</v>
      </c>
      <c r="FB54" s="52">
        <f t="shared" si="140"/>
        <v>0</v>
      </c>
      <c r="FC54" s="52">
        <f t="shared" si="140"/>
        <v>0</v>
      </c>
      <c r="FD54" s="52">
        <f t="shared" si="140"/>
        <v>0</v>
      </c>
    </row>
    <row r="55" spans="2:160">
      <c r="B55" s="51" t="s">
        <v>134</v>
      </c>
      <c r="C55" s="52">
        <f ca="1">IF(Startup!$C$3="Project",SUMIF(Startup!$C$7:$D$27,Overview!B55,Startup!$D$7:$D$27),(SUMIF(Startup!$C$7:$D$27,Overview!B55,Startup!$D$7:$D$27)*Startup!$C$4))+IF(Pilot!$C$3="Project",SUMIF(Pilot!$C$7:$D$27,Overview!B55,Pilot!$D$7:$D$27),(SUMIF(Pilot!$C$7:$D$27,Overview!B55,Pilot!$D$7:$D$27)*Pilot!$C$4))+IF(PMO!$C$3="Project",SUMIF(PMO!$C$7:$D$27,Overview!B55,PMO!$D$7:$D$27),(SUMIF(PMO!$C$7:$D$27,Overview!B55,PMO!$D$7:$D$27)*PMO!$C$4))+IF('Design &amp; Fulfillment'!$C$3="Project",SUMIF('Design &amp; Fulfillment'!$C$7:$D$27,Overview!B55,'Design &amp; Fulfillment'!$D$7:$D$27),(SUMIF('Design &amp; Fulfillment'!$C$7:$D$27,Overview!B55,'Design &amp; Fulfillment'!$D$7:$D$27)*'Design &amp; Fulfillment'!$C$4))+IF(Workplace!$C$3="Project",SUMIF(Workplace!$C$7:$D$27,Overview!B55,Workplace!$D$7:$D$27),(SUMIF(Workplace!$C$7:$D$27,Overview!B55,Workplace!$D$7:$D$27)*Workplace!$C$4))+IF(Integration!$C$3="Project",SUMIF(Integration!$C$7:$D$27,Overview!B55,Integration!$D$7:$D$27),(SUMIF(Integration!$C$7:$D$27,Overview!B55,Integration!$D$7:$D$27)*Integration!$C$4))+IF(Logistics!$C$3="Project",SUMIF(Logistics!$C$7:$D$27,Overview!B55,Logistics!$D$7:$D$27),(SUMIF(Logistics!$C$7:$D$27,Overview!B55,Logistics!$D$7:$D$27)*Logistics!$C$4))+IF('Service Desk'!$C$3="Project",SUMIF('Service Desk'!$C$7:$D$27,Overview!B55,'Service Desk'!$D$7:$D$27),(SUMIF('Service Desk'!$C$7:$D$27,Overview!B55,'Service Desk'!$D$7:$D$27)*'Service Desk'!$C$4))+IF('Pro Services'!$C$3="Project",SUMIF('Pro Services'!$C$7:$D$27,Overview!B55,'Pro Services'!$D$7:$D$27),(SUMIF('Pro Services'!$C$7:$D$27,Overview!B55,'Pro Services'!$D$7:$D$27)*'Pro Services'!$C$4))</f>
        <v>0</v>
      </c>
      <c r="D55" s="53">
        <f ca="1">IF(Startup!$C$3="Project",SUMIF(Startup!$C$7:$H$27,Overview!B55,Startup!$H$7:$H$27),(SUMIF(Startup!$C$7:$H$27,Overview!B55,Startup!$H$7:$H$27)*Startup!$C$4))+IF(Pilot!$C$3="Project",SUMIF(Pilot!$C$7:$H$27,Overview!B55,Pilot!$H$7:$H$27),(SUMIF(Pilot!$C$7:$H$27,Overview!B55,Pilot!$H$7:$H$27)*Pilot!$C$4))+IF(PMO!$C$3="Project",SUMIF(PMO!$C$7:$H$27,Overview!B55,PMO!$H$7:$H$27),(SUMIF(PMO!$C$7:$H$27,Overview!B55,PMO!$H$7:$H$27)*PMO!$C$4))+IF('Design &amp; Fulfillment'!$C$3="Project",SUMIF('Design &amp; Fulfillment'!$C$7:$H$27,Overview!B55,'Design &amp; Fulfillment'!$H$7:$H$27),(SUMIF('Design &amp; Fulfillment'!$C$7:$H$27,Overview!B55,'Design &amp; Fulfillment'!$H$7:$H$27)*'Design &amp; Fulfillment'!$C$4))+IF(Workplace!$C$3="Project",SUMIF(Workplace!$C$7:$H$27,Overview!B55,Workplace!$H$7:$H$27),(SUMIF(Workplace!$C$7:$H$27,Overview!B55,Workplace!$H$7:$H$27)*Workplace!$C$4))+IF(Integration!$C$3="Project",SUMIF(Integration!$C$7:$H$27,Overview!B55,Integration!$H$7:$H$27),(SUMIF(Integration!$C$7:$H$27,Overview!B55,Integration!$H$7:$H$27)*Integration!$C$4))+IF(Logistics!$C$3="Project",SUMIF(Logistics!$C$7:$H$27,Overview!B55,Logistics!$H$7:$H$27),(SUMIF(Logistics!$C$7:$H$27,Overview!B55,Logistics!$H$7:$H$27)*Logistics!$C$4))+IF('Service Desk'!$C$3="Project",SUMIF('Service Desk'!$C$7:$H$27,Overview!B55,'Service Desk'!$H$7:$H$27),(SUMIF('Service Desk'!$C$7:$H$27,Overview!B55,'Service Desk'!$H$7:$H$27)*'Service Desk'!$C$4))+IF('Pro Services'!$C$3="Project",SUMIF('Pro Services'!$C$7:$H$27,Overview!B55,'Pro Services'!$H$7:$H$27),(SUMIF('Pro Services'!$C$7:$H$27,Overview!B55,'Pro Services'!$H$7:$H$27)*'Pro Services'!$C$4))</f>
        <v>0</v>
      </c>
      <c r="E55" s="52">
        <f t="shared" ca="1" si="120"/>
        <v>0</v>
      </c>
      <c r="F55" s="52">
        <f t="shared" ref="F55:AK55" si="141">IFERROR(IF(F$28="FALSE",0,$C$55/$C$8),0)</f>
        <v>0</v>
      </c>
      <c r="G55" s="52">
        <f t="shared" si="141"/>
        <v>0</v>
      </c>
      <c r="H55" s="52">
        <f t="shared" si="141"/>
        <v>0</v>
      </c>
      <c r="I55" s="52">
        <f t="shared" si="141"/>
        <v>0</v>
      </c>
      <c r="J55" s="52">
        <f t="shared" si="141"/>
        <v>0</v>
      </c>
      <c r="K55" s="52">
        <f t="shared" si="141"/>
        <v>0</v>
      </c>
      <c r="L55" s="52">
        <f t="shared" si="141"/>
        <v>0</v>
      </c>
      <c r="M55" s="52">
        <f t="shared" si="141"/>
        <v>0</v>
      </c>
      <c r="N55" s="52">
        <f t="shared" si="141"/>
        <v>0</v>
      </c>
      <c r="O55" s="52">
        <f t="shared" si="141"/>
        <v>0</v>
      </c>
      <c r="P55" s="52">
        <f t="shared" si="141"/>
        <v>0</v>
      </c>
      <c r="Q55" s="52">
        <f t="shared" si="141"/>
        <v>0</v>
      </c>
      <c r="R55" s="52">
        <f t="shared" si="141"/>
        <v>0</v>
      </c>
      <c r="S55" s="52">
        <f t="shared" si="141"/>
        <v>0</v>
      </c>
      <c r="T55" s="52">
        <f t="shared" si="141"/>
        <v>0</v>
      </c>
      <c r="U55" s="52">
        <f t="shared" si="141"/>
        <v>0</v>
      </c>
      <c r="V55" s="52">
        <f t="shared" si="141"/>
        <v>0</v>
      </c>
      <c r="W55" s="52">
        <f t="shared" si="141"/>
        <v>0</v>
      </c>
      <c r="X55" s="52">
        <f t="shared" si="141"/>
        <v>0</v>
      </c>
      <c r="Y55" s="52">
        <f t="shared" si="141"/>
        <v>0</v>
      </c>
      <c r="Z55" s="52">
        <f t="shared" si="141"/>
        <v>0</v>
      </c>
      <c r="AA55" s="52">
        <f t="shared" si="141"/>
        <v>0</v>
      </c>
      <c r="AB55" s="52">
        <f t="shared" si="141"/>
        <v>0</v>
      </c>
      <c r="AC55" s="52">
        <f t="shared" si="141"/>
        <v>0</v>
      </c>
      <c r="AD55" s="52">
        <f t="shared" si="141"/>
        <v>0</v>
      </c>
      <c r="AE55" s="52">
        <f t="shared" si="141"/>
        <v>0</v>
      </c>
      <c r="AF55" s="52">
        <f t="shared" si="141"/>
        <v>0</v>
      </c>
      <c r="AG55" s="52">
        <f t="shared" si="141"/>
        <v>0</v>
      </c>
      <c r="AH55" s="52">
        <f t="shared" si="141"/>
        <v>0</v>
      </c>
      <c r="AI55" s="52">
        <f t="shared" si="141"/>
        <v>0</v>
      </c>
      <c r="AJ55" s="52">
        <f t="shared" si="141"/>
        <v>0</v>
      </c>
      <c r="AK55" s="52">
        <f t="shared" si="141"/>
        <v>0</v>
      </c>
      <c r="AL55" s="52">
        <f t="shared" ref="AL55:BQ55" si="142">IFERROR(IF(AL$28="FALSE",0,$C$55/$C$8),0)</f>
        <v>0</v>
      </c>
      <c r="AM55" s="52">
        <f t="shared" si="142"/>
        <v>0</v>
      </c>
      <c r="AN55" s="52">
        <f t="shared" si="142"/>
        <v>0</v>
      </c>
      <c r="AO55" s="52">
        <f t="shared" si="142"/>
        <v>0</v>
      </c>
      <c r="AP55" s="52">
        <f t="shared" si="142"/>
        <v>0</v>
      </c>
      <c r="AQ55" s="52">
        <f t="shared" si="142"/>
        <v>0</v>
      </c>
      <c r="AR55" s="52">
        <f t="shared" si="142"/>
        <v>0</v>
      </c>
      <c r="AS55" s="52">
        <f t="shared" si="142"/>
        <v>0</v>
      </c>
      <c r="AT55" s="52">
        <f t="shared" si="142"/>
        <v>0</v>
      </c>
      <c r="AU55" s="52">
        <f t="shared" si="142"/>
        <v>0</v>
      </c>
      <c r="AV55" s="52">
        <f t="shared" si="142"/>
        <v>0</v>
      </c>
      <c r="AW55" s="52">
        <f t="shared" si="142"/>
        <v>0</v>
      </c>
      <c r="AX55" s="52">
        <f t="shared" si="142"/>
        <v>0</v>
      </c>
      <c r="AY55" s="52">
        <f t="shared" si="142"/>
        <v>0</v>
      </c>
      <c r="AZ55" s="52">
        <f t="shared" si="142"/>
        <v>0</v>
      </c>
      <c r="BA55" s="52">
        <f t="shared" si="142"/>
        <v>0</v>
      </c>
      <c r="BB55" s="52">
        <f t="shared" si="142"/>
        <v>0</v>
      </c>
      <c r="BC55" s="52">
        <f t="shared" si="142"/>
        <v>0</v>
      </c>
      <c r="BD55" s="52">
        <f t="shared" si="142"/>
        <v>0</v>
      </c>
      <c r="BE55" s="52">
        <f t="shared" si="142"/>
        <v>0</v>
      </c>
      <c r="BF55" s="52">
        <f t="shared" si="142"/>
        <v>0</v>
      </c>
      <c r="BG55" s="52">
        <f t="shared" si="142"/>
        <v>0</v>
      </c>
      <c r="BH55" s="52">
        <f t="shared" si="142"/>
        <v>0</v>
      </c>
      <c r="BI55" s="52">
        <f t="shared" si="142"/>
        <v>0</v>
      </c>
      <c r="BJ55" s="52">
        <f t="shared" si="142"/>
        <v>0</v>
      </c>
      <c r="BK55" s="52">
        <f t="shared" si="142"/>
        <v>0</v>
      </c>
      <c r="BL55" s="52">
        <f t="shared" si="142"/>
        <v>0</v>
      </c>
      <c r="BM55" s="52">
        <f t="shared" si="142"/>
        <v>0</v>
      </c>
      <c r="BN55" s="52">
        <f t="shared" si="142"/>
        <v>0</v>
      </c>
      <c r="BO55" s="52">
        <f t="shared" si="142"/>
        <v>0</v>
      </c>
      <c r="BP55" s="52">
        <f t="shared" si="142"/>
        <v>0</v>
      </c>
      <c r="BQ55" s="52">
        <f t="shared" si="142"/>
        <v>0</v>
      </c>
      <c r="BR55" s="52">
        <f t="shared" ref="BR55:CW55" si="143">IFERROR(IF(BR$28="FALSE",0,$C$55/$C$8),0)</f>
        <v>0</v>
      </c>
      <c r="BS55" s="52">
        <f t="shared" si="143"/>
        <v>0</v>
      </c>
      <c r="BT55" s="52">
        <f t="shared" si="143"/>
        <v>0</v>
      </c>
      <c r="BU55" s="52">
        <f t="shared" si="143"/>
        <v>0</v>
      </c>
      <c r="BV55" s="52">
        <f t="shared" si="143"/>
        <v>0</v>
      </c>
      <c r="BW55" s="52">
        <f t="shared" si="143"/>
        <v>0</v>
      </c>
      <c r="BX55" s="52">
        <f t="shared" si="143"/>
        <v>0</v>
      </c>
      <c r="BY55" s="52">
        <f t="shared" si="143"/>
        <v>0</v>
      </c>
      <c r="BZ55" s="52">
        <f t="shared" si="143"/>
        <v>0</v>
      </c>
      <c r="CA55" s="52">
        <f t="shared" si="143"/>
        <v>0</v>
      </c>
      <c r="CB55" s="52">
        <f t="shared" si="143"/>
        <v>0</v>
      </c>
      <c r="CC55" s="52">
        <f t="shared" si="143"/>
        <v>0</v>
      </c>
      <c r="CD55" s="52">
        <f t="shared" si="143"/>
        <v>0</v>
      </c>
      <c r="CE55" s="52">
        <f t="shared" si="143"/>
        <v>0</v>
      </c>
      <c r="CF55" s="52">
        <f t="shared" si="143"/>
        <v>0</v>
      </c>
      <c r="CG55" s="52">
        <f t="shared" si="143"/>
        <v>0</v>
      </c>
      <c r="CH55" s="52">
        <f t="shared" si="143"/>
        <v>0</v>
      </c>
      <c r="CI55" s="52">
        <f t="shared" si="143"/>
        <v>0</v>
      </c>
      <c r="CJ55" s="52">
        <f t="shared" si="143"/>
        <v>0</v>
      </c>
      <c r="CK55" s="52">
        <f t="shared" si="143"/>
        <v>0</v>
      </c>
      <c r="CL55" s="52">
        <f t="shared" si="143"/>
        <v>0</v>
      </c>
      <c r="CM55" s="52">
        <f t="shared" si="143"/>
        <v>0</v>
      </c>
      <c r="CN55" s="52">
        <f t="shared" si="143"/>
        <v>0</v>
      </c>
      <c r="CO55" s="52">
        <f t="shared" si="143"/>
        <v>0</v>
      </c>
      <c r="CP55" s="52">
        <f t="shared" si="143"/>
        <v>0</v>
      </c>
      <c r="CQ55" s="52">
        <f t="shared" si="143"/>
        <v>0</v>
      </c>
      <c r="CR55" s="52">
        <f t="shared" si="143"/>
        <v>0</v>
      </c>
      <c r="CS55" s="52">
        <f t="shared" si="143"/>
        <v>0</v>
      </c>
      <c r="CT55" s="52">
        <f t="shared" si="143"/>
        <v>0</v>
      </c>
      <c r="CU55" s="52">
        <f t="shared" si="143"/>
        <v>0</v>
      </c>
      <c r="CV55" s="52">
        <f t="shared" si="143"/>
        <v>0</v>
      </c>
      <c r="CW55" s="52">
        <f t="shared" si="143"/>
        <v>0</v>
      </c>
      <c r="CX55" s="52">
        <f t="shared" ref="CX55:EC55" si="144">IFERROR(IF(CX$28="FALSE",0,$C$55/$C$8),0)</f>
        <v>0</v>
      </c>
      <c r="CY55" s="52">
        <f t="shared" si="144"/>
        <v>0</v>
      </c>
      <c r="CZ55" s="52">
        <f t="shared" si="144"/>
        <v>0</v>
      </c>
      <c r="DA55" s="52">
        <f t="shared" si="144"/>
        <v>0</v>
      </c>
      <c r="DB55" s="52">
        <f t="shared" si="144"/>
        <v>0</v>
      </c>
      <c r="DC55" s="52">
        <f t="shared" si="144"/>
        <v>0</v>
      </c>
      <c r="DD55" s="52">
        <f t="shared" si="144"/>
        <v>0</v>
      </c>
      <c r="DE55" s="52">
        <f t="shared" si="144"/>
        <v>0</v>
      </c>
      <c r="DF55" s="52">
        <f t="shared" si="144"/>
        <v>0</v>
      </c>
      <c r="DG55" s="52">
        <f t="shared" si="144"/>
        <v>0</v>
      </c>
      <c r="DH55" s="52">
        <f t="shared" si="144"/>
        <v>0</v>
      </c>
      <c r="DI55" s="52">
        <f t="shared" si="144"/>
        <v>0</v>
      </c>
      <c r="DJ55" s="52">
        <f t="shared" si="144"/>
        <v>0</v>
      </c>
      <c r="DK55" s="52">
        <f t="shared" si="144"/>
        <v>0</v>
      </c>
      <c r="DL55" s="52">
        <f t="shared" si="144"/>
        <v>0</v>
      </c>
      <c r="DM55" s="52">
        <f t="shared" si="144"/>
        <v>0</v>
      </c>
      <c r="DN55" s="52">
        <f t="shared" si="144"/>
        <v>0</v>
      </c>
      <c r="DO55" s="52">
        <f t="shared" si="144"/>
        <v>0</v>
      </c>
      <c r="DP55" s="52">
        <f t="shared" si="144"/>
        <v>0</v>
      </c>
      <c r="DQ55" s="52">
        <f t="shared" si="144"/>
        <v>0</v>
      </c>
      <c r="DR55" s="52">
        <f t="shared" si="144"/>
        <v>0</v>
      </c>
      <c r="DS55" s="52">
        <f t="shared" si="144"/>
        <v>0</v>
      </c>
      <c r="DT55" s="52">
        <f t="shared" si="144"/>
        <v>0</v>
      </c>
      <c r="DU55" s="52">
        <f t="shared" si="144"/>
        <v>0</v>
      </c>
      <c r="DV55" s="52">
        <f t="shared" si="144"/>
        <v>0</v>
      </c>
      <c r="DW55" s="52">
        <f t="shared" si="144"/>
        <v>0</v>
      </c>
      <c r="DX55" s="52">
        <f t="shared" si="144"/>
        <v>0</v>
      </c>
      <c r="DY55" s="52">
        <f t="shared" si="144"/>
        <v>0</v>
      </c>
      <c r="DZ55" s="52">
        <f t="shared" si="144"/>
        <v>0</v>
      </c>
      <c r="EA55" s="52">
        <f t="shared" si="144"/>
        <v>0</v>
      </c>
      <c r="EB55" s="52">
        <f t="shared" si="144"/>
        <v>0</v>
      </c>
      <c r="EC55" s="52">
        <f t="shared" si="144"/>
        <v>0</v>
      </c>
      <c r="ED55" s="52">
        <f t="shared" ref="ED55:FD55" si="145">IFERROR(IF(ED$28="FALSE",0,$C$55/$C$8),0)</f>
        <v>0</v>
      </c>
      <c r="EE55" s="52">
        <f t="shared" si="145"/>
        <v>0</v>
      </c>
      <c r="EF55" s="52">
        <f t="shared" si="145"/>
        <v>0</v>
      </c>
      <c r="EG55" s="52">
        <f t="shared" si="145"/>
        <v>0</v>
      </c>
      <c r="EH55" s="52">
        <f t="shared" si="145"/>
        <v>0</v>
      </c>
      <c r="EI55" s="52">
        <f t="shared" si="145"/>
        <v>0</v>
      </c>
      <c r="EJ55" s="52">
        <f t="shared" si="145"/>
        <v>0</v>
      </c>
      <c r="EK55" s="52">
        <f t="shared" si="145"/>
        <v>0</v>
      </c>
      <c r="EL55" s="52">
        <f t="shared" si="145"/>
        <v>0</v>
      </c>
      <c r="EM55" s="52">
        <f t="shared" si="145"/>
        <v>0</v>
      </c>
      <c r="EN55" s="52">
        <f t="shared" si="145"/>
        <v>0</v>
      </c>
      <c r="EO55" s="52">
        <f t="shared" si="145"/>
        <v>0</v>
      </c>
      <c r="EP55" s="52">
        <f t="shared" si="145"/>
        <v>0</v>
      </c>
      <c r="EQ55" s="52">
        <f t="shared" si="145"/>
        <v>0</v>
      </c>
      <c r="ER55" s="52">
        <f t="shared" si="145"/>
        <v>0</v>
      </c>
      <c r="ES55" s="52">
        <f t="shared" si="145"/>
        <v>0</v>
      </c>
      <c r="ET55" s="52">
        <f t="shared" si="145"/>
        <v>0</v>
      </c>
      <c r="EU55" s="52">
        <f t="shared" si="145"/>
        <v>0</v>
      </c>
      <c r="EV55" s="52">
        <f t="shared" si="145"/>
        <v>0</v>
      </c>
      <c r="EW55" s="52">
        <f t="shared" si="145"/>
        <v>0</v>
      </c>
      <c r="EX55" s="52">
        <f t="shared" si="145"/>
        <v>0</v>
      </c>
      <c r="EY55" s="52">
        <f t="shared" si="145"/>
        <v>0</v>
      </c>
      <c r="EZ55" s="52">
        <f t="shared" si="145"/>
        <v>0</v>
      </c>
      <c r="FA55" s="52">
        <f t="shared" si="145"/>
        <v>0</v>
      </c>
      <c r="FB55" s="52">
        <f t="shared" si="145"/>
        <v>0</v>
      </c>
      <c r="FC55" s="52">
        <f t="shared" si="145"/>
        <v>0</v>
      </c>
      <c r="FD55" s="52">
        <f t="shared" si="145"/>
        <v>0</v>
      </c>
    </row>
    <row r="56" spans="2:160">
      <c r="B56" s="51" t="s">
        <v>136</v>
      </c>
      <c r="C56" s="52">
        <f ca="1">IF(Startup!$C$3="Project",SUMIF(Startup!$C$7:$D$27,Overview!B56,Startup!$D$7:$D$27),(SUMIF(Startup!$C$7:$D$27,Overview!B56,Startup!$D$7:$D$27)*Startup!$C$4))+IF(Pilot!$C$3="Project",SUMIF(Pilot!$C$7:$D$27,Overview!B56,Pilot!$D$7:$D$27),(SUMIF(Pilot!$C$7:$D$27,Overview!B56,Pilot!$D$7:$D$27)*Pilot!$C$4))+IF(PMO!$C$3="Project",SUMIF(PMO!$C$7:$D$27,Overview!B56,PMO!$D$7:$D$27),(SUMIF(PMO!$C$7:$D$27,Overview!B56,PMO!$D$7:$D$27)*PMO!$C$4))+IF('Design &amp; Fulfillment'!$C$3="Project",SUMIF('Design &amp; Fulfillment'!$C$7:$D$27,Overview!B56,'Design &amp; Fulfillment'!$D$7:$D$27),(SUMIF('Design &amp; Fulfillment'!$C$7:$D$27,Overview!B56,'Design &amp; Fulfillment'!$D$7:$D$27)*'Design &amp; Fulfillment'!$C$4))+IF(Workplace!$C$3="Project",SUMIF(Workplace!$C$7:$D$27,Overview!B56,Workplace!$D$7:$D$27),(SUMIF(Workplace!$C$7:$D$27,Overview!B56,Workplace!$D$7:$D$27)*Workplace!$C$4))+IF(Integration!$C$3="Project",SUMIF(Integration!$C$7:$D$27,Overview!B56,Integration!$D$7:$D$27),(SUMIF(Integration!$C$7:$D$27,Overview!B56,Integration!$D$7:$D$27)*Integration!$C$4))+IF(Logistics!$C$3="Project",SUMIF(Logistics!$C$7:$D$27,Overview!B56,Logistics!$D$7:$D$27),(SUMIF(Logistics!$C$7:$D$27,Overview!B56,Logistics!$D$7:$D$27)*Logistics!$C$4))+IF('Service Desk'!$C$3="Project",SUMIF('Service Desk'!$C$7:$D$27,Overview!B56,'Service Desk'!$D$7:$D$27),(SUMIF('Service Desk'!$C$7:$D$27,Overview!B56,'Service Desk'!$D$7:$D$27)*'Service Desk'!$C$4))+IF('Pro Services'!$C$3="Project",SUMIF('Pro Services'!$C$7:$D$27,Overview!B56,'Pro Services'!$D$7:$D$27),(SUMIF('Pro Services'!$C$7:$D$27,Overview!B56,'Pro Services'!$D$7:$D$27)*'Pro Services'!$C$4))</f>
        <v>0</v>
      </c>
      <c r="D56" s="53">
        <f ca="1">IF(Startup!$C$3="Project",SUMIF(Startup!$C$7:$H$27,Overview!B56,Startup!$H$7:$H$27),(SUMIF(Startup!$C$7:$H$27,Overview!B56,Startup!$H$7:$H$27)*Startup!$C$4))+IF(Pilot!$C$3="Project",SUMIF(Pilot!$C$7:$H$27,Overview!B56,Pilot!$H$7:$H$27),(SUMIF(Pilot!$C$7:$H$27,Overview!B56,Pilot!$H$7:$H$27)*Pilot!$C$4))+IF(PMO!$C$3="Project",SUMIF(PMO!$C$7:$H$27,Overview!B56,PMO!$H$7:$H$27),(SUMIF(PMO!$C$7:$H$27,Overview!B56,PMO!$H$7:$H$27)*PMO!$C$4))+IF('Design &amp; Fulfillment'!$C$3="Project",SUMIF('Design &amp; Fulfillment'!$C$7:$H$27,Overview!B56,'Design &amp; Fulfillment'!$H$7:$H$27),(SUMIF('Design &amp; Fulfillment'!$C$7:$H$27,Overview!B56,'Design &amp; Fulfillment'!$H$7:$H$27)*'Design &amp; Fulfillment'!$C$4))+IF(Workplace!$C$3="Project",SUMIF(Workplace!$C$7:$H$27,Overview!B56,Workplace!$H$7:$H$27),(SUMIF(Workplace!$C$7:$H$27,Overview!B56,Workplace!$H$7:$H$27)*Workplace!$C$4))+IF(Integration!$C$3="Project",SUMIF(Integration!$C$7:$H$27,Overview!B56,Integration!$H$7:$H$27),(SUMIF(Integration!$C$7:$H$27,Overview!B56,Integration!$H$7:$H$27)*Integration!$C$4))+IF(Logistics!$C$3="Project",SUMIF(Logistics!$C$7:$H$27,Overview!B56,Logistics!$H$7:$H$27),(SUMIF(Logistics!$C$7:$H$27,Overview!B56,Logistics!$H$7:$H$27)*Logistics!$C$4))+IF('Service Desk'!$C$3="Project",SUMIF('Service Desk'!$C$7:$H$27,Overview!B56,'Service Desk'!$H$7:$H$27),(SUMIF('Service Desk'!$C$7:$H$27,Overview!B56,'Service Desk'!$H$7:$H$27)*'Service Desk'!$C$4))+IF('Pro Services'!$C$3="Project",SUMIF('Pro Services'!$C$7:$H$27,Overview!B56,'Pro Services'!$H$7:$H$27),(SUMIF('Pro Services'!$C$7:$H$27,Overview!B56,'Pro Services'!$H$7:$H$27)*'Pro Services'!$C$4))</f>
        <v>0</v>
      </c>
      <c r="E56" s="52">
        <f t="shared" ca="1" si="120"/>
        <v>0</v>
      </c>
      <c r="F56" s="52">
        <f t="shared" ref="F56:AK56" si="146">IFERROR(IF(F$28="FALSE",0,$C$56/$C$8),0)</f>
        <v>0</v>
      </c>
      <c r="G56" s="52">
        <f t="shared" si="146"/>
        <v>0</v>
      </c>
      <c r="H56" s="52">
        <f t="shared" si="146"/>
        <v>0</v>
      </c>
      <c r="I56" s="52">
        <f t="shared" si="146"/>
        <v>0</v>
      </c>
      <c r="J56" s="52">
        <f t="shared" si="146"/>
        <v>0</v>
      </c>
      <c r="K56" s="52">
        <f t="shared" si="146"/>
        <v>0</v>
      </c>
      <c r="L56" s="52">
        <f t="shared" si="146"/>
        <v>0</v>
      </c>
      <c r="M56" s="52">
        <f t="shared" si="146"/>
        <v>0</v>
      </c>
      <c r="N56" s="52">
        <f t="shared" si="146"/>
        <v>0</v>
      </c>
      <c r="O56" s="52">
        <f t="shared" si="146"/>
        <v>0</v>
      </c>
      <c r="P56" s="52">
        <f t="shared" si="146"/>
        <v>0</v>
      </c>
      <c r="Q56" s="52">
        <f t="shared" si="146"/>
        <v>0</v>
      </c>
      <c r="R56" s="52">
        <f t="shared" si="146"/>
        <v>0</v>
      </c>
      <c r="S56" s="52">
        <f t="shared" si="146"/>
        <v>0</v>
      </c>
      <c r="T56" s="52">
        <f t="shared" si="146"/>
        <v>0</v>
      </c>
      <c r="U56" s="52">
        <f t="shared" si="146"/>
        <v>0</v>
      </c>
      <c r="V56" s="52">
        <f t="shared" si="146"/>
        <v>0</v>
      </c>
      <c r="W56" s="52">
        <f t="shared" si="146"/>
        <v>0</v>
      </c>
      <c r="X56" s="52">
        <f t="shared" si="146"/>
        <v>0</v>
      </c>
      <c r="Y56" s="52">
        <f t="shared" si="146"/>
        <v>0</v>
      </c>
      <c r="Z56" s="52">
        <f t="shared" si="146"/>
        <v>0</v>
      </c>
      <c r="AA56" s="52">
        <f t="shared" si="146"/>
        <v>0</v>
      </c>
      <c r="AB56" s="52">
        <f t="shared" si="146"/>
        <v>0</v>
      </c>
      <c r="AC56" s="52">
        <f t="shared" si="146"/>
        <v>0</v>
      </c>
      <c r="AD56" s="52">
        <f t="shared" si="146"/>
        <v>0</v>
      </c>
      <c r="AE56" s="52">
        <f t="shared" si="146"/>
        <v>0</v>
      </c>
      <c r="AF56" s="52">
        <f t="shared" si="146"/>
        <v>0</v>
      </c>
      <c r="AG56" s="52">
        <f t="shared" si="146"/>
        <v>0</v>
      </c>
      <c r="AH56" s="52">
        <f t="shared" si="146"/>
        <v>0</v>
      </c>
      <c r="AI56" s="52">
        <f t="shared" si="146"/>
        <v>0</v>
      </c>
      <c r="AJ56" s="52">
        <f t="shared" si="146"/>
        <v>0</v>
      </c>
      <c r="AK56" s="52">
        <f t="shared" si="146"/>
        <v>0</v>
      </c>
      <c r="AL56" s="52">
        <f t="shared" ref="AL56:BQ56" si="147">IFERROR(IF(AL$28="FALSE",0,$C$56/$C$8),0)</f>
        <v>0</v>
      </c>
      <c r="AM56" s="52">
        <f t="shared" si="147"/>
        <v>0</v>
      </c>
      <c r="AN56" s="52">
        <f t="shared" si="147"/>
        <v>0</v>
      </c>
      <c r="AO56" s="52">
        <f t="shared" si="147"/>
        <v>0</v>
      </c>
      <c r="AP56" s="52">
        <f t="shared" si="147"/>
        <v>0</v>
      </c>
      <c r="AQ56" s="52">
        <f t="shared" si="147"/>
        <v>0</v>
      </c>
      <c r="AR56" s="52">
        <f t="shared" si="147"/>
        <v>0</v>
      </c>
      <c r="AS56" s="52">
        <f t="shared" si="147"/>
        <v>0</v>
      </c>
      <c r="AT56" s="52">
        <f t="shared" si="147"/>
        <v>0</v>
      </c>
      <c r="AU56" s="52">
        <f t="shared" si="147"/>
        <v>0</v>
      </c>
      <c r="AV56" s="52">
        <f t="shared" si="147"/>
        <v>0</v>
      </c>
      <c r="AW56" s="52">
        <f t="shared" si="147"/>
        <v>0</v>
      </c>
      <c r="AX56" s="52">
        <f t="shared" si="147"/>
        <v>0</v>
      </c>
      <c r="AY56" s="52">
        <f t="shared" si="147"/>
        <v>0</v>
      </c>
      <c r="AZ56" s="52">
        <f t="shared" si="147"/>
        <v>0</v>
      </c>
      <c r="BA56" s="52">
        <f t="shared" si="147"/>
        <v>0</v>
      </c>
      <c r="BB56" s="52">
        <f t="shared" si="147"/>
        <v>0</v>
      </c>
      <c r="BC56" s="52">
        <f t="shared" si="147"/>
        <v>0</v>
      </c>
      <c r="BD56" s="52">
        <f t="shared" si="147"/>
        <v>0</v>
      </c>
      <c r="BE56" s="52">
        <f t="shared" si="147"/>
        <v>0</v>
      </c>
      <c r="BF56" s="52">
        <f t="shared" si="147"/>
        <v>0</v>
      </c>
      <c r="BG56" s="52">
        <f t="shared" si="147"/>
        <v>0</v>
      </c>
      <c r="BH56" s="52">
        <f t="shared" si="147"/>
        <v>0</v>
      </c>
      <c r="BI56" s="52">
        <f t="shared" si="147"/>
        <v>0</v>
      </c>
      <c r="BJ56" s="52">
        <f t="shared" si="147"/>
        <v>0</v>
      </c>
      <c r="BK56" s="52">
        <f t="shared" si="147"/>
        <v>0</v>
      </c>
      <c r="BL56" s="52">
        <f t="shared" si="147"/>
        <v>0</v>
      </c>
      <c r="BM56" s="52">
        <f t="shared" si="147"/>
        <v>0</v>
      </c>
      <c r="BN56" s="52">
        <f t="shared" si="147"/>
        <v>0</v>
      </c>
      <c r="BO56" s="52">
        <f t="shared" si="147"/>
        <v>0</v>
      </c>
      <c r="BP56" s="52">
        <f t="shared" si="147"/>
        <v>0</v>
      </c>
      <c r="BQ56" s="52">
        <f t="shared" si="147"/>
        <v>0</v>
      </c>
      <c r="BR56" s="52">
        <f t="shared" ref="BR56:CW56" si="148">IFERROR(IF(BR$28="FALSE",0,$C$56/$C$8),0)</f>
        <v>0</v>
      </c>
      <c r="BS56" s="52">
        <f t="shared" si="148"/>
        <v>0</v>
      </c>
      <c r="BT56" s="52">
        <f t="shared" si="148"/>
        <v>0</v>
      </c>
      <c r="BU56" s="52">
        <f t="shared" si="148"/>
        <v>0</v>
      </c>
      <c r="BV56" s="52">
        <f t="shared" si="148"/>
        <v>0</v>
      </c>
      <c r="BW56" s="52">
        <f t="shared" si="148"/>
        <v>0</v>
      </c>
      <c r="BX56" s="52">
        <f t="shared" si="148"/>
        <v>0</v>
      </c>
      <c r="BY56" s="52">
        <f t="shared" si="148"/>
        <v>0</v>
      </c>
      <c r="BZ56" s="52">
        <f t="shared" si="148"/>
        <v>0</v>
      </c>
      <c r="CA56" s="52">
        <f t="shared" si="148"/>
        <v>0</v>
      </c>
      <c r="CB56" s="52">
        <f t="shared" si="148"/>
        <v>0</v>
      </c>
      <c r="CC56" s="52">
        <f t="shared" si="148"/>
        <v>0</v>
      </c>
      <c r="CD56" s="52">
        <f t="shared" si="148"/>
        <v>0</v>
      </c>
      <c r="CE56" s="52">
        <f t="shared" si="148"/>
        <v>0</v>
      </c>
      <c r="CF56" s="52">
        <f t="shared" si="148"/>
        <v>0</v>
      </c>
      <c r="CG56" s="52">
        <f t="shared" si="148"/>
        <v>0</v>
      </c>
      <c r="CH56" s="52">
        <f t="shared" si="148"/>
        <v>0</v>
      </c>
      <c r="CI56" s="52">
        <f t="shared" si="148"/>
        <v>0</v>
      </c>
      <c r="CJ56" s="52">
        <f t="shared" si="148"/>
        <v>0</v>
      </c>
      <c r="CK56" s="52">
        <f t="shared" si="148"/>
        <v>0</v>
      </c>
      <c r="CL56" s="52">
        <f t="shared" si="148"/>
        <v>0</v>
      </c>
      <c r="CM56" s="52">
        <f t="shared" si="148"/>
        <v>0</v>
      </c>
      <c r="CN56" s="52">
        <f t="shared" si="148"/>
        <v>0</v>
      </c>
      <c r="CO56" s="52">
        <f t="shared" si="148"/>
        <v>0</v>
      </c>
      <c r="CP56" s="52">
        <f t="shared" si="148"/>
        <v>0</v>
      </c>
      <c r="CQ56" s="52">
        <f t="shared" si="148"/>
        <v>0</v>
      </c>
      <c r="CR56" s="52">
        <f t="shared" si="148"/>
        <v>0</v>
      </c>
      <c r="CS56" s="52">
        <f t="shared" si="148"/>
        <v>0</v>
      </c>
      <c r="CT56" s="52">
        <f t="shared" si="148"/>
        <v>0</v>
      </c>
      <c r="CU56" s="52">
        <f t="shared" si="148"/>
        <v>0</v>
      </c>
      <c r="CV56" s="52">
        <f t="shared" si="148"/>
        <v>0</v>
      </c>
      <c r="CW56" s="52">
        <f t="shared" si="148"/>
        <v>0</v>
      </c>
      <c r="CX56" s="52">
        <f t="shared" ref="CX56:EC56" si="149">IFERROR(IF(CX$28="FALSE",0,$C$56/$C$8),0)</f>
        <v>0</v>
      </c>
      <c r="CY56" s="52">
        <f t="shared" si="149"/>
        <v>0</v>
      </c>
      <c r="CZ56" s="52">
        <f t="shared" si="149"/>
        <v>0</v>
      </c>
      <c r="DA56" s="52">
        <f t="shared" si="149"/>
        <v>0</v>
      </c>
      <c r="DB56" s="52">
        <f t="shared" si="149"/>
        <v>0</v>
      </c>
      <c r="DC56" s="52">
        <f t="shared" si="149"/>
        <v>0</v>
      </c>
      <c r="DD56" s="52">
        <f t="shared" si="149"/>
        <v>0</v>
      </c>
      <c r="DE56" s="52">
        <f t="shared" si="149"/>
        <v>0</v>
      </c>
      <c r="DF56" s="52">
        <f t="shared" si="149"/>
        <v>0</v>
      </c>
      <c r="DG56" s="52">
        <f t="shared" si="149"/>
        <v>0</v>
      </c>
      <c r="DH56" s="52">
        <f t="shared" si="149"/>
        <v>0</v>
      </c>
      <c r="DI56" s="52">
        <f t="shared" si="149"/>
        <v>0</v>
      </c>
      <c r="DJ56" s="52">
        <f t="shared" si="149"/>
        <v>0</v>
      </c>
      <c r="DK56" s="52">
        <f t="shared" si="149"/>
        <v>0</v>
      </c>
      <c r="DL56" s="52">
        <f t="shared" si="149"/>
        <v>0</v>
      </c>
      <c r="DM56" s="52">
        <f t="shared" si="149"/>
        <v>0</v>
      </c>
      <c r="DN56" s="52">
        <f t="shared" si="149"/>
        <v>0</v>
      </c>
      <c r="DO56" s="52">
        <f t="shared" si="149"/>
        <v>0</v>
      </c>
      <c r="DP56" s="52">
        <f t="shared" si="149"/>
        <v>0</v>
      </c>
      <c r="DQ56" s="52">
        <f t="shared" si="149"/>
        <v>0</v>
      </c>
      <c r="DR56" s="52">
        <f t="shared" si="149"/>
        <v>0</v>
      </c>
      <c r="DS56" s="52">
        <f t="shared" si="149"/>
        <v>0</v>
      </c>
      <c r="DT56" s="52">
        <f t="shared" si="149"/>
        <v>0</v>
      </c>
      <c r="DU56" s="52">
        <f t="shared" si="149"/>
        <v>0</v>
      </c>
      <c r="DV56" s="52">
        <f t="shared" si="149"/>
        <v>0</v>
      </c>
      <c r="DW56" s="52">
        <f t="shared" si="149"/>
        <v>0</v>
      </c>
      <c r="DX56" s="52">
        <f t="shared" si="149"/>
        <v>0</v>
      </c>
      <c r="DY56" s="52">
        <f t="shared" si="149"/>
        <v>0</v>
      </c>
      <c r="DZ56" s="52">
        <f t="shared" si="149"/>
        <v>0</v>
      </c>
      <c r="EA56" s="52">
        <f t="shared" si="149"/>
        <v>0</v>
      </c>
      <c r="EB56" s="52">
        <f t="shared" si="149"/>
        <v>0</v>
      </c>
      <c r="EC56" s="52">
        <f t="shared" si="149"/>
        <v>0</v>
      </c>
      <c r="ED56" s="52">
        <f t="shared" ref="ED56:FD56" si="150">IFERROR(IF(ED$28="FALSE",0,$C$56/$C$8),0)</f>
        <v>0</v>
      </c>
      <c r="EE56" s="52">
        <f t="shared" si="150"/>
        <v>0</v>
      </c>
      <c r="EF56" s="52">
        <f t="shared" si="150"/>
        <v>0</v>
      </c>
      <c r="EG56" s="52">
        <f t="shared" si="150"/>
        <v>0</v>
      </c>
      <c r="EH56" s="52">
        <f t="shared" si="150"/>
        <v>0</v>
      </c>
      <c r="EI56" s="52">
        <f t="shared" si="150"/>
        <v>0</v>
      </c>
      <c r="EJ56" s="52">
        <f t="shared" si="150"/>
        <v>0</v>
      </c>
      <c r="EK56" s="52">
        <f t="shared" si="150"/>
        <v>0</v>
      </c>
      <c r="EL56" s="52">
        <f t="shared" si="150"/>
        <v>0</v>
      </c>
      <c r="EM56" s="52">
        <f t="shared" si="150"/>
        <v>0</v>
      </c>
      <c r="EN56" s="52">
        <f t="shared" si="150"/>
        <v>0</v>
      </c>
      <c r="EO56" s="52">
        <f t="shared" si="150"/>
        <v>0</v>
      </c>
      <c r="EP56" s="52">
        <f t="shared" si="150"/>
        <v>0</v>
      </c>
      <c r="EQ56" s="52">
        <f t="shared" si="150"/>
        <v>0</v>
      </c>
      <c r="ER56" s="52">
        <f t="shared" si="150"/>
        <v>0</v>
      </c>
      <c r="ES56" s="52">
        <f t="shared" si="150"/>
        <v>0</v>
      </c>
      <c r="ET56" s="52">
        <f t="shared" si="150"/>
        <v>0</v>
      </c>
      <c r="EU56" s="52">
        <f t="shared" si="150"/>
        <v>0</v>
      </c>
      <c r="EV56" s="52">
        <f t="shared" si="150"/>
        <v>0</v>
      </c>
      <c r="EW56" s="52">
        <f t="shared" si="150"/>
        <v>0</v>
      </c>
      <c r="EX56" s="52">
        <f t="shared" si="150"/>
        <v>0</v>
      </c>
      <c r="EY56" s="52">
        <f t="shared" si="150"/>
        <v>0</v>
      </c>
      <c r="EZ56" s="52">
        <f t="shared" si="150"/>
        <v>0</v>
      </c>
      <c r="FA56" s="52">
        <f t="shared" si="150"/>
        <v>0</v>
      </c>
      <c r="FB56" s="52">
        <f t="shared" si="150"/>
        <v>0</v>
      </c>
      <c r="FC56" s="52">
        <f t="shared" si="150"/>
        <v>0</v>
      </c>
      <c r="FD56" s="52">
        <f t="shared" si="150"/>
        <v>0</v>
      </c>
    </row>
    <row r="57" spans="2:160">
      <c r="B57" s="51" t="s">
        <v>137</v>
      </c>
      <c r="C57" s="52">
        <f ca="1">IF(Startup!$C$3="Project",SUMIF(Startup!$C$7:$D$27,Overview!B57,Startup!$D$7:$D$27),(SUMIF(Startup!$C$7:$D$27,Overview!B57,Startup!$D$7:$D$27)*Startup!$C$4))+IF(Pilot!$C$3="Project",SUMIF(Pilot!$C$7:$D$27,Overview!B57,Pilot!$D$7:$D$27),(SUMIF(Pilot!$C$7:$D$27,Overview!B57,Pilot!$D$7:$D$27)*Pilot!$C$4))+IF(PMO!$C$3="Project",SUMIF(PMO!$C$7:$D$27,Overview!B57,PMO!$D$7:$D$27),(SUMIF(PMO!$C$7:$D$27,Overview!B57,PMO!$D$7:$D$27)*PMO!$C$4))+IF('Design &amp; Fulfillment'!$C$3="Project",SUMIF('Design &amp; Fulfillment'!$C$7:$D$27,Overview!B57,'Design &amp; Fulfillment'!$D$7:$D$27),(SUMIF('Design &amp; Fulfillment'!$C$7:$D$27,Overview!B57,'Design &amp; Fulfillment'!$D$7:$D$27)*'Design &amp; Fulfillment'!$C$4))+IF(Workplace!$C$3="Project",SUMIF(Workplace!$C$7:$D$27,Overview!B57,Workplace!$D$7:$D$27),(SUMIF(Workplace!$C$7:$D$27,Overview!B57,Workplace!$D$7:$D$27)*Workplace!$C$4))+IF(Integration!$C$3="Project",SUMIF(Integration!$C$7:$D$27,Overview!B57,Integration!$D$7:$D$27),(SUMIF(Integration!$C$7:$D$27,Overview!B57,Integration!$D$7:$D$27)*Integration!$C$4))+IF(Logistics!$C$3="Project",SUMIF(Logistics!$C$7:$D$27,Overview!B57,Logistics!$D$7:$D$27),(SUMIF(Logistics!$C$7:$D$27,Overview!B57,Logistics!$D$7:$D$27)*Logistics!$C$4))+IF('Service Desk'!$C$3="Project",SUMIF('Service Desk'!$C$7:$D$27,Overview!B57,'Service Desk'!$D$7:$D$27),(SUMIF('Service Desk'!$C$7:$D$27,Overview!B57,'Service Desk'!$D$7:$D$27)*'Service Desk'!$C$4))+IF('Pro Services'!$C$3="Project",SUMIF('Pro Services'!$C$7:$D$27,Overview!B57,'Pro Services'!$D$7:$D$27),(SUMIF('Pro Services'!$C$7:$D$27,Overview!B57,'Pro Services'!$D$7:$D$27)*'Pro Services'!$C$4))</f>
        <v>0</v>
      </c>
      <c r="D57" s="53">
        <f ca="1">IF(Startup!$C$3="Project",SUMIF(Startup!$C$7:$H$27,Overview!B57,Startup!$H$7:$H$27),(SUMIF(Startup!$C$7:$H$27,Overview!B57,Startup!$H$7:$H$27)*Startup!$C$4))+IF(Pilot!$C$3="Project",SUMIF(Pilot!$C$7:$H$27,Overview!B57,Pilot!$H$7:$H$27),(SUMIF(Pilot!$C$7:$H$27,Overview!B57,Pilot!$H$7:$H$27)*Pilot!$C$4))+IF(PMO!$C$3="Project",SUMIF(PMO!$C$7:$H$27,Overview!B57,PMO!$H$7:$H$27),(SUMIF(PMO!$C$7:$H$27,Overview!B57,PMO!$H$7:$H$27)*PMO!$C$4))+IF('Design &amp; Fulfillment'!$C$3="Project",SUMIF('Design &amp; Fulfillment'!$C$7:$H$27,Overview!B57,'Design &amp; Fulfillment'!$H$7:$H$27),(SUMIF('Design &amp; Fulfillment'!$C$7:$H$27,Overview!B57,'Design &amp; Fulfillment'!$H$7:$H$27)*'Design &amp; Fulfillment'!$C$4))+IF(Workplace!$C$3="Project",SUMIF(Workplace!$C$7:$H$27,Overview!B57,Workplace!$H$7:$H$27),(SUMIF(Workplace!$C$7:$H$27,Overview!B57,Workplace!$H$7:$H$27)*Workplace!$C$4))+IF(Integration!$C$3="Project",SUMIF(Integration!$C$7:$H$27,Overview!B57,Integration!$H$7:$H$27),(SUMIF(Integration!$C$7:$H$27,Overview!B57,Integration!$H$7:$H$27)*Integration!$C$4))+IF(Logistics!$C$3="Project",SUMIF(Logistics!$C$7:$H$27,Overview!B57,Logistics!$H$7:$H$27),(SUMIF(Logistics!$C$7:$H$27,Overview!B57,Logistics!$H$7:$H$27)*Logistics!$C$4))+IF('Service Desk'!$C$3="Project",SUMIF('Service Desk'!$C$7:$H$27,Overview!B57,'Service Desk'!$H$7:$H$27),(SUMIF('Service Desk'!$C$7:$H$27,Overview!B57,'Service Desk'!$H$7:$H$27)*'Service Desk'!$C$4))+IF('Pro Services'!$C$3="Project",SUMIF('Pro Services'!$C$7:$H$27,Overview!B57,'Pro Services'!$H$7:$H$27),(SUMIF('Pro Services'!$C$7:$H$27,Overview!B57,'Pro Services'!$H$7:$H$27)*'Pro Services'!$C$4))</f>
        <v>0</v>
      </c>
      <c r="E57" s="52">
        <f t="shared" ca="1" si="120"/>
        <v>0</v>
      </c>
      <c r="F57" s="52">
        <f t="shared" ref="F57:AK57" si="151">IFERROR(IF(F$28="FALSE",0,$C$57/$C$8),0)</f>
        <v>0</v>
      </c>
      <c r="G57" s="52">
        <f t="shared" si="151"/>
        <v>0</v>
      </c>
      <c r="H57" s="52">
        <f t="shared" si="151"/>
        <v>0</v>
      </c>
      <c r="I57" s="52">
        <f t="shared" si="151"/>
        <v>0</v>
      </c>
      <c r="J57" s="52">
        <f t="shared" si="151"/>
        <v>0</v>
      </c>
      <c r="K57" s="52">
        <f t="shared" si="151"/>
        <v>0</v>
      </c>
      <c r="L57" s="52">
        <f t="shared" si="151"/>
        <v>0</v>
      </c>
      <c r="M57" s="52">
        <f t="shared" si="151"/>
        <v>0</v>
      </c>
      <c r="N57" s="52">
        <f t="shared" si="151"/>
        <v>0</v>
      </c>
      <c r="O57" s="52">
        <f t="shared" si="151"/>
        <v>0</v>
      </c>
      <c r="P57" s="52">
        <f t="shared" si="151"/>
        <v>0</v>
      </c>
      <c r="Q57" s="52">
        <f t="shared" si="151"/>
        <v>0</v>
      </c>
      <c r="R57" s="52">
        <f t="shared" si="151"/>
        <v>0</v>
      </c>
      <c r="S57" s="52">
        <f t="shared" si="151"/>
        <v>0</v>
      </c>
      <c r="T57" s="52">
        <f t="shared" si="151"/>
        <v>0</v>
      </c>
      <c r="U57" s="52">
        <f t="shared" si="151"/>
        <v>0</v>
      </c>
      <c r="V57" s="52">
        <f t="shared" si="151"/>
        <v>0</v>
      </c>
      <c r="W57" s="52">
        <f t="shared" si="151"/>
        <v>0</v>
      </c>
      <c r="X57" s="52">
        <f t="shared" si="151"/>
        <v>0</v>
      </c>
      <c r="Y57" s="52">
        <f t="shared" si="151"/>
        <v>0</v>
      </c>
      <c r="Z57" s="52">
        <f t="shared" si="151"/>
        <v>0</v>
      </c>
      <c r="AA57" s="52">
        <f t="shared" si="151"/>
        <v>0</v>
      </c>
      <c r="AB57" s="52">
        <f t="shared" si="151"/>
        <v>0</v>
      </c>
      <c r="AC57" s="52">
        <f t="shared" si="151"/>
        <v>0</v>
      </c>
      <c r="AD57" s="52">
        <f t="shared" si="151"/>
        <v>0</v>
      </c>
      <c r="AE57" s="52">
        <f t="shared" si="151"/>
        <v>0</v>
      </c>
      <c r="AF57" s="52">
        <f t="shared" si="151"/>
        <v>0</v>
      </c>
      <c r="AG57" s="52">
        <f t="shared" si="151"/>
        <v>0</v>
      </c>
      <c r="AH57" s="52">
        <f t="shared" si="151"/>
        <v>0</v>
      </c>
      <c r="AI57" s="52">
        <f t="shared" si="151"/>
        <v>0</v>
      </c>
      <c r="AJ57" s="52">
        <f t="shared" si="151"/>
        <v>0</v>
      </c>
      <c r="AK57" s="52">
        <f t="shared" si="151"/>
        <v>0</v>
      </c>
      <c r="AL57" s="52">
        <f t="shared" ref="AL57:BQ57" si="152">IFERROR(IF(AL$28="FALSE",0,$C$57/$C$8),0)</f>
        <v>0</v>
      </c>
      <c r="AM57" s="52">
        <f t="shared" si="152"/>
        <v>0</v>
      </c>
      <c r="AN57" s="52">
        <f t="shared" si="152"/>
        <v>0</v>
      </c>
      <c r="AO57" s="52">
        <f t="shared" si="152"/>
        <v>0</v>
      </c>
      <c r="AP57" s="52">
        <f t="shared" si="152"/>
        <v>0</v>
      </c>
      <c r="AQ57" s="52">
        <f t="shared" si="152"/>
        <v>0</v>
      </c>
      <c r="AR57" s="52">
        <f t="shared" si="152"/>
        <v>0</v>
      </c>
      <c r="AS57" s="52">
        <f t="shared" si="152"/>
        <v>0</v>
      </c>
      <c r="AT57" s="52">
        <f t="shared" si="152"/>
        <v>0</v>
      </c>
      <c r="AU57" s="52">
        <f t="shared" si="152"/>
        <v>0</v>
      </c>
      <c r="AV57" s="52">
        <f t="shared" si="152"/>
        <v>0</v>
      </c>
      <c r="AW57" s="52">
        <f t="shared" si="152"/>
        <v>0</v>
      </c>
      <c r="AX57" s="52">
        <f t="shared" si="152"/>
        <v>0</v>
      </c>
      <c r="AY57" s="52">
        <f t="shared" si="152"/>
        <v>0</v>
      </c>
      <c r="AZ57" s="52">
        <f t="shared" si="152"/>
        <v>0</v>
      </c>
      <c r="BA57" s="52">
        <f t="shared" si="152"/>
        <v>0</v>
      </c>
      <c r="BB57" s="52">
        <f t="shared" si="152"/>
        <v>0</v>
      </c>
      <c r="BC57" s="52">
        <f t="shared" si="152"/>
        <v>0</v>
      </c>
      <c r="BD57" s="52">
        <f t="shared" si="152"/>
        <v>0</v>
      </c>
      <c r="BE57" s="52">
        <f t="shared" si="152"/>
        <v>0</v>
      </c>
      <c r="BF57" s="52">
        <f t="shared" si="152"/>
        <v>0</v>
      </c>
      <c r="BG57" s="52">
        <f t="shared" si="152"/>
        <v>0</v>
      </c>
      <c r="BH57" s="52">
        <f t="shared" si="152"/>
        <v>0</v>
      </c>
      <c r="BI57" s="52">
        <f t="shared" si="152"/>
        <v>0</v>
      </c>
      <c r="BJ57" s="52">
        <f t="shared" si="152"/>
        <v>0</v>
      </c>
      <c r="BK57" s="52">
        <f t="shared" si="152"/>
        <v>0</v>
      </c>
      <c r="BL57" s="52">
        <f t="shared" si="152"/>
        <v>0</v>
      </c>
      <c r="BM57" s="52">
        <f t="shared" si="152"/>
        <v>0</v>
      </c>
      <c r="BN57" s="52">
        <f t="shared" si="152"/>
        <v>0</v>
      </c>
      <c r="BO57" s="52">
        <f t="shared" si="152"/>
        <v>0</v>
      </c>
      <c r="BP57" s="52">
        <f t="shared" si="152"/>
        <v>0</v>
      </c>
      <c r="BQ57" s="52">
        <f t="shared" si="152"/>
        <v>0</v>
      </c>
      <c r="BR57" s="52">
        <f t="shared" ref="BR57:CW57" si="153">IFERROR(IF(BR$28="FALSE",0,$C$57/$C$8),0)</f>
        <v>0</v>
      </c>
      <c r="BS57" s="52">
        <f t="shared" si="153"/>
        <v>0</v>
      </c>
      <c r="BT57" s="52">
        <f t="shared" si="153"/>
        <v>0</v>
      </c>
      <c r="BU57" s="52">
        <f t="shared" si="153"/>
        <v>0</v>
      </c>
      <c r="BV57" s="52">
        <f t="shared" si="153"/>
        <v>0</v>
      </c>
      <c r="BW57" s="52">
        <f t="shared" si="153"/>
        <v>0</v>
      </c>
      <c r="BX57" s="52">
        <f t="shared" si="153"/>
        <v>0</v>
      </c>
      <c r="BY57" s="52">
        <f t="shared" si="153"/>
        <v>0</v>
      </c>
      <c r="BZ57" s="52">
        <f t="shared" si="153"/>
        <v>0</v>
      </c>
      <c r="CA57" s="52">
        <f t="shared" si="153"/>
        <v>0</v>
      </c>
      <c r="CB57" s="52">
        <f t="shared" si="153"/>
        <v>0</v>
      </c>
      <c r="CC57" s="52">
        <f t="shared" si="153"/>
        <v>0</v>
      </c>
      <c r="CD57" s="52">
        <f t="shared" si="153"/>
        <v>0</v>
      </c>
      <c r="CE57" s="52">
        <f t="shared" si="153"/>
        <v>0</v>
      </c>
      <c r="CF57" s="52">
        <f t="shared" si="153"/>
        <v>0</v>
      </c>
      <c r="CG57" s="52">
        <f t="shared" si="153"/>
        <v>0</v>
      </c>
      <c r="CH57" s="52">
        <f t="shared" si="153"/>
        <v>0</v>
      </c>
      <c r="CI57" s="52">
        <f t="shared" si="153"/>
        <v>0</v>
      </c>
      <c r="CJ57" s="52">
        <f t="shared" si="153"/>
        <v>0</v>
      </c>
      <c r="CK57" s="52">
        <f t="shared" si="153"/>
        <v>0</v>
      </c>
      <c r="CL57" s="52">
        <f t="shared" si="153"/>
        <v>0</v>
      </c>
      <c r="CM57" s="52">
        <f t="shared" si="153"/>
        <v>0</v>
      </c>
      <c r="CN57" s="52">
        <f t="shared" si="153"/>
        <v>0</v>
      </c>
      <c r="CO57" s="52">
        <f t="shared" si="153"/>
        <v>0</v>
      </c>
      <c r="CP57" s="52">
        <f t="shared" si="153"/>
        <v>0</v>
      </c>
      <c r="CQ57" s="52">
        <f t="shared" si="153"/>
        <v>0</v>
      </c>
      <c r="CR57" s="52">
        <f t="shared" si="153"/>
        <v>0</v>
      </c>
      <c r="CS57" s="52">
        <f t="shared" si="153"/>
        <v>0</v>
      </c>
      <c r="CT57" s="52">
        <f t="shared" si="153"/>
        <v>0</v>
      </c>
      <c r="CU57" s="52">
        <f t="shared" si="153"/>
        <v>0</v>
      </c>
      <c r="CV57" s="52">
        <f t="shared" si="153"/>
        <v>0</v>
      </c>
      <c r="CW57" s="52">
        <f t="shared" si="153"/>
        <v>0</v>
      </c>
      <c r="CX57" s="52">
        <f t="shared" ref="CX57:EC57" si="154">IFERROR(IF(CX$28="FALSE",0,$C$57/$C$8),0)</f>
        <v>0</v>
      </c>
      <c r="CY57" s="52">
        <f t="shared" si="154"/>
        <v>0</v>
      </c>
      <c r="CZ57" s="52">
        <f t="shared" si="154"/>
        <v>0</v>
      </c>
      <c r="DA57" s="52">
        <f t="shared" si="154"/>
        <v>0</v>
      </c>
      <c r="DB57" s="52">
        <f t="shared" si="154"/>
        <v>0</v>
      </c>
      <c r="DC57" s="52">
        <f t="shared" si="154"/>
        <v>0</v>
      </c>
      <c r="DD57" s="52">
        <f t="shared" si="154"/>
        <v>0</v>
      </c>
      <c r="DE57" s="52">
        <f t="shared" si="154"/>
        <v>0</v>
      </c>
      <c r="DF57" s="52">
        <f t="shared" si="154"/>
        <v>0</v>
      </c>
      <c r="DG57" s="52">
        <f t="shared" si="154"/>
        <v>0</v>
      </c>
      <c r="DH57" s="52">
        <f t="shared" si="154"/>
        <v>0</v>
      </c>
      <c r="DI57" s="52">
        <f t="shared" si="154"/>
        <v>0</v>
      </c>
      <c r="DJ57" s="52">
        <f t="shared" si="154"/>
        <v>0</v>
      </c>
      <c r="DK57" s="52">
        <f t="shared" si="154"/>
        <v>0</v>
      </c>
      <c r="DL57" s="52">
        <f t="shared" si="154"/>
        <v>0</v>
      </c>
      <c r="DM57" s="52">
        <f t="shared" si="154"/>
        <v>0</v>
      </c>
      <c r="DN57" s="52">
        <f t="shared" si="154"/>
        <v>0</v>
      </c>
      <c r="DO57" s="52">
        <f t="shared" si="154"/>
        <v>0</v>
      </c>
      <c r="DP57" s="52">
        <f t="shared" si="154"/>
        <v>0</v>
      </c>
      <c r="DQ57" s="52">
        <f t="shared" si="154"/>
        <v>0</v>
      </c>
      <c r="DR57" s="52">
        <f t="shared" si="154"/>
        <v>0</v>
      </c>
      <c r="DS57" s="52">
        <f t="shared" si="154"/>
        <v>0</v>
      </c>
      <c r="DT57" s="52">
        <f t="shared" si="154"/>
        <v>0</v>
      </c>
      <c r="DU57" s="52">
        <f t="shared" si="154"/>
        <v>0</v>
      </c>
      <c r="DV57" s="52">
        <f t="shared" si="154"/>
        <v>0</v>
      </c>
      <c r="DW57" s="52">
        <f t="shared" si="154"/>
        <v>0</v>
      </c>
      <c r="DX57" s="52">
        <f t="shared" si="154"/>
        <v>0</v>
      </c>
      <c r="DY57" s="52">
        <f t="shared" si="154"/>
        <v>0</v>
      </c>
      <c r="DZ57" s="52">
        <f t="shared" si="154"/>
        <v>0</v>
      </c>
      <c r="EA57" s="52">
        <f t="shared" si="154"/>
        <v>0</v>
      </c>
      <c r="EB57" s="52">
        <f t="shared" si="154"/>
        <v>0</v>
      </c>
      <c r="EC57" s="52">
        <f t="shared" si="154"/>
        <v>0</v>
      </c>
      <c r="ED57" s="52">
        <f t="shared" ref="ED57:FD57" si="155">IFERROR(IF(ED$28="FALSE",0,$C$57/$C$8),0)</f>
        <v>0</v>
      </c>
      <c r="EE57" s="52">
        <f t="shared" si="155"/>
        <v>0</v>
      </c>
      <c r="EF57" s="52">
        <f t="shared" si="155"/>
        <v>0</v>
      </c>
      <c r="EG57" s="52">
        <f t="shared" si="155"/>
        <v>0</v>
      </c>
      <c r="EH57" s="52">
        <f t="shared" si="155"/>
        <v>0</v>
      </c>
      <c r="EI57" s="52">
        <f t="shared" si="155"/>
        <v>0</v>
      </c>
      <c r="EJ57" s="52">
        <f t="shared" si="155"/>
        <v>0</v>
      </c>
      <c r="EK57" s="52">
        <f t="shared" si="155"/>
        <v>0</v>
      </c>
      <c r="EL57" s="52">
        <f t="shared" si="155"/>
        <v>0</v>
      </c>
      <c r="EM57" s="52">
        <f t="shared" si="155"/>
        <v>0</v>
      </c>
      <c r="EN57" s="52">
        <f t="shared" si="155"/>
        <v>0</v>
      </c>
      <c r="EO57" s="52">
        <f t="shared" si="155"/>
        <v>0</v>
      </c>
      <c r="EP57" s="52">
        <f t="shared" si="155"/>
        <v>0</v>
      </c>
      <c r="EQ57" s="52">
        <f t="shared" si="155"/>
        <v>0</v>
      </c>
      <c r="ER57" s="52">
        <f t="shared" si="155"/>
        <v>0</v>
      </c>
      <c r="ES57" s="52">
        <f t="shared" si="155"/>
        <v>0</v>
      </c>
      <c r="ET57" s="52">
        <f t="shared" si="155"/>
        <v>0</v>
      </c>
      <c r="EU57" s="52">
        <f t="shared" si="155"/>
        <v>0</v>
      </c>
      <c r="EV57" s="52">
        <f t="shared" si="155"/>
        <v>0</v>
      </c>
      <c r="EW57" s="52">
        <f t="shared" si="155"/>
        <v>0</v>
      </c>
      <c r="EX57" s="52">
        <f t="shared" si="155"/>
        <v>0</v>
      </c>
      <c r="EY57" s="52">
        <f t="shared" si="155"/>
        <v>0</v>
      </c>
      <c r="EZ57" s="52">
        <f t="shared" si="155"/>
        <v>0</v>
      </c>
      <c r="FA57" s="52">
        <f t="shared" si="155"/>
        <v>0</v>
      </c>
      <c r="FB57" s="52">
        <f t="shared" si="155"/>
        <v>0</v>
      </c>
      <c r="FC57" s="52">
        <f t="shared" si="155"/>
        <v>0</v>
      </c>
      <c r="FD57" s="52">
        <f t="shared" si="155"/>
        <v>0</v>
      </c>
    </row>
    <row r="58" spans="2:160">
      <c r="B58" s="51" t="s">
        <v>138</v>
      </c>
      <c r="C58" s="52">
        <f ca="1">IF(Startup!$C$3="Project",SUMIF(Startup!$C$7:$D$27,Overview!B58,Startup!$D$7:$D$27),(SUMIF(Startup!$C$7:$D$27,Overview!B58,Startup!$D$7:$D$27)*Startup!$C$4))+IF(Pilot!$C$3="Project",SUMIF(Pilot!$C$7:$D$27,Overview!B58,Pilot!$D$7:$D$27),(SUMIF(Pilot!$C$7:$D$27,Overview!B58,Pilot!$D$7:$D$27)*Pilot!$C$4))+IF(PMO!$C$3="Project",SUMIF(PMO!$C$7:$D$27,Overview!B58,PMO!$D$7:$D$27),(SUMIF(PMO!$C$7:$D$27,Overview!B58,PMO!$D$7:$D$27)*PMO!$C$4))+IF('Design &amp; Fulfillment'!$C$3="Project",SUMIF('Design &amp; Fulfillment'!$C$7:$D$27,Overview!B58,'Design &amp; Fulfillment'!$D$7:$D$27),(SUMIF('Design &amp; Fulfillment'!$C$7:$D$27,Overview!B58,'Design &amp; Fulfillment'!$D$7:$D$27)*'Design &amp; Fulfillment'!$C$4))+IF(Workplace!$C$3="Project",SUMIF(Workplace!$C$7:$D$27,Overview!B58,Workplace!$D$7:$D$27),(SUMIF(Workplace!$C$7:$D$27,Overview!B58,Workplace!$D$7:$D$27)*Workplace!$C$4))+IF(Integration!$C$3="Project",SUMIF(Integration!$C$7:$D$27,Overview!B58,Integration!$D$7:$D$27),(SUMIF(Integration!$C$7:$D$27,Overview!B58,Integration!$D$7:$D$27)*Integration!$C$4))+IF(Logistics!$C$3="Project",SUMIF(Logistics!$C$7:$D$27,Overview!B58,Logistics!$D$7:$D$27),(SUMIF(Logistics!$C$7:$D$27,Overview!B58,Logistics!$D$7:$D$27)*Logistics!$C$4))+IF('Service Desk'!$C$3="Project",SUMIF('Service Desk'!$C$7:$D$27,Overview!B58,'Service Desk'!$D$7:$D$27),(SUMIF('Service Desk'!$C$7:$D$27,Overview!B58,'Service Desk'!$D$7:$D$27)*'Service Desk'!$C$4))+IF('Pro Services'!$C$3="Project",SUMIF('Pro Services'!$C$7:$D$27,Overview!B58,'Pro Services'!$D$7:$D$27),(SUMIF('Pro Services'!$C$7:$D$27,Overview!B58,'Pro Services'!$D$7:$D$27)*'Pro Services'!$C$4))</f>
        <v>0</v>
      </c>
      <c r="D58" s="53">
        <f ca="1">IF(Startup!$C$3="Project",SUMIF(Startup!$C$7:$H$27,Overview!B58,Startup!$H$7:$H$27),(SUMIF(Startup!$C$7:$H$27,Overview!B58,Startup!$H$7:$H$27)*Startup!$C$4))+IF(Pilot!$C$3="Project",SUMIF(Pilot!$C$7:$H$27,Overview!B58,Pilot!$H$7:$H$27),(SUMIF(Pilot!$C$7:$H$27,Overview!B58,Pilot!$H$7:$H$27)*Pilot!$C$4))+IF(PMO!$C$3="Project",SUMIF(PMO!$C$7:$H$27,Overview!B58,PMO!$H$7:$H$27),(SUMIF(PMO!$C$7:$H$27,Overview!B58,PMO!$H$7:$H$27)*PMO!$C$4))+IF('Design &amp; Fulfillment'!$C$3="Project",SUMIF('Design &amp; Fulfillment'!$C$7:$H$27,Overview!B58,'Design &amp; Fulfillment'!$H$7:$H$27),(SUMIF('Design &amp; Fulfillment'!$C$7:$H$27,Overview!B58,'Design &amp; Fulfillment'!$H$7:$H$27)*'Design &amp; Fulfillment'!$C$4))+IF(Workplace!$C$3="Project",SUMIF(Workplace!$C$7:$H$27,Overview!B58,Workplace!$H$7:$H$27),(SUMIF(Workplace!$C$7:$H$27,Overview!B58,Workplace!$H$7:$H$27)*Workplace!$C$4))+IF(Integration!$C$3="Project",SUMIF(Integration!$C$7:$H$27,Overview!B58,Integration!$H$7:$H$27),(SUMIF(Integration!$C$7:$H$27,Overview!B58,Integration!$H$7:$H$27)*Integration!$C$4))+IF(Logistics!$C$3="Project",SUMIF(Logistics!$C$7:$H$27,Overview!B58,Logistics!$H$7:$H$27),(SUMIF(Logistics!$C$7:$H$27,Overview!B58,Logistics!$H$7:$H$27)*Logistics!$C$4))+IF('Service Desk'!$C$3="Project",SUMIF('Service Desk'!$C$7:$H$27,Overview!B58,'Service Desk'!$H$7:$H$27),(SUMIF('Service Desk'!$C$7:$H$27,Overview!B58,'Service Desk'!$H$7:$H$27)*'Service Desk'!$C$4))+IF('Pro Services'!$C$3="Project",SUMIF('Pro Services'!$C$7:$H$27,Overview!B58,'Pro Services'!$H$7:$H$27),(SUMIF('Pro Services'!$C$7:$H$27,Overview!B58,'Pro Services'!$H$7:$H$27)*'Pro Services'!$C$4))</f>
        <v>0</v>
      </c>
      <c r="E58" s="52">
        <f t="shared" ca="1" si="120"/>
        <v>0</v>
      </c>
      <c r="F58" s="52">
        <f t="shared" ref="F58:AK58" si="156">IFERROR(IF(F$28="FALSE",0,$C$58/$C$8),0)</f>
        <v>0</v>
      </c>
      <c r="G58" s="52">
        <f t="shared" si="156"/>
        <v>0</v>
      </c>
      <c r="H58" s="52">
        <f t="shared" si="156"/>
        <v>0</v>
      </c>
      <c r="I58" s="52">
        <f t="shared" si="156"/>
        <v>0</v>
      </c>
      <c r="J58" s="52">
        <f t="shared" si="156"/>
        <v>0</v>
      </c>
      <c r="K58" s="52">
        <f t="shared" si="156"/>
        <v>0</v>
      </c>
      <c r="L58" s="52">
        <f t="shared" si="156"/>
        <v>0</v>
      </c>
      <c r="M58" s="52">
        <f t="shared" si="156"/>
        <v>0</v>
      </c>
      <c r="N58" s="52">
        <f t="shared" si="156"/>
        <v>0</v>
      </c>
      <c r="O58" s="52">
        <f t="shared" si="156"/>
        <v>0</v>
      </c>
      <c r="P58" s="52">
        <f t="shared" si="156"/>
        <v>0</v>
      </c>
      <c r="Q58" s="52">
        <f t="shared" si="156"/>
        <v>0</v>
      </c>
      <c r="R58" s="52">
        <f t="shared" si="156"/>
        <v>0</v>
      </c>
      <c r="S58" s="52">
        <f t="shared" si="156"/>
        <v>0</v>
      </c>
      <c r="T58" s="52">
        <f t="shared" si="156"/>
        <v>0</v>
      </c>
      <c r="U58" s="52">
        <f t="shared" si="156"/>
        <v>0</v>
      </c>
      <c r="V58" s="52">
        <f t="shared" si="156"/>
        <v>0</v>
      </c>
      <c r="W58" s="52">
        <f t="shared" si="156"/>
        <v>0</v>
      </c>
      <c r="X58" s="52">
        <f t="shared" si="156"/>
        <v>0</v>
      </c>
      <c r="Y58" s="52">
        <f t="shared" si="156"/>
        <v>0</v>
      </c>
      <c r="Z58" s="52">
        <f t="shared" si="156"/>
        <v>0</v>
      </c>
      <c r="AA58" s="52">
        <f t="shared" si="156"/>
        <v>0</v>
      </c>
      <c r="AB58" s="52">
        <f t="shared" si="156"/>
        <v>0</v>
      </c>
      <c r="AC58" s="52">
        <f t="shared" si="156"/>
        <v>0</v>
      </c>
      <c r="AD58" s="52">
        <f t="shared" si="156"/>
        <v>0</v>
      </c>
      <c r="AE58" s="52">
        <f t="shared" si="156"/>
        <v>0</v>
      </c>
      <c r="AF58" s="52">
        <f t="shared" si="156"/>
        <v>0</v>
      </c>
      <c r="AG58" s="52">
        <f t="shared" si="156"/>
        <v>0</v>
      </c>
      <c r="AH58" s="52">
        <f t="shared" si="156"/>
        <v>0</v>
      </c>
      <c r="AI58" s="52">
        <f t="shared" si="156"/>
        <v>0</v>
      </c>
      <c r="AJ58" s="52">
        <f t="shared" si="156"/>
        <v>0</v>
      </c>
      <c r="AK58" s="52">
        <f t="shared" si="156"/>
        <v>0</v>
      </c>
      <c r="AL58" s="52">
        <f t="shared" ref="AL58:BQ58" si="157">IFERROR(IF(AL$28="FALSE",0,$C$58/$C$8),0)</f>
        <v>0</v>
      </c>
      <c r="AM58" s="52">
        <f t="shared" si="157"/>
        <v>0</v>
      </c>
      <c r="AN58" s="52">
        <f t="shared" si="157"/>
        <v>0</v>
      </c>
      <c r="AO58" s="52">
        <f t="shared" si="157"/>
        <v>0</v>
      </c>
      <c r="AP58" s="52">
        <f t="shared" si="157"/>
        <v>0</v>
      </c>
      <c r="AQ58" s="52">
        <f t="shared" si="157"/>
        <v>0</v>
      </c>
      <c r="AR58" s="52">
        <f t="shared" si="157"/>
        <v>0</v>
      </c>
      <c r="AS58" s="52">
        <f t="shared" si="157"/>
        <v>0</v>
      </c>
      <c r="AT58" s="52">
        <f t="shared" si="157"/>
        <v>0</v>
      </c>
      <c r="AU58" s="52">
        <f t="shared" si="157"/>
        <v>0</v>
      </c>
      <c r="AV58" s="52">
        <f t="shared" si="157"/>
        <v>0</v>
      </c>
      <c r="AW58" s="52">
        <f t="shared" si="157"/>
        <v>0</v>
      </c>
      <c r="AX58" s="52">
        <f t="shared" si="157"/>
        <v>0</v>
      </c>
      <c r="AY58" s="52">
        <f t="shared" si="157"/>
        <v>0</v>
      </c>
      <c r="AZ58" s="52">
        <f t="shared" si="157"/>
        <v>0</v>
      </c>
      <c r="BA58" s="52">
        <f t="shared" si="157"/>
        <v>0</v>
      </c>
      <c r="BB58" s="52">
        <f t="shared" si="157"/>
        <v>0</v>
      </c>
      <c r="BC58" s="52">
        <f t="shared" si="157"/>
        <v>0</v>
      </c>
      <c r="BD58" s="52">
        <f t="shared" si="157"/>
        <v>0</v>
      </c>
      <c r="BE58" s="52">
        <f t="shared" si="157"/>
        <v>0</v>
      </c>
      <c r="BF58" s="52">
        <f t="shared" si="157"/>
        <v>0</v>
      </c>
      <c r="BG58" s="52">
        <f t="shared" si="157"/>
        <v>0</v>
      </c>
      <c r="BH58" s="52">
        <f t="shared" si="157"/>
        <v>0</v>
      </c>
      <c r="BI58" s="52">
        <f t="shared" si="157"/>
        <v>0</v>
      </c>
      <c r="BJ58" s="52">
        <f t="shared" si="157"/>
        <v>0</v>
      </c>
      <c r="BK58" s="52">
        <f t="shared" si="157"/>
        <v>0</v>
      </c>
      <c r="BL58" s="52">
        <f t="shared" si="157"/>
        <v>0</v>
      </c>
      <c r="BM58" s="52">
        <f t="shared" si="157"/>
        <v>0</v>
      </c>
      <c r="BN58" s="52">
        <f t="shared" si="157"/>
        <v>0</v>
      </c>
      <c r="BO58" s="52">
        <f t="shared" si="157"/>
        <v>0</v>
      </c>
      <c r="BP58" s="52">
        <f t="shared" si="157"/>
        <v>0</v>
      </c>
      <c r="BQ58" s="52">
        <f t="shared" si="157"/>
        <v>0</v>
      </c>
      <c r="BR58" s="52">
        <f t="shared" ref="BR58:CW58" si="158">IFERROR(IF(BR$28="FALSE",0,$C$58/$C$8),0)</f>
        <v>0</v>
      </c>
      <c r="BS58" s="52">
        <f t="shared" si="158"/>
        <v>0</v>
      </c>
      <c r="BT58" s="52">
        <f t="shared" si="158"/>
        <v>0</v>
      </c>
      <c r="BU58" s="52">
        <f t="shared" si="158"/>
        <v>0</v>
      </c>
      <c r="BV58" s="52">
        <f t="shared" si="158"/>
        <v>0</v>
      </c>
      <c r="BW58" s="52">
        <f t="shared" si="158"/>
        <v>0</v>
      </c>
      <c r="BX58" s="52">
        <f t="shared" si="158"/>
        <v>0</v>
      </c>
      <c r="BY58" s="52">
        <f t="shared" si="158"/>
        <v>0</v>
      </c>
      <c r="BZ58" s="52">
        <f t="shared" si="158"/>
        <v>0</v>
      </c>
      <c r="CA58" s="52">
        <f t="shared" si="158"/>
        <v>0</v>
      </c>
      <c r="CB58" s="52">
        <f t="shared" si="158"/>
        <v>0</v>
      </c>
      <c r="CC58" s="52">
        <f t="shared" si="158"/>
        <v>0</v>
      </c>
      <c r="CD58" s="52">
        <f t="shared" si="158"/>
        <v>0</v>
      </c>
      <c r="CE58" s="52">
        <f t="shared" si="158"/>
        <v>0</v>
      </c>
      <c r="CF58" s="52">
        <f t="shared" si="158"/>
        <v>0</v>
      </c>
      <c r="CG58" s="52">
        <f t="shared" si="158"/>
        <v>0</v>
      </c>
      <c r="CH58" s="52">
        <f t="shared" si="158"/>
        <v>0</v>
      </c>
      <c r="CI58" s="52">
        <f t="shared" si="158"/>
        <v>0</v>
      </c>
      <c r="CJ58" s="52">
        <f t="shared" si="158"/>
        <v>0</v>
      </c>
      <c r="CK58" s="52">
        <f t="shared" si="158"/>
        <v>0</v>
      </c>
      <c r="CL58" s="52">
        <f t="shared" si="158"/>
        <v>0</v>
      </c>
      <c r="CM58" s="52">
        <f t="shared" si="158"/>
        <v>0</v>
      </c>
      <c r="CN58" s="52">
        <f t="shared" si="158"/>
        <v>0</v>
      </c>
      <c r="CO58" s="52">
        <f t="shared" si="158"/>
        <v>0</v>
      </c>
      <c r="CP58" s="52">
        <f t="shared" si="158"/>
        <v>0</v>
      </c>
      <c r="CQ58" s="52">
        <f t="shared" si="158"/>
        <v>0</v>
      </c>
      <c r="CR58" s="52">
        <f t="shared" si="158"/>
        <v>0</v>
      </c>
      <c r="CS58" s="52">
        <f t="shared" si="158"/>
        <v>0</v>
      </c>
      <c r="CT58" s="52">
        <f t="shared" si="158"/>
        <v>0</v>
      </c>
      <c r="CU58" s="52">
        <f t="shared" si="158"/>
        <v>0</v>
      </c>
      <c r="CV58" s="52">
        <f t="shared" si="158"/>
        <v>0</v>
      </c>
      <c r="CW58" s="52">
        <f t="shared" si="158"/>
        <v>0</v>
      </c>
      <c r="CX58" s="52">
        <f t="shared" ref="CX58:EC58" si="159">IFERROR(IF(CX$28="FALSE",0,$C$58/$C$8),0)</f>
        <v>0</v>
      </c>
      <c r="CY58" s="52">
        <f t="shared" si="159"/>
        <v>0</v>
      </c>
      <c r="CZ58" s="52">
        <f t="shared" si="159"/>
        <v>0</v>
      </c>
      <c r="DA58" s="52">
        <f t="shared" si="159"/>
        <v>0</v>
      </c>
      <c r="DB58" s="52">
        <f t="shared" si="159"/>
        <v>0</v>
      </c>
      <c r="DC58" s="52">
        <f t="shared" si="159"/>
        <v>0</v>
      </c>
      <c r="DD58" s="52">
        <f t="shared" si="159"/>
        <v>0</v>
      </c>
      <c r="DE58" s="52">
        <f t="shared" si="159"/>
        <v>0</v>
      </c>
      <c r="DF58" s="52">
        <f t="shared" si="159"/>
        <v>0</v>
      </c>
      <c r="DG58" s="52">
        <f t="shared" si="159"/>
        <v>0</v>
      </c>
      <c r="DH58" s="52">
        <f t="shared" si="159"/>
        <v>0</v>
      </c>
      <c r="DI58" s="52">
        <f t="shared" si="159"/>
        <v>0</v>
      </c>
      <c r="DJ58" s="52">
        <f t="shared" si="159"/>
        <v>0</v>
      </c>
      <c r="DK58" s="52">
        <f t="shared" si="159"/>
        <v>0</v>
      </c>
      <c r="DL58" s="52">
        <f t="shared" si="159"/>
        <v>0</v>
      </c>
      <c r="DM58" s="52">
        <f t="shared" si="159"/>
        <v>0</v>
      </c>
      <c r="DN58" s="52">
        <f t="shared" si="159"/>
        <v>0</v>
      </c>
      <c r="DO58" s="52">
        <f t="shared" si="159"/>
        <v>0</v>
      </c>
      <c r="DP58" s="52">
        <f t="shared" si="159"/>
        <v>0</v>
      </c>
      <c r="DQ58" s="52">
        <f t="shared" si="159"/>
        <v>0</v>
      </c>
      <c r="DR58" s="52">
        <f t="shared" si="159"/>
        <v>0</v>
      </c>
      <c r="DS58" s="52">
        <f t="shared" si="159"/>
        <v>0</v>
      </c>
      <c r="DT58" s="52">
        <f t="shared" si="159"/>
        <v>0</v>
      </c>
      <c r="DU58" s="52">
        <f t="shared" si="159"/>
        <v>0</v>
      </c>
      <c r="DV58" s="52">
        <f t="shared" si="159"/>
        <v>0</v>
      </c>
      <c r="DW58" s="52">
        <f t="shared" si="159"/>
        <v>0</v>
      </c>
      <c r="DX58" s="52">
        <f t="shared" si="159"/>
        <v>0</v>
      </c>
      <c r="DY58" s="52">
        <f t="shared" si="159"/>
        <v>0</v>
      </c>
      <c r="DZ58" s="52">
        <f t="shared" si="159"/>
        <v>0</v>
      </c>
      <c r="EA58" s="52">
        <f t="shared" si="159"/>
        <v>0</v>
      </c>
      <c r="EB58" s="52">
        <f t="shared" si="159"/>
        <v>0</v>
      </c>
      <c r="EC58" s="52">
        <f t="shared" si="159"/>
        <v>0</v>
      </c>
      <c r="ED58" s="52">
        <f t="shared" ref="ED58:FD58" si="160">IFERROR(IF(ED$28="FALSE",0,$C$58/$C$8),0)</f>
        <v>0</v>
      </c>
      <c r="EE58" s="52">
        <f t="shared" si="160"/>
        <v>0</v>
      </c>
      <c r="EF58" s="52">
        <f t="shared" si="160"/>
        <v>0</v>
      </c>
      <c r="EG58" s="52">
        <f t="shared" si="160"/>
        <v>0</v>
      </c>
      <c r="EH58" s="52">
        <f t="shared" si="160"/>
        <v>0</v>
      </c>
      <c r="EI58" s="52">
        <f t="shared" si="160"/>
        <v>0</v>
      </c>
      <c r="EJ58" s="52">
        <f t="shared" si="160"/>
        <v>0</v>
      </c>
      <c r="EK58" s="52">
        <f t="shared" si="160"/>
        <v>0</v>
      </c>
      <c r="EL58" s="52">
        <f t="shared" si="160"/>
        <v>0</v>
      </c>
      <c r="EM58" s="52">
        <f t="shared" si="160"/>
        <v>0</v>
      </c>
      <c r="EN58" s="52">
        <f t="shared" si="160"/>
        <v>0</v>
      </c>
      <c r="EO58" s="52">
        <f t="shared" si="160"/>
        <v>0</v>
      </c>
      <c r="EP58" s="52">
        <f t="shared" si="160"/>
        <v>0</v>
      </c>
      <c r="EQ58" s="52">
        <f t="shared" si="160"/>
        <v>0</v>
      </c>
      <c r="ER58" s="52">
        <f t="shared" si="160"/>
        <v>0</v>
      </c>
      <c r="ES58" s="52">
        <f t="shared" si="160"/>
        <v>0</v>
      </c>
      <c r="ET58" s="52">
        <f t="shared" si="160"/>
        <v>0</v>
      </c>
      <c r="EU58" s="52">
        <f t="shared" si="160"/>
        <v>0</v>
      </c>
      <c r="EV58" s="52">
        <f t="shared" si="160"/>
        <v>0</v>
      </c>
      <c r="EW58" s="52">
        <f t="shared" si="160"/>
        <v>0</v>
      </c>
      <c r="EX58" s="52">
        <f t="shared" si="160"/>
        <v>0</v>
      </c>
      <c r="EY58" s="52">
        <f t="shared" si="160"/>
        <v>0</v>
      </c>
      <c r="EZ58" s="52">
        <f t="shared" si="160"/>
        <v>0</v>
      </c>
      <c r="FA58" s="52">
        <f t="shared" si="160"/>
        <v>0</v>
      </c>
      <c r="FB58" s="52">
        <f t="shared" si="160"/>
        <v>0</v>
      </c>
      <c r="FC58" s="52">
        <f t="shared" si="160"/>
        <v>0</v>
      </c>
      <c r="FD58" s="52">
        <f t="shared" si="160"/>
        <v>0</v>
      </c>
    </row>
    <row r="59" spans="2:160">
      <c r="B59" s="51" t="s">
        <v>139</v>
      </c>
      <c r="C59" s="52">
        <f ca="1">IF(Startup!$C$3="Project",SUMIF(Startup!$C$7:$D$27,Overview!B59,Startup!$D$7:$D$27),(SUMIF(Startup!$C$7:$D$27,Overview!B59,Startup!$D$7:$D$27)*Startup!$C$4))+IF(Pilot!$C$3="Project",SUMIF(Pilot!$C$7:$D$27,Overview!B59,Pilot!$D$7:$D$27),(SUMIF(Pilot!$C$7:$D$27,Overview!B59,Pilot!$D$7:$D$27)*Pilot!$C$4))+IF(PMO!$C$3="Project",SUMIF(PMO!$C$7:$D$27,Overview!B59,PMO!$D$7:$D$27),(SUMIF(PMO!$C$7:$D$27,Overview!B59,PMO!$D$7:$D$27)*PMO!$C$4))+IF('Design &amp; Fulfillment'!$C$3="Project",SUMIF('Design &amp; Fulfillment'!$C$7:$D$27,Overview!B59,'Design &amp; Fulfillment'!$D$7:$D$27),(SUMIF('Design &amp; Fulfillment'!$C$7:$D$27,Overview!B59,'Design &amp; Fulfillment'!$D$7:$D$27)*'Design &amp; Fulfillment'!$C$4))+IF(Workplace!$C$3="Project",SUMIF(Workplace!$C$7:$D$27,Overview!B59,Workplace!$D$7:$D$27),(SUMIF(Workplace!$C$7:$D$27,Overview!B59,Workplace!$D$7:$D$27)*Workplace!$C$4))+IF(Integration!$C$3="Project",SUMIF(Integration!$C$7:$D$27,Overview!B59,Integration!$D$7:$D$27),(SUMIF(Integration!$C$7:$D$27,Overview!B59,Integration!$D$7:$D$27)*Integration!$C$4))+IF(Logistics!$C$3="Project",SUMIF(Logistics!$C$7:$D$27,Overview!B59,Logistics!$D$7:$D$27),(SUMIF(Logistics!$C$7:$D$27,Overview!B59,Logistics!$D$7:$D$27)*Logistics!$C$4))+IF('Service Desk'!$C$3="Project",SUMIF('Service Desk'!$C$7:$D$27,Overview!B59,'Service Desk'!$D$7:$D$27),(SUMIF('Service Desk'!$C$7:$D$27,Overview!B59,'Service Desk'!$D$7:$D$27)*'Service Desk'!$C$4))+IF('Pro Services'!$C$3="Project",SUMIF('Pro Services'!$C$7:$D$27,Overview!B59,'Pro Services'!$D$7:$D$27),(SUMIF('Pro Services'!$C$7:$D$27,Overview!B59,'Pro Services'!$D$7:$D$27)*'Pro Services'!$C$4))</f>
        <v>0</v>
      </c>
      <c r="D59" s="53">
        <f ca="1">IF(Startup!$C$3="Project",SUMIF(Startup!$C$7:$H$27,Overview!B59,Startup!$H$7:$H$27),(SUMIF(Startup!$C$7:$H$27,Overview!B59,Startup!$H$7:$H$27)*Startup!$C$4))+IF(Pilot!$C$3="Project",SUMIF(Pilot!$C$7:$H$27,Overview!B59,Pilot!$H$7:$H$27),(SUMIF(Pilot!$C$7:$H$27,Overview!B59,Pilot!$H$7:$H$27)*Pilot!$C$4))+IF(PMO!$C$3="Project",SUMIF(PMO!$C$7:$H$27,Overview!B59,PMO!$H$7:$H$27),(SUMIF(PMO!$C$7:$H$27,Overview!B59,PMO!$H$7:$H$27)*PMO!$C$4))+IF('Design &amp; Fulfillment'!$C$3="Project",SUMIF('Design &amp; Fulfillment'!$C$7:$H$27,Overview!B59,'Design &amp; Fulfillment'!$H$7:$H$27),(SUMIF('Design &amp; Fulfillment'!$C$7:$H$27,Overview!B59,'Design &amp; Fulfillment'!$H$7:$H$27)*'Design &amp; Fulfillment'!$C$4))+IF(Workplace!$C$3="Project",SUMIF(Workplace!$C$7:$H$27,Overview!B59,Workplace!$H$7:$H$27),(SUMIF(Workplace!$C$7:$H$27,Overview!B59,Workplace!$H$7:$H$27)*Workplace!$C$4))+IF(Integration!$C$3="Project",SUMIF(Integration!$C$7:$H$27,Overview!B59,Integration!$H$7:$H$27),(SUMIF(Integration!$C$7:$H$27,Overview!B59,Integration!$H$7:$H$27)*Integration!$C$4))+IF(Logistics!$C$3="Project",SUMIF(Logistics!$C$7:$H$27,Overview!B59,Logistics!$H$7:$H$27),(SUMIF(Logistics!$C$7:$H$27,Overview!B59,Logistics!$H$7:$H$27)*Logistics!$C$4))+IF('Service Desk'!$C$3="Project",SUMIF('Service Desk'!$C$7:$H$27,Overview!B59,'Service Desk'!$H$7:$H$27),(SUMIF('Service Desk'!$C$7:$H$27,Overview!B59,'Service Desk'!$H$7:$H$27)*'Service Desk'!$C$4))+IF('Pro Services'!$C$3="Project",SUMIF('Pro Services'!$C$7:$H$27,Overview!B59,'Pro Services'!$H$7:$H$27),(SUMIF('Pro Services'!$C$7:$H$27,Overview!B59,'Pro Services'!$H$7:$H$27)*'Pro Services'!$C$4))</f>
        <v>0</v>
      </c>
      <c r="E59" s="52">
        <f t="shared" ca="1" si="120"/>
        <v>0</v>
      </c>
      <c r="F59" s="52">
        <f t="shared" ref="F59:AK59" si="161">IFERROR(IF(F$28="FALSE",0,$C$59/$C$8),0)</f>
        <v>0</v>
      </c>
      <c r="G59" s="52">
        <f t="shared" si="161"/>
        <v>0</v>
      </c>
      <c r="H59" s="52">
        <f t="shared" si="161"/>
        <v>0</v>
      </c>
      <c r="I59" s="52">
        <f t="shared" si="161"/>
        <v>0</v>
      </c>
      <c r="J59" s="52">
        <f t="shared" si="161"/>
        <v>0</v>
      </c>
      <c r="K59" s="52">
        <f t="shared" si="161"/>
        <v>0</v>
      </c>
      <c r="L59" s="52">
        <f t="shared" si="161"/>
        <v>0</v>
      </c>
      <c r="M59" s="52">
        <f t="shared" si="161"/>
        <v>0</v>
      </c>
      <c r="N59" s="52">
        <f t="shared" si="161"/>
        <v>0</v>
      </c>
      <c r="O59" s="52">
        <f t="shared" si="161"/>
        <v>0</v>
      </c>
      <c r="P59" s="52">
        <f t="shared" si="161"/>
        <v>0</v>
      </c>
      <c r="Q59" s="52">
        <f t="shared" si="161"/>
        <v>0</v>
      </c>
      <c r="R59" s="52">
        <f t="shared" si="161"/>
        <v>0</v>
      </c>
      <c r="S59" s="52">
        <f t="shared" si="161"/>
        <v>0</v>
      </c>
      <c r="T59" s="52">
        <f t="shared" si="161"/>
        <v>0</v>
      </c>
      <c r="U59" s="52">
        <f t="shared" si="161"/>
        <v>0</v>
      </c>
      <c r="V59" s="52">
        <f t="shared" si="161"/>
        <v>0</v>
      </c>
      <c r="W59" s="52">
        <f t="shared" si="161"/>
        <v>0</v>
      </c>
      <c r="X59" s="52">
        <f t="shared" si="161"/>
        <v>0</v>
      </c>
      <c r="Y59" s="52">
        <f t="shared" si="161"/>
        <v>0</v>
      </c>
      <c r="Z59" s="52">
        <f t="shared" si="161"/>
        <v>0</v>
      </c>
      <c r="AA59" s="52">
        <f t="shared" si="161"/>
        <v>0</v>
      </c>
      <c r="AB59" s="52">
        <f t="shared" si="161"/>
        <v>0</v>
      </c>
      <c r="AC59" s="52">
        <f t="shared" si="161"/>
        <v>0</v>
      </c>
      <c r="AD59" s="52">
        <f t="shared" si="161"/>
        <v>0</v>
      </c>
      <c r="AE59" s="52">
        <f t="shared" si="161"/>
        <v>0</v>
      </c>
      <c r="AF59" s="52">
        <f t="shared" si="161"/>
        <v>0</v>
      </c>
      <c r="AG59" s="52">
        <f t="shared" si="161"/>
        <v>0</v>
      </c>
      <c r="AH59" s="52">
        <f t="shared" si="161"/>
        <v>0</v>
      </c>
      <c r="AI59" s="52">
        <f t="shared" si="161"/>
        <v>0</v>
      </c>
      <c r="AJ59" s="52">
        <f t="shared" si="161"/>
        <v>0</v>
      </c>
      <c r="AK59" s="52">
        <f t="shared" si="161"/>
        <v>0</v>
      </c>
      <c r="AL59" s="52">
        <f t="shared" ref="AL59:BQ59" si="162">IFERROR(IF(AL$28="FALSE",0,$C$59/$C$8),0)</f>
        <v>0</v>
      </c>
      <c r="AM59" s="52">
        <f t="shared" si="162"/>
        <v>0</v>
      </c>
      <c r="AN59" s="52">
        <f t="shared" si="162"/>
        <v>0</v>
      </c>
      <c r="AO59" s="52">
        <f t="shared" si="162"/>
        <v>0</v>
      </c>
      <c r="AP59" s="52">
        <f t="shared" si="162"/>
        <v>0</v>
      </c>
      <c r="AQ59" s="52">
        <f t="shared" si="162"/>
        <v>0</v>
      </c>
      <c r="AR59" s="52">
        <f t="shared" si="162"/>
        <v>0</v>
      </c>
      <c r="AS59" s="52">
        <f t="shared" si="162"/>
        <v>0</v>
      </c>
      <c r="AT59" s="52">
        <f t="shared" si="162"/>
        <v>0</v>
      </c>
      <c r="AU59" s="52">
        <f t="shared" si="162"/>
        <v>0</v>
      </c>
      <c r="AV59" s="52">
        <f t="shared" si="162"/>
        <v>0</v>
      </c>
      <c r="AW59" s="52">
        <f t="shared" si="162"/>
        <v>0</v>
      </c>
      <c r="AX59" s="52">
        <f t="shared" si="162"/>
        <v>0</v>
      </c>
      <c r="AY59" s="52">
        <f t="shared" si="162"/>
        <v>0</v>
      </c>
      <c r="AZ59" s="52">
        <f t="shared" si="162"/>
        <v>0</v>
      </c>
      <c r="BA59" s="52">
        <f t="shared" si="162"/>
        <v>0</v>
      </c>
      <c r="BB59" s="52">
        <f t="shared" si="162"/>
        <v>0</v>
      </c>
      <c r="BC59" s="52">
        <f t="shared" si="162"/>
        <v>0</v>
      </c>
      <c r="BD59" s="52">
        <f t="shared" si="162"/>
        <v>0</v>
      </c>
      <c r="BE59" s="52">
        <f t="shared" si="162"/>
        <v>0</v>
      </c>
      <c r="BF59" s="52">
        <f t="shared" si="162"/>
        <v>0</v>
      </c>
      <c r="BG59" s="52">
        <f t="shared" si="162"/>
        <v>0</v>
      </c>
      <c r="BH59" s="52">
        <f t="shared" si="162"/>
        <v>0</v>
      </c>
      <c r="BI59" s="52">
        <f t="shared" si="162"/>
        <v>0</v>
      </c>
      <c r="BJ59" s="52">
        <f t="shared" si="162"/>
        <v>0</v>
      </c>
      <c r="BK59" s="52">
        <f t="shared" si="162"/>
        <v>0</v>
      </c>
      <c r="BL59" s="52">
        <f t="shared" si="162"/>
        <v>0</v>
      </c>
      <c r="BM59" s="52">
        <f t="shared" si="162"/>
        <v>0</v>
      </c>
      <c r="BN59" s="52">
        <f t="shared" si="162"/>
        <v>0</v>
      </c>
      <c r="BO59" s="52">
        <f t="shared" si="162"/>
        <v>0</v>
      </c>
      <c r="BP59" s="52">
        <f t="shared" si="162"/>
        <v>0</v>
      </c>
      <c r="BQ59" s="52">
        <f t="shared" si="162"/>
        <v>0</v>
      </c>
      <c r="BR59" s="52">
        <f t="shared" ref="BR59:CW59" si="163">IFERROR(IF(BR$28="FALSE",0,$C$59/$C$8),0)</f>
        <v>0</v>
      </c>
      <c r="BS59" s="52">
        <f t="shared" si="163"/>
        <v>0</v>
      </c>
      <c r="BT59" s="52">
        <f t="shared" si="163"/>
        <v>0</v>
      </c>
      <c r="BU59" s="52">
        <f t="shared" si="163"/>
        <v>0</v>
      </c>
      <c r="BV59" s="52">
        <f t="shared" si="163"/>
        <v>0</v>
      </c>
      <c r="BW59" s="52">
        <f t="shared" si="163"/>
        <v>0</v>
      </c>
      <c r="BX59" s="52">
        <f t="shared" si="163"/>
        <v>0</v>
      </c>
      <c r="BY59" s="52">
        <f t="shared" si="163"/>
        <v>0</v>
      </c>
      <c r="BZ59" s="52">
        <f t="shared" si="163"/>
        <v>0</v>
      </c>
      <c r="CA59" s="52">
        <f t="shared" si="163"/>
        <v>0</v>
      </c>
      <c r="CB59" s="52">
        <f t="shared" si="163"/>
        <v>0</v>
      </c>
      <c r="CC59" s="52">
        <f t="shared" si="163"/>
        <v>0</v>
      </c>
      <c r="CD59" s="52">
        <f t="shared" si="163"/>
        <v>0</v>
      </c>
      <c r="CE59" s="52">
        <f t="shared" si="163"/>
        <v>0</v>
      </c>
      <c r="CF59" s="52">
        <f t="shared" si="163"/>
        <v>0</v>
      </c>
      <c r="CG59" s="52">
        <f t="shared" si="163"/>
        <v>0</v>
      </c>
      <c r="CH59" s="52">
        <f t="shared" si="163"/>
        <v>0</v>
      </c>
      <c r="CI59" s="52">
        <f t="shared" si="163"/>
        <v>0</v>
      </c>
      <c r="CJ59" s="52">
        <f t="shared" si="163"/>
        <v>0</v>
      </c>
      <c r="CK59" s="52">
        <f t="shared" si="163"/>
        <v>0</v>
      </c>
      <c r="CL59" s="52">
        <f t="shared" si="163"/>
        <v>0</v>
      </c>
      <c r="CM59" s="52">
        <f t="shared" si="163"/>
        <v>0</v>
      </c>
      <c r="CN59" s="52">
        <f t="shared" si="163"/>
        <v>0</v>
      </c>
      <c r="CO59" s="52">
        <f t="shared" si="163"/>
        <v>0</v>
      </c>
      <c r="CP59" s="52">
        <f t="shared" si="163"/>
        <v>0</v>
      </c>
      <c r="CQ59" s="52">
        <f t="shared" si="163"/>
        <v>0</v>
      </c>
      <c r="CR59" s="52">
        <f t="shared" si="163"/>
        <v>0</v>
      </c>
      <c r="CS59" s="52">
        <f t="shared" si="163"/>
        <v>0</v>
      </c>
      <c r="CT59" s="52">
        <f t="shared" si="163"/>
        <v>0</v>
      </c>
      <c r="CU59" s="52">
        <f t="shared" si="163"/>
        <v>0</v>
      </c>
      <c r="CV59" s="52">
        <f t="shared" si="163"/>
        <v>0</v>
      </c>
      <c r="CW59" s="52">
        <f t="shared" si="163"/>
        <v>0</v>
      </c>
      <c r="CX59" s="52">
        <f t="shared" ref="CX59:EC59" si="164">IFERROR(IF(CX$28="FALSE",0,$C$59/$C$8),0)</f>
        <v>0</v>
      </c>
      <c r="CY59" s="52">
        <f t="shared" si="164"/>
        <v>0</v>
      </c>
      <c r="CZ59" s="52">
        <f t="shared" si="164"/>
        <v>0</v>
      </c>
      <c r="DA59" s="52">
        <f t="shared" si="164"/>
        <v>0</v>
      </c>
      <c r="DB59" s="52">
        <f t="shared" si="164"/>
        <v>0</v>
      </c>
      <c r="DC59" s="52">
        <f t="shared" si="164"/>
        <v>0</v>
      </c>
      <c r="DD59" s="52">
        <f t="shared" si="164"/>
        <v>0</v>
      </c>
      <c r="DE59" s="52">
        <f t="shared" si="164"/>
        <v>0</v>
      </c>
      <c r="DF59" s="52">
        <f t="shared" si="164"/>
        <v>0</v>
      </c>
      <c r="DG59" s="52">
        <f t="shared" si="164"/>
        <v>0</v>
      </c>
      <c r="DH59" s="52">
        <f t="shared" si="164"/>
        <v>0</v>
      </c>
      <c r="DI59" s="52">
        <f t="shared" si="164"/>
        <v>0</v>
      </c>
      <c r="DJ59" s="52">
        <f t="shared" si="164"/>
        <v>0</v>
      </c>
      <c r="DK59" s="52">
        <f t="shared" si="164"/>
        <v>0</v>
      </c>
      <c r="DL59" s="52">
        <f t="shared" si="164"/>
        <v>0</v>
      </c>
      <c r="DM59" s="52">
        <f t="shared" si="164"/>
        <v>0</v>
      </c>
      <c r="DN59" s="52">
        <f t="shared" si="164"/>
        <v>0</v>
      </c>
      <c r="DO59" s="52">
        <f t="shared" si="164"/>
        <v>0</v>
      </c>
      <c r="DP59" s="52">
        <f t="shared" si="164"/>
        <v>0</v>
      </c>
      <c r="DQ59" s="52">
        <f t="shared" si="164"/>
        <v>0</v>
      </c>
      <c r="DR59" s="52">
        <f t="shared" si="164"/>
        <v>0</v>
      </c>
      <c r="DS59" s="52">
        <f t="shared" si="164"/>
        <v>0</v>
      </c>
      <c r="DT59" s="52">
        <f t="shared" si="164"/>
        <v>0</v>
      </c>
      <c r="DU59" s="52">
        <f t="shared" si="164"/>
        <v>0</v>
      </c>
      <c r="DV59" s="52">
        <f t="shared" si="164"/>
        <v>0</v>
      </c>
      <c r="DW59" s="52">
        <f t="shared" si="164"/>
        <v>0</v>
      </c>
      <c r="DX59" s="52">
        <f t="shared" si="164"/>
        <v>0</v>
      </c>
      <c r="DY59" s="52">
        <f t="shared" si="164"/>
        <v>0</v>
      </c>
      <c r="DZ59" s="52">
        <f t="shared" si="164"/>
        <v>0</v>
      </c>
      <c r="EA59" s="52">
        <f t="shared" si="164"/>
        <v>0</v>
      </c>
      <c r="EB59" s="52">
        <f t="shared" si="164"/>
        <v>0</v>
      </c>
      <c r="EC59" s="52">
        <f t="shared" si="164"/>
        <v>0</v>
      </c>
      <c r="ED59" s="52">
        <f t="shared" ref="ED59:FD59" si="165">IFERROR(IF(ED$28="FALSE",0,$C$59/$C$8),0)</f>
        <v>0</v>
      </c>
      <c r="EE59" s="52">
        <f t="shared" si="165"/>
        <v>0</v>
      </c>
      <c r="EF59" s="52">
        <f t="shared" si="165"/>
        <v>0</v>
      </c>
      <c r="EG59" s="52">
        <f t="shared" si="165"/>
        <v>0</v>
      </c>
      <c r="EH59" s="52">
        <f t="shared" si="165"/>
        <v>0</v>
      </c>
      <c r="EI59" s="52">
        <f t="shared" si="165"/>
        <v>0</v>
      </c>
      <c r="EJ59" s="52">
        <f t="shared" si="165"/>
        <v>0</v>
      </c>
      <c r="EK59" s="52">
        <f t="shared" si="165"/>
        <v>0</v>
      </c>
      <c r="EL59" s="52">
        <f t="shared" si="165"/>
        <v>0</v>
      </c>
      <c r="EM59" s="52">
        <f t="shared" si="165"/>
        <v>0</v>
      </c>
      <c r="EN59" s="52">
        <f t="shared" si="165"/>
        <v>0</v>
      </c>
      <c r="EO59" s="52">
        <f t="shared" si="165"/>
        <v>0</v>
      </c>
      <c r="EP59" s="52">
        <f t="shared" si="165"/>
        <v>0</v>
      </c>
      <c r="EQ59" s="52">
        <f t="shared" si="165"/>
        <v>0</v>
      </c>
      <c r="ER59" s="52">
        <f t="shared" si="165"/>
        <v>0</v>
      </c>
      <c r="ES59" s="52">
        <f t="shared" si="165"/>
        <v>0</v>
      </c>
      <c r="ET59" s="52">
        <f t="shared" si="165"/>
        <v>0</v>
      </c>
      <c r="EU59" s="52">
        <f t="shared" si="165"/>
        <v>0</v>
      </c>
      <c r="EV59" s="52">
        <f t="shared" si="165"/>
        <v>0</v>
      </c>
      <c r="EW59" s="52">
        <f t="shared" si="165"/>
        <v>0</v>
      </c>
      <c r="EX59" s="52">
        <f t="shared" si="165"/>
        <v>0</v>
      </c>
      <c r="EY59" s="52">
        <f t="shared" si="165"/>
        <v>0</v>
      </c>
      <c r="EZ59" s="52">
        <f t="shared" si="165"/>
        <v>0</v>
      </c>
      <c r="FA59" s="52">
        <f t="shared" si="165"/>
        <v>0</v>
      </c>
      <c r="FB59" s="52">
        <f t="shared" si="165"/>
        <v>0</v>
      </c>
      <c r="FC59" s="52">
        <f t="shared" si="165"/>
        <v>0</v>
      </c>
      <c r="FD59" s="52">
        <f t="shared" si="165"/>
        <v>0</v>
      </c>
    </row>
    <row r="60" spans="2:160">
      <c r="B60" s="51" t="s">
        <v>140</v>
      </c>
      <c r="C60" s="52">
        <f ca="1">IF(Startup!$C$3="Project",SUMIF(Startup!$C$7:$D$27,Overview!B60,Startup!$D$7:$D$27),(SUMIF(Startup!$C$7:$D$27,Overview!B60,Startup!$D$7:$D$27)*Startup!$C$4))+IF(Pilot!$C$3="Project",SUMIF(Pilot!$C$7:$D$27,Overview!B60,Pilot!$D$7:$D$27),(SUMIF(Pilot!$C$7:$D$27,Overview!B60,Pilot!$D$7:$D$27)*Pilot!$C$4))+IF(PMO!$C$3="Project",SUMIF(PMO!$C$7:$D$27,Overview!B60,PMO!$D$7:$D$27),(SUMIF(PMO!$C$7:$D$27,Overview!B60,PMO!$D$7:$D$27)*PMO!$C$4))+IF('Design &amp; Fulfillment'!$C$3="Project",SUMIF('Design &amp; Fulfillment'!$C$7:$D$27,Overview!B60,'Design &amp; Fulfillment'!$D$7:$D$27),(SUMIF('Design &amp; Fulfillment'!$C$7:$D$27,Overview!B60,'Design &amp; Fulfillment'!$D$7:$D$27)*'Design &amp; Fulfillment'!$C$4))+IF(Workplace!$C$3="Project",SUMIF(Workplace!$C$7:$D$27,Overview!B60,Workplace!$D$7:$D$27),(SUMIF(Workplace!$C$7:$D$27,Overview!B60,Workplace!$D$7:$D$27)*Workplace!$C$4))+IF(Integration!$C$3="Project",SUMIF(Integration!$C$7:$D$27,Overview!B60,Integration!$D$7:$D$27),(SUMIF(Integration!$C$7:$D$27,Overview!B60,Integration!$D$7:$D$27)*Integration!$C$4))+IF(Logistics!$C$3="Project",SUMIF(Logistics!$C$7:$D$27,Overview!B60,Logistics!$D$7:$D$27),(SUMIF(Logistics!$C$7:$D$27,Overview!B60,Logistics!$D$7:$D$27)*Logistics!$C$4))+IF('Service Desk'!$C$3="Project",SUMIF('Service Desk'!$C$7:$D$27,Overview!B60,'Service Desk'!$D$7:$D$27),(SUMIF('Service Desk'!$C$7:$D$27,Overview!B60,'Service Desk'!$D$7:$D$27)*'Service Desk'!$C$4))+IF('Pro Services'!$C$3="Project",SUMIF('Pro Services'!$C$7:$D$27,Overview!B60,'Pro Services'!$D$7:$D$27),(SUMIF('Pro Services'!$C$7:$D$27,Overview!B60,'Pro Services'!$D$7:$D$27)*'Pro Services'!$C$4))</f>
        <v>0</v>
      </c>
      <c r="D60" s="53">
        <f ca="1">IF(Startup!$C$3="Project",SUMIF(Startup!$C$7:$H$27,Overview!B60,Startup!$H$7:$H$27),(SUMIF(Startup!$C$7:$H$27,Overview!B60,Startup!$H$7:$H$27)*Startup!$C$4))+IF(Pilot!$C$3="Project",SUMIF(Pilot!$C$7:$H$27,Overview!B60,Pilot!$H$7:$H$27),(SUMIF(Pilot!$C$7:$H$27,Overview!B60,Pilot!$H$7:$H$27)*Pilot!$C$4))+IF(PMO!$C$3="Project",SUMIF(PMO!$C$7:$H$27,Overview!B60,PMO!$H$7:$H$27),(SUMIF(PMO!$C$7:$H$27,Overview!B60,PMO!$H$7:$H$27)*PMO!$C$4))+IF('Design &amp; Fulfillment'!$C$3="Project",SUMIF('Design &amp; Fulfillment'!$C$7:$H$27,Overview!B60,'Design &amp; Fulfillment'!$H$7:$H$27),(SUMIF('Design &amp; Fulfillment'!$C$7:$H$27,Overview!B60,'Design &amp; Fulfillment'!$H$7:$H$27)*'Design &amp; Fulfillment'!$C$4))+IF(Workplace!$C$3="Project",SUMIF(Workplace!$C$7:$H$27,Overview!B60,Workplace!$H$7:$H$27),(SUMIF(Workplace!$C$7:$H$27,Overview!B60,Workplace!$H$7:$H$27)*Workplace!$C$4))+IF(Integration!$C$3="Project",SUMIF(Integration!$C$7:$H$27,Overview!B60,Integration!$H$7:$H$27),(SUMIF(Integration!$C$7:$H$27,Overview!B60,Integration!$H$7:$H$27)*Integration!$C$4))+IF(Logistics!$C$3="Project",SUMIF(Logistics!$C$7:$H$27,Overview!B60,Logistics!$H$7:$H$27),(SUMIF(Logistics!$C$7:$H$27,Overview!B60,Logistics!$H$7:$H$27)*Logistics!$C$4))+IF('Service Desk'!$C$3="Project",SUMIF('Service Desk'!$C$7:$H$27,Overview!B60,'Service Desk'!$H$7:$H$27),(SUMIF('Service Desk'!$C$7:$H$27,Overview!B60,'Service Desk'!$H$7:$H$27)*'Service Desk'!$C$4))+IF('Pro Services'!$C$3="Project",SUMIF('Pro Services'!$C$7:$H$27,Overview!B60,'Pro Services'!$H$7:$H$27),(SUMIF('Pro Services'!$C$7:$H$27,Overview!B60,'Pro Services'!$H$7:$H$27)*'Pro Services'!$C$4))</f>
        <v>0</v>
      </c>
      <c r="E60" s="52">
        <f t="shared" ca="1" si="120"/>
        <v>0</v>
      </c>
      <c r="F60" s="52">
        <f t="shared" ref="F60:AK60" si="166">IFERROR(IF(F$28="FALSE",0,$C$60/$C$8),0)</f>
        <v>0</v>
      </c>
      <c r="G60" s="52">
        <f t="shared" si="166"/>
        <v>0</v>
      </c>
      <c r="H60" s="52">
        <f t="shared" si="166"/>
        <v>0</v>
      </c>
      <c r="I60" s="52">
        <f t="shared" si="166"/>
        <v>0</v>
      </c>
      <c r="J60" s="52">
        <f t="shared" si="166"/>
        <v>0</v>
      </c>
      <c r="K60" s="52">
        <f t="shared" si="166"/>
        <v>0</v>
      </c>
      <c r="L60" s="52">
        <f t="shared" si="166"/>
        <v>0</v>
      </c>
      <c r="M60" s="52">
        <f t="shared" si="166"/>
        <v>0</v>
      </c>
      <c r="N60" s="52">
        <f t="shared" si="166"/>
        <v>0</v>
      </c>
      <c r="O60" s="52">
        <f t="shared" si="166"/>
        <v>0</v>
      </c>
      <c r="P60" s="52">
        <f t="shared" si="166"/>
        <v>0</v>
      </c>
      <c r="Q60" s="52">
        <f t="shared" si="166"/>
        <v>0</v>
      </c>
      <c r="R60" s="52">
        <f t="shared" si="166"/>
        <v>0</v>
      </c>
      <c r="S60" s="52">
        <f t="shared" si="166"/>
        <v>0</v>
      </c>
      <c r="T60" s="52">
        <f t="shared" si="166"/>
        <v>0</v>
      </c>
      <c r="U60" s="52">
        <f t="shared" si="166"/>
        <v>0</v>
      </c>
      <c r="V60" s="52">
        <f t="shared" si="166"/>
        <v>0</v>
      </c>
      <c r="W60" s="52">
        <f t="shared" si="166"/>
        <v>0</v>
      </c>
      <c r="X60" s="52">
        <f t="shared" si="166"/>
        <v>0</v>
      </c>
      <c r="Y60" s="52">
        <f t="shared" si="166"/>
        <v>0</v>
      </c>
      <c r="Z60" s="52">
        <f t="shared" si="166"/>
        <v>0</v>
      </c>
      <c r="AA60" s="52">
        <f t="shared" si="166"/>
        <v>0</v>
      </c>
      <c r="AB60" s="52">
        <f t="shared" si="166"/>
        <v>0</v>
      </c>
      <c r="AC60" s="52">
        <f t="shared" si="166"/>
        <v>0</v>
      </c>
      <c r="AD60" s="52">
        <f t="shared" si="166"/>
        <v>0</v>
      </c>
      <c r="AE60" s="52">
        <f t="shared" si="166"/>
        <v>0</v>
      </c>
      <c r="AF60" s="52">
        <f t="shared" si="166"/>
        <v>0</v>
      </c>
      <c r="AG60" s="52">
        <f t="shared" si="166"/>
        <v>0</v>
      </c>
      <c r="AH60" s="52">
        <f t="shared" si="166"/>
        <v>0</v>
      </c>
      <c r="AI60" s="52">
        <f t="shared" si="166"/>
        <v>0</v>
      </c>
      <c r="AJ60" s="52">
        <f t="shared" si="166"/>
        <v>0</v>
      </c>
      <c r="AK60" s="52">
        <f t="shared" si="166"/>
        <v>0</v>
      </c>
      <c r="AL60" s="52">
        <f t="shared" ref="AL60:BQ60" si="167">IFERROR(IF(AL$28="FALSE",0,$C$60/$C$8),0)</f>
        <v>0</v>
      </c>
      <c r="AM60" s="52">
        <f t="shared" si="167"/>
        <v>0</v>
      </c>
      <c r="AN60" s="52">
        <f t="shared" si="167"/>
        <v>0</v>
      </c>
      <c r="AO60" s="52">
        <f t="shared" si="167"/>
        <v>0</v>
      </c>
      <c r="AP60" s="52">
        <f t="shared" si="167"/>
        <v>0</v>
      </c>
      <c r="AQ60" s="52">
        <f t="shared" si="167"/>
        <v>0</v>
      </c>
      <c r="AR60" s="52">
        <f t="shared" si="167"/>
        <v>0</v>
      </c>
      <c r="AS60" s="52">
        <f t="shared" si="167"/>
        <v>0</v>
      </c>
      <c r="AT60" s="52">
        <f t="shared" si="167"/>
        <v>0</v>
      </c>
      <c r="AU60" s="52">
        <f t="shared" si="167"/>
        <v>0</v>
      </c>
      <c r="AV60" s="52">
        <f t="shared" si="167"/>
        <v>0</v>
      </c>
      <c r="AW60" s="52">
        <f t="shared" si="167"/>
        <v>0</v>
      </c>
      <c r="AX60" s="52">
        <f t="shared" si="167"/>
        <v>0</v>
      </c>
      <c r="AY60" s="52">
        <f t="shared" si="167"/>
        <v>0</v>
      </c>
      <c r="AZ60" s="52">
        <f t="shared" si="167"/>
        <v>0</v>
      </c>
      <c r="BA60" s="52">
        <f t="shared" si="167"/>
        <v>0</v>
      </c>
      <c r="BB60" s="52">
        <f t="shared" si="167"/>
        <v>0</v>
      </c>
      <c r="BC60" s="52">
        <f t="shared" si="167"/>
        <v>0</v>
      </c>
      <c r="BD60" s="52">
        <f t="shared" si="167"/>
        <v>0</v>
      </c>
      <c r="BE60" s="52">
        <f t="shared" si="167"/>
        <v>0</v>
      </c>
      <c r="BF60" s="52">
        <f t="shared" si="167"/>
        <v>0</v>
      </c>
      <c r="BG60" s="52">
        <f t="shared" si="167"/>
        <v>0</v>
      </c>
      <c r="BH60" s="52">
        <f t="shared" si="167"/>
        <v>0</v>
      </c>
      <c r="BI60" s="52">
        <f t="shared" si="167"/>
        <v>0</v>
      </c>
      <c r="BJ60" s="52">
        <f t="shared" si="167"/>
        <v>0</v>
      </c>
      <c r="BK60" s="52">
        <f t="shared" si="167"/>
        <v>0</v>
      </c>
      <c r="BL60" s="52">
        <f t="shared" si="167"/>
        <v>0</v>
      </c>
      <c r="BM60" s="52">
        <f t="shared" si="167"/>
        <v>0</v>
      </c>
      <c r="BN60" s="52">
        <f t="shared" si="167"/>
        <v>0</v>
      </c>
      <c r="BO60" s="52">
        <f t="shared" si="167"/>
        <v>0</v>
      </c>
      <c r="BP60" s="52">
        <f t="shared" si="167"/>
        <v>0</v>
      </c>
      <c r="BQ60" s="52">
        <f t="shared" si="167"/>
        <v>0</v>
      </c>
      <c r="BR60" s="52">
        <f t="shared" ref="BR60:CW60" si="168">IFERROR(IF(BR$28="FALSE",0,$C$60/$C$8),0)</f>
        <v>0</v>
      </c>
      <c r="BS60" s="52">
        <f t="shared" si="168"/>
        <v>0</v>
      </c>
      <c r="BT60" s="52">
        <f t="shared" si="168"/>
        <v>0</v>
      </c>
      <c r="BU60" s="52">
        <f t="shared" si="168"/>
        <v>0</v>
      </c>
      <c r="BV60" s="52">
        <f t="shared" si="168"/>
        <v>0</v>
      </c>
      <c r="BW60" s="52">
        <f t="shared" si="168"/>
        <v>0</v>
      </c>
      <c r="BX60" s="52">
        <f t="shared" si="168"/>
        <v>0</v>
      </c>
      <c r="BY60" s="52">
        <f t="shared" si="168"/>
        <v>0</v>
      </c>
      <c r="BZ60" s="52">
        <f t="shared" si="168"/>
        <v>0</v>
      </c>
      <c r="CA60" s="52">
        <f t="shared" si="168"/>
        <v>0</v>
      </c>
      <c r="CB60" s="52">
        <f t="shared" si="168"/>
        <v>0</v>
      </c>
      <c r="CC60" s="52">
        <f t="shared" si="168"/>
        <v>0</v>
      </c>
      <c r="CD60" s="52">
        <f t="shared" si="168"/>
        <v>0</v>
      </c>
      <c r="CE60" s="52">
        <f t="shared" si="168"/>
        <v>0</v>
      </c>
      <c r="CF60" s="52">
        <f t="shared" si="168"/>
        <v>0</v>
      </c>
      <c r="CG60" s="52">
        <f t="shared" si="168"/>
        <v>0</v>
      </c>
      <c r="CH60" s="52">
        <f t="shared" si="168"/>
        <v>0</v>
      </c>
      <c r="CI60" s="52">
        <f t="shared" si="168"/>
        <v>0</v>
      </c>
      <c r="CJ60" s="52">
        <f t="shared" si="168"/>
        <v>0</v>
      </c>
      <c r="CK60" s="52">
        <f t="shared" si="168"/>
        <v>0</v>
      </c>
      <c r="CL60" s="52">
        <f t="shared" si="168"/>
        <v>0</v>
      </c>
      <c r="CM60" s="52">
        <f t="shared" si="168"/>
        <v>0</v>
      </c>
      <c r="CN60" s="52">
        <f t="shared" si="168"/>
        <v>0</v>
      </c>
      <c r="CO60" s="52">
        <f t="shared" si="168"/>
        <v>0</v>
      </c>
      <c r="CP60" s="52">
        <f t="shared" si="168"/>
        <v>0</v>
      </c>
      <c r="CQ60" s="52">
        <f t="shared" si="168"/>
        <v>0</v>
      </c>
      <c r="CR60" s="52">
        <f t="shared" si="168"/>
        <v>0</v>
      </c>
      <c r="CS60" s="52">
        <f t="shared" si="168"/>
        <v>0</v>
      </c>
      <c r="CT60" s="52">
        <f t="shared" si="168"/>
        <v>0</v>
      </c>
      <c r="CU60" s="52">
        <f t="shared" si="168"/>
        <v>0</v>
      </c>
      <c r="CV60" s="52">
        <f t="shared" si="168"/>
        <v>0</v>
      </c>
      <c r="CW60" s="52">
        <f t="shared" si="168"/>
        <v>0</v>
      </c>
      <c r="CX60" s="52">
        <f t="shared" ref="CX60:EC60" si="169">IFERROR(IF(CX$28="FALSE",0,$C$60/$C$8),0)</f>
        <v>0</v>
      </c>
      <c r="CY60" s="52">
        <f t="shared" si="169"/>
        <v>0</v>
      </c>
      <c r="CZ60" s="52">
        <f t="shared" si="169"/>
        <v>0</v>
      </c>
      <c r="DA60" s="52">
        <f t="shared" si="169"/>
        <v>0</v>
      </c>
      <c r="DB60" s="52">
        <f t="shared" si="169"/>
        <v>0</v>
      </c>
      <c r="DC60" s="52">
        <f t="shared" si="169"/>
        <v>0</v>
      </c>
      <c r="DD60" s="52">
        <f t="shared" si="169"/>
        <v>0</v>
      </c>
      <c r="DE60" s="52">
        <f t="shared" si="169"/>
        <v>0</v>
      </c>
      <c r="DF60" s="52">
        <f t="shared" si="169"/>
        <v>0</v>
      </c>
      <c r="DG60" s="52">
        <f t="shared" si="169"/>
        <v>0</v>
      </c>
      <c r="DH60" s="52">
        <f t="shared" si="169"/>
        <v>0</v>
      </c>
      <c r="DI60" s="52">
        <f t="shared" si="169"/>
        <v>0</v>
      </c>
      <c r="DJ60" s="52">
        <f t="shared" si="169"/>
        <v>0</v>
      </c>
      <c r="DK60" s="52">
        <f t="shared" si="169"/>
        <v>0</v>
      </c>
      <c r="DL60" s="52">
        <f t="shared" si="169"/>
        <v>0</v>
      </c>
      <c r="DM60" s="52">
        <f t="shared" si="169"/>
        <v>0</v>
      </c>
      <c r="DN60" s="52">
        <f t="shared" si="169"/>
        <v>0</v>
      </c>
      <c r="DO60" s="52">
        <f t="shared" si="169"/>
        <v>0</v>
      </c>
      <c r="DP60" s="52">
        <f t="shared" si="169"/>
        <v>0</v>
      </c>
      <c r="DQ60" s="52">
        <f t="shared" si="169"/>
        <v>0</v>
      </c>
      <c r="DR60" s="52">
        <f t="shared" si="169"/>
        <v>0</v>
      </c>
      <c r="DS60" s="52">
        <f t="shared" si="169"/>
        <v>0</v>
      </c>
      <c r="DT60" s="52">
        <f t="shared" si="169"/>
        <v>0</v>
      </c>
      <c r="DU60" s="52">
        <f t="shared" si="169"/>
        <v>0</v>
      </c>
      <c r="DV60" s="52">
        <f t="shared" si="169"/>
        <v>0</v>
      </c>
      <c r="DW60" s="52">
        <f t="shared" si="169"/>
        <v>0</v>
      </c>
      <c r="DX60" s="52">
        <f t="shared" si="169"/>
        <v>0</v>
      </c>
      <c r="DY60" s="52">
        <f t="shared" si="169"/>
        <v>0</v>
      </c>
      <c r="DZ60" s="52">
        <f t="shared" si="169"/>
        <v>0</v>
      </c>
      <c r="EA60" s="52">
        <f t="shared" si="169"/>
        <v>0</v>
      </c>
      <c r="EB60" s="52">
        <f t="shared" si="169"/>
        <v>0</v>
      </c>
      <c r="EC60" s="52">
        <f t="shared" si="169"/>
        <v>0</v>
      </c>
      <c r="ED60" s="52">
        <f t="shared" ref="ED60:FD60" si="170">IFERROR(IF(ED$28="FALSE",0,$C$60/$C$8),0)</f>
        <v>0</v>
      </c>
      <c r="EE60" s="52">
        <f t="shared" si="170"/>
        <v>0</v>
      </c>
      <c r="EF60" s="52">
        <f t="shared" si="170"/>
        <v>0</v>
      </c>
      <c r="EG60" s="52">
        <f t="shared" si="170"/>
        <v>0</v>
      </c>
      <c r="EH60" s="52">
        <f t="shared" si="170"/>
        <v>0</v>
      </c>
      <c r="EI60" s="52">
        <f t="shared" si="170"/>
        <v>0</v>
      </c>
      <c r="EJ60" s="52">
        <f t="shared" si="170"/>
        <v>0</v>
      </c>
      <c r="EK60" s="52">
        <f t="shared" si="170"/>
        <v>0</v>
      </c>
      <c r="EL60" s="52">
        <f t="shared" si="170"/>
        <v>0</v>
      </c>
      <c r="EM60" s="52">
        <f t="shared" si="170"/>
        <v>0</v>
      </c>
      <c r="EN60" s="52">
        <f t="shared" si="170"/>
        <v>0</v>
      </c>
      <c r="EO60" s="52">
        <f t="shared" si="170"/>
        <v>0</v>
      </c>
      <c r="EP60" s="52">
        <f t="shared" si="170"/>
        <v>0</v>
      </c>
      <c r="EQ60" s="52">
        <f t="shared" si="170"/>
        <v>0</v>
      </c>
      <c r="ER60" s="52">
        <f t="shared" si="170"/>
        <v>0</v>
      </c>
      <c r="ES60" s="52">
        <f t="shared" si="170"/>
        <v>0</v>
      </c>
      <c r="ET60" s="52">
        <f t="shared" si="170"/>
        <v>0</v>
      </c>
      <c r="EU60" s="52">
        <f t="shared" si="170"/>
        <v>0</v>
      </c>
      <c r="EV60" s="52">
        <f t="shared" si="170"/>
        <v>0</v>
      </c>
      <c r="EW60" s="52">
        <f t="shared" si="170"/>
        <v>0</v>
      </c>
      <c r="EX60" s="52">
        <f t="shared" si="170"/>
        <v>0</v>
      </c>
      <c r="EY60" s="52">
        <f t="shared" si="170"/>
        <v>0</v>
      </c>
      <c r="EZ60" s="52">
        <f t="shared" si="170"/>
        <v>0</v>
      </c>
      <c r="FA60" s="52">
        <f t="shared" si="170"/>
        <v>0</v>
      </c>
      <c r="FB60" s="52">
        <f t="shared" si="170"/>
        <v>0</v>
      </c>
      <c r="FC60" s="52">
        <f t="shared" si="170"/>
        <v>0</v>
      </c>
      <c r="FD60" s="52">
        <f t="shared" si="170"/>
        <v>0</v>
      </c>
    </row>
    <row r="61" spans="2:160">
      <c r="B61" s="51" t="s">
        <v>141</v>
      </c>
      <c r="C61" s="52">
        <f ca="1">IF(Startup!$C$3="Project",SUMIF(Startup!$C$7:$D$27,Overview!B61,Startup!$D$7:$D$27),(SUMIF(Startup!$C$7:$D$27,Overview!B61,Startup!$D$7:$D$27)*Startup!$C$4))+IF(Pilot!$C$3="Project",SUMIF(Pilot!$C$7:$D$27,Overview!B61,Pilot!$D$7:$D$27),(SUMIF(Pilot!$C$7:$D$27,Overview!B61,Pilot!$D$7:$D$27)*Pilot!$C$4))+IF(PMO!$C$3="Project",SUMIF(PMO!$C$7:$D$27,Overview!B61,PMO!$D$7:$D$27),(SUMIF(PMO!$C$7:$D$27,Overview!B61,PMO!$D$7:$D$27)*PMO!$C$4))+IF('Design &amp; Fulfillment'!$C$3="Project",SUMIF('Design &amp; Fulfillment'!$C$7:$D$27,Overview!B61,'Design &amp; Fulfillment'!$D$7:$D$27),(SUMIF('Design &amp; Fulfillment'!$C$7:$D$27,Overview!B61,'Design &amp; Fulfillment'!$D$7:$D$27)*'Design &amp; Fulfillment'!$C$4))+IF(Workplace!$C$3="Project",SUMIF(Workplace!$C$7:$D$27,Overview!B61,Workplace!$D$7:$D$27),(SUMIF(Workplace!$C$7:$D$27,Overview!B61,Workplace!$D$7:$D$27)*Workplace!$C$4))+IF(Integration!$C$3="Project",SUMIF(Integration!$C$7:$D$27,Overview!B61,Integration!$D$7:$D$27),(SUMIF(Integration!$C$7:$D$27,Overview!B61,Integration!$D$7:$D$27)*Integration!$C$4))+IF(Logistics!$C$3="Project",SUMIF(Logistics!$C$7:$D$27,Overview!B61,Logistics!$D$7:$D$27),(SUMIF(Logistics!$C$7:$D$27,Overview!B61,Logistics!$D$7:$D$27)*Logistics!$C$4))+IF('Service Desk'!$C$3="Project",SUMIF('Service Desk'!$C$7:$D$27,Overview!B61,'Service Desk'!$D$7:$D$27),(SUMIF('Service Desk'!$C$7:$D$27,Overview!B61,'Service Desk'!$D$7:$D$27)*'Service Desk'!$C$4))+IF('Pro Services'!$C$3="Project",SUMIF('Pro Services'!$C$7:$D$27,Overview!B61,'Pro Services'!$D$7:$D$27),(SUMIF('Pro Services'!$C$7:$D$27,Overview!B61,'Pro Services'!$D$7:$D$27)*'Pro Services'!$C$4))</f>
        <v>0</v>
      </c>
      <c r="D61" s="53">
        <f ca="1">IF(Startup!$C$3="Project",SUMIF(Startup!$C$7:$H$27,Overview!B61,Startup!$H$7:$H$27),(SUMIF(Startup!$C$7:$H$27,Overview!B61,Startup!$H$7:$H$27)*Startup!$C$4))+IF(Pilot!$C$3="Project",SUMIF(Pilot!$C$7:$H$27,Overview!B61,Pilot!$H$7:$H$27),(SUMIF(Pilot!$C$7:$H$27,Overview!B61,Pilot!$H$7:$H$27)*Pilot!$C$4))+IF(PMO!$C$3="Project",SUMIF(PMO!$C$7:$H$27,Overview!B61,PMO!$H$7:$H$27),(SUMIF(PMO!$C$7:$H$27,Overview!B61,PMO!$H$7:$H$27)*PMO!$C$4))+IF('Design &amp; Fulfillment'!$C$3="Project",SUMIF('Design &amp; Fulfillment'!$C$7:$H$27,Overview!B61,'Design &amp; Fulfillment'!$H$7:$H$27),(SUMIF('Design &amp; Fulfillment'!$C$7:$H$27,Overview!B61,'Design &amp; Fulfillment'!$H$7:$H$27)*'Design &amp; Fulfillment'!$C$4))+IF(Workplace!$C$3="Project",SUMIF(Workplace!$C$7:$H$27,Overview!B61,Workplace!$H$7:$H$27),(SUMIF(Workplace!$C$7:$H$27,Overview!B61,Workplace!$H$7:$H$27)*Workplace!$C$4))+IF(Integration!$C$3="Project",SUMIF(Integration!$C$7:$H$27,Overview!B61,Integration!$H$7:$H$27),(SUMIF(Integration!$C$7:$H$27,Overview!B61,Integration!$H$7:$H$27)*Integration!$C$4))+IF(Logistics!$C$3="Project",SUMIF(Logistics!$C$7:$H$27,Overview!B61,Logistics!$H$7:$H$27),(SUMIF(Logistics!$C$7:$H$27,Overview!B61,Logistics!$H$7:$H$27)*Logistics!$C$4))+IF('Service Desk'!$C$3="Project",SUMIF('Service Desk'!$C$7:$H$27,Overview!B61,'Service Desk'!$H$7:$H$27),(SUMIF('Service Desk'!$C$7:$H$27,Overview!B61,'Service Desk'!$H$7:$H$27)*'Service Desk'!$C$4))+IF('Pro Services'!$C$3="Project",SUMIF('Pro Services'!$C$7:$H$27,Overview!B61,'Pro Services'!$H$7:$H$27),(SUMIF('Pro Services'!$C$7:$H$27,Overview!B61,'Pro Services'!$H$7:$H$27)*'Pro Services'!$C$4))</f>
        <v>0</v>
      </c>
      <c r="E61" s="52">
        <f t="shared" ca="1" si="120"/>
        <v>0</v>
      </c>
      <c r="F61" s="52">
        <f t="shared" ref="F61:AK63" si="171">IFERROR(IF(F$28="FALSE",0,$C$61/$C$8),0)</f>
        <v>0</v>
      </c>
      <c r="G61" s="52">
        <f t="shared" si="171"/>
        <v>0</v>
      </c>
      <c r="H61" s="52">
        <f t="shared" si="171"/>
        <v>0</v>
      </c>
      <c r="I61" s="52">
        <f t="shared" si="171"/>
        <v>0</v>
      </c>
      <c r="J61" s="52">
        <f t="shared" si="171"/>
        <v>0</v>
      </c>
      <c r="K61" s="52">
        <f t="shared" si="171"/>
        <v>0</v>
      </c>
      <c r="L61" s="52">
        <f t="shared" si="171"/>
        <v>0</v>
      </c>
      <c r="M61" s="52">
        <f t="shared" si="171"/>
        <v>0</v>
      </c>
      <c r="N61" s="52">
        <f t="shared" si="171"/>
        <v>0</v>
      </c>
      <c r="O61" s="52">
        <f t="shared" si="171"/>
        <v>0</v>
      </c>
      <c r="P61" s="52">
        <f t="shared" si="171"/>
        <v>0</v>
      </c>
      <c r="Q61" s="52">
        <f t="shared" si="171"/>
        <v>0</v>
      </c>
      <c r="R61" s="52">
        <f t="shared" si="171"/>
        <v>0</v>
      </c>
      <c r="S61" s="52">
        <f t="shared" si="171"/>
        <v>0</v>
      </c>
      <c r="T61" s="52">
        <f t="shared" si="171"/>
        <v>0</v>
      </c>
      <c r="U61" s="52">
        <f t="shared" si="171"/>
        <v>0</v>
      </c>
      <c r="V61" s="52">
        <f t="shared" si="171"/>
        <v>0</v>
      </c>
      <c r="W61" s="52">
        <f t="shared" si="171"/>
        <v>0</v>
      </c>
      <c r="X61" s="52">
        <f t="shared" si="171"/>
        <v>0</v>
      </c>
      <c r="Y61" s="52">
        <f t="shared" si="171"/>
        <v>0</v>
      </c>
      <c r="Z61" s="52">
        <f t="shared" si="171"/>
        <v>0</v>
      </c>
      <c r="AA61" s="52">
        <f t="shared" si="171"/>
        <v>0</v>
      </c>
      <c r="AB61" s="52">
        <f t="shared" si="171"/>
        <v>0</v>
      </c>
      <c r="AC61" s="52">
        <f t="shared" si="171"/>
        <v>0</v>
      </c>
      <c r="AD61" s="52">
        <f t="shared" si="171"/>
        <v>0</v>
      </c>
      <c r="AE61" s="52">
        <f t="shared" si="171"/>
        <v>0</v>
      </c>
      <c r="AF61" s="52">
        <f t="shared" si="171"/>
        <v>0</v>
      </c>
      <c r="AG61" s="52">
        <f t="shared" si="171"/>
        <v>0</v>
      </c>
      <c r="AH61" s="52">
        <f t="shared" si="171"/>
        <v>0</v>
      </c>
      <c r="AI61" s="52">
        <f t="shared" si="171"/>
        <v>0</v>
      </c>
      <c r="AJ61" s="52">
        <f t="shared" si="171"/>
        <v>0</v>
      </c>
      <c r="AK61" s="52">
        <f t="shared" si="171"/>
        <v>0</v>
      </c>
      <c r="AL61" s="52">
        <f t="shared" ref="AL61:BQ63" si="172">IFERROR(IF(AL$28="FALSE",0,$C$61/$C$8),0)</f>
        <v>0</v>
      </c>
      <c r="AM61" s="52">
        <f t="shared" si="172"/>
        <v>0</v>
      </c>
      <c r="AN61" s="52">
        <f t="shared" si="172"/>
        <v>0</v>
      </c>
      <c r="AO61" s="52">
        <f t="shared" si="172"/>
        <v>0</v>
      </c>
      <c r="AP61" s="52">
        <f t="shared" si="172"/>
        <v>0</v>
      </c>
      <c r="AQ61" s="52">
        <f t="shared" si="172"/>
        <v>0</v>
      </c>
      <c r="AR61" s="52">
        <f t="shared" si="172"/>
        <v>0</v>
      </c>
      <c r="AS61" s="52">
        <f t="shared" si="172"/>
        <v>0</v>
      </c>
      <c r="AT61" s="52">
        <f t="shared" si="172"/>
        <v>0</v>
      </c>
      <c r="AU61" s="52">
        <f t="shared" si="172"/>
        <v>0</v>
      </c>
      <c r="AV61" s="52">
        <f t="shared" si="172"/>
        <v>0</v>
      </c>
      <c r="AW61" s="52">
        <f t="shared" si="172"/>
        <v>0</v>
      </c>
      <c r="AX61" s="52">
        <f t="shared" si="172"/>
        <v>0</v>
      </c>
      <c r="AY61" s="52">
        <f t="shared" si="172"/>
        <v>0</v>
      </c>
      <c r="AZ61" s="52">
        <f t="shared" si="172"/>
        <v>0</v>
      </c>
      <c r="BA61" s="52">
        <f t="shared" si="172"/>
        <v>0</v>
      </c>
      <c r="BB61" s="52">
        <f t="shared" si="172"/>
        <v>0</v>
      </c>
      <c r="BC61" s="52">
        <f t="shared" si="172"/>
        <v>0</v>
      </c>
      <c r="BD61" s="52">
        <f t="shared" si="172"/>
        <v>0</v>
      </c>
      <c r="BE61" s="52">
        <f t="shared" si="172"/>
        <v>0</v>
      </c>
      <c r="BF61" s="52">
        <f t="shared" si="172"/>
        <v>0</v>
      </c>
      <c r="BG61" s="52">
        <f t="shared" si="172"/>
        <v>0</v>
      </c>
      <c r="BH61" s="52">
        <f t="shared" si="172"/>
        <v>0</v>
      </c>
      <c r="BI61" s="52">
        <f t="shared" si="172"/>
        <v>0</v>
      </c>
      <c r="BJ61" s="52">
        <f t="shared" si="172"/>
        <v>0</v>
      </c>
      <c r="BK61" s="52">
        <f t="shared" si="172"/>
        <v>0</v>
      </c>
      <c r="BL61" s="52">
        <f t="shared" si="172"/>
        <v>0</v>
      </c>
      <c r="BM61" s="52">
        <f t="shared" si="172"/>
        <v>0</v>
      </c>
      <c r="BN61" s="52">
        <f t="shared" si="172"/>
        <v>0</v>
      </c>
      <c r="BO61" s="52">
        <f t="shared" si="172"/>
        <v>0</v>
      </c>
      <c r="BP61" s="52">
        <f t="shared" si="172"/>
        <v>0</v>
      </c>
      <c r="BQ61" s="52">
        <f t="shared" si="172"/>
        <v>0</v>
      </c>
      <c r="BR61" s="52">
        <f t="shared" ref="BR61:CW63" si="173">IFERROR(IF(BR$28="FALSE",0,$C$61/$C$8),0)</f>
        <v>0</v>
      </c>
      <c r="BS61" s="52">
        <f t="shared" si="173"/>
        <v>0</v>
      </c>
      <c r="BT61" s="52">
        <f t="shared" si="173"/>
        <v>0</v>
      </c>
      <c r="BU61" s="52">
        <f t="shared" si="173"/>
        <v>0</v>
      </c>
      <c r="BV61" s="52">
        <f t="shared" si="173"/>
        <v>0</v>
      </c>
      <c r="BW61" s="52">
        <f t="shared" si="173"/>
        <v>0</v>
      </c>
      <c r="BX61" s="52">
        <f t="shared" si="173"/>
        <v>0</v>
      </c>
      <c r="BY61" s="52">
        <f t="shared" si="173"/>
        <v>0</v>
      </c>
      <c r="BZ61" s="52">
        <f t="shared" si="173"/>
        <v>0</v>
      </c>
      <c r="CA61" s="52">
        <f t="shared" si="173"/>
        <v>0</v>
      </c>
      <c r="CB61" s="52">
        <f t="shared" si="173"/>
        <v>0</v>
      </c>
      <c r="CC61" s="52">
        <f t="shared" si="173"/>
        <v>0</v>
      </c>
      <c r="CD61" s="52">
        <f t="shared" si="173"/>
        <v>0</v>
      </c>
      <c r="CE61" s="52">
        <f t="shared" si="173"/>
        <v>0</v>
      </c>
      <c r="CF61" s="52">
        <f t="shared" si="173"/>
        <v>0</v>
      </c>
      <c r="CG61" s="52">
        <f t="shared" si="173"/>
        <v>0</v>
      </c>
      <c r="CH61" s="52">
        <f t="shared" si="173"/>
        <v>0</v>
      </c>
      <c r="CI61" s="52">
        <f t="shared" si="173"/>
        <v>0</v>
      </c>
      <c r="CJ61" s="52">
        <f t="shared" si="173"/>
        <v>0</v>
      </c>
      <c r="CK61" s="52">
        <f t="shared" si="173"/>
        <v>0</v>
      </c>
      <c r="CL61" s="52">
        <f t="shared" si="173"/>
        <v>0</v>
      </c>
      <c r="CM61" s="52">
        <f t="shared" si="173"/>
        <v>0</v>
      </c>
      <c r="CN61" s="52">
        <f t="shared" si="173"/>
        <v>0</v>
      </c>
      <c r="CO61" s="52">
        <f t="shared" si="173"/>
        <v>0</v>
      </c>
      <c r="CP61" s="52">
        <f t="shared" si="173"/>
        <v>0</v>
      </c>
      <c r="CQ61" s="52">
        <f t="shared" si="173"/>
        <v>0</v>
      </c>
      <c r="CR61" s="52">
        <f t="shared" si="173"/>
        <v>0</v>
      </c>
      <c r="CS61" s="52">
        <f t="shared" si="173"/>
        <v>0</v>
      </c>
      <c r="CT61" s="52">
        <f t="shared" si="173"/>
        <v>0</v>
      </c>
      <c r="CU61" s="52">
        <f t="shared" si="173"/>
        <v>0</v>
      </c>
      <c r="CV61" s="52">
        <f t="shared" si="173"/>
        <v>0</v>
      </c>
      <c r="CW61" s="52">
        <f t="shared" si="173"/>
        <v>0</v>
      </c>
      <c r="CX61" s="52">
        <f t="shared" ref="CX61:EC63" si="174">IFERROR(IF(CX$28="FALSE",0,$C$61/$C$8),0)</f>
        <v>0</v>
      </c>
      <c r="CY61" s="52">
        <f t="shared" si="174"/>
        <v>0</v>
      </c>
      <c r="CZ61" s="52">
        <f t="shared" si="174"/>
        <v>0</v>
      </c>
      <c r="DA61" s="52">
        <f t="shared" si="174"/>
        <v>0</v>
      </c>
      <c r="DB61" s="52">
        <f t="shared" si="174"/>
        <v>0</v>
      </c>
      <c r="DC61" s="52">
        <f t="shared" si="174"/>
        <v>0</v>
      </c>
      <c r="DD61" s="52">
        <f t="shared" si="174"/>
        <v>0</v>
      </c>
      <c r="DE61" s="52">
        <f t="shared" si="174"/>
        <v>0</v>
      </c>
      <c r="DF61" s="52">
        <f t="shared" si="174"/>
        <v>0</v>
      </c>
      <c r="DG61" s="52">
        <f t="shared" si="174"/>
        <v>0</v>
      </c>
      <c r="DH61" s="52">
        <f t="shared" si="174"/>
        <v>0</v>
      </c>
      <c r="DI61" s="52">
        <f t="shared" si="174"/>
        <v>0</v>
      </c>
      <c r="DJ61" s="52">
        <f t="shared" si="174"/>
        <v>0</v>
      </c>
      <c r="DK61" s="52">
        <f t="shared" si="174"/>
        <v>0</v>
      </c>
      <c r="DL61" s="52">
        <f t="shared" si="174"/>
        <v>0</v>
      </c>
      <c r="DM61" s="52">
        <f t="shared" si="174"/>
        <v>0</v>
      </c>
      <c r="DN61" s="52">
        <f t="shared" si="174"/>
        <v>0</v>
      </c>
      <c r="DO61" s="52">
        <f t="shared" si="174"/>
        <v>0</v>
      </c>
      <c r="DP61" s="52">
        <f t="shared" si="174"/>
        <v>0</v>
      </c>
      <c r="DQ61" s="52">
        <f t="shared" si="174"/>
        <v>0</v>
      </c>
      <c r="DR61" s="52">
        <f t="shared" si="174"/>
        <v>0</v>
      </c>
      <c r="DS61" s="52">
        <f t="shared" si="174"/>
        <v>0</v>
      </c>
      <c r="DT61" s="52">
        <f t="shared" si="174"/>
        <v>0</v>
      </c>
      <c r="DU61" s="52">
        <f t="shared" si="174"/>
        <v>0</v>
      </c>
      <c r="DV61" s="52">
        <f t="shared" si="174"/>
        <v>0</v>
      </c>
      <c r="DW61" s="52">
        <f t="shared" si="174"/>
        <v>0</v>
      </c>
      <c r="DX61" s="52">
        <f t="shared" si="174"/>
        <v>0</v>
      </c>
      <c r="DY61" s="52">
        <f t="shared" si="174"/>
        <v>0</v>
      </c>
      <c r="DZ61" s="52">
        <f t="shared" si="174"/>
        <v>0</v>
      </c>
      <c r="EA61" s="52">
        <f t="shared" si="174"/>
        <v>0</v>
      </c>
      <c r="EB61" s="52">
        <f t="shared" si="174"/>
        <v>0</v>
      </c>
      <c r="EC61" s="52">
        <f t="shared" si="174"/>
        <v>0</v>
      </c>
      <c r="ED61" s="52">
        <f t="shared" ref="ED61:FD63" si="175">IFERROR(IF(ED$28="FALSE",0,$C$61/$C$8),0)</f>
        <v>0</v>
      </c>
      <c r="EE61" s="52">
        <f t="shared" si="175"/>
        <v>0</v>
      </c>
      <c r="EF61" s="52">
        <f t="shared" si="175"/>
        <v>0</v>
      </c>
      <c r="EG61" s="52">
        <f t="shared" si="175"/>
        <v>0</v>
      </c>
      <c r="EH61" s="52">
        <f t="shared" si="175"/>
        <v>0</v>
      </c>
      <c r="EI61" s="52">
        <f t="shared" si="175"/>
        <v>0</v>
      </c>
      <c r="EJ61" s="52">
        <f t="shared" si="175"/>
        <v>0</v>
      </c>
      <c r="EK61" s="52">
        <f t="shared" si="175"/>
        <v>0</v>
      </c>
      <c r="EL61" s="52">
        <f t="shared" si="175"/>
        <v>0</v>
      </c>
      <c r="EM61" s="52">
        <f t="shared" si="175"/>
        <v>0</v>
      </c>
      <c r="EN61" s="52">
        <f t="shared" si="175"/>
        <v>0</v>
      </c>
      <c r="EO61" s="52">
        <f t="shared" si="175"/>
        <v>0</v>
      </c>
      <c r="EP61" s="52">
        <f t="shared" si="175"/>
        <v>0</v>
      </c>
      <c r="EQ61" s="52">
        <f t="shared" si="175"/>
        <v>0</v>
      </c>
      <c r="ER61" s="52">
        <f t="shared" si="175"/>
        <v>0</v>
      </c>
      <c r="ES61" s="52">
        <f t="shared" si="175"/>
        <v>0</v>
      </c>
      <c r="ET61" s="52">
        <f t="shared" si="175"/>
        <v>0</v>
      </c>
      <c r="EU61" s="52">
        <f t="shared" si="175"/>
        <v>0</v>
      </c>
      <c r="EV61" s="52">
        <f t="shared" si="175"/>
        <v>0</v>
      </c>
      <c r="EW61" s="52">
        <f t="shared" si="175"/>
        <v>0</v>
      </c>
      <c r="EX61" s="52">
        <f t="shared" si="175"/>
        <v>0</v>
      </c>
      <c r="EY61" s="52">
        <f t="shared" si="175"/>
        <v>0</v>
      </c>
      <c r="EZ61" s="52">
        <f t="shared" si="175"/>
        <v>0</v>
      </c>
      <c r="FA61" s="52">
        <f t="shared" si="175"/>
        <v>0</v>
      </c>
      <c r="FB61" s="52">
        <f t="shared" si="175"/>
        <v>0</v>
      </c>
      <c r="FC61" s="52">
        <f t="shared" si="175"/>
        <v>0</v>
      </c>
      <c r="FD61" s="52">
        <f t="shared" si="175"/>
        <v>0</v>
      </c>
    </row>
    <row r="62" spans="2:160">
      <c r="B62" s="23" t="s">
        <v>283</v>
      </c>
      <c r="C62" s="52">
        <f ca="1">IF(Startup!$C$3="Project",SUMIF(Startup!$C$7:$D$27,Overview!B62,Startup!$D$7:$D$27),(SUMIF(Startup!$C$7:$D$27,Overview!B62,Startup!$D$7:$D$27)*Startup!$C$4))+IF(Pilot!$C$3="Project",SUMIF(Pilot!$C$7:$D$27,Overview!B62,Pilot!$D$7:$D$27),(SUMIF(Pilot!$C$7:$D$27,Overview!B62,Pilot!$D$7:$D$27)*Pilot!$C$4))+IF(PMO!$C$3="Project",SUMIF(PMO!$C$7:$D$27,Overview!B62,PMO!$D$7:$D$27),(SUMIF(PMO!$C$7:$D$27,Overview!B62,PMO!$D$7:$D$27)*PMO!$C$4))+IF('Design &amp; Fulfillment'!$C$3="Project",SUMIF('Design &amp; Fulfillment'!$C$7:$D$27,Overview!B62,'Design &amp; Fulfillment'!$D$7:$D$27),(SUMIF('Design &amp; Fulfillment'!$C$7:$D$27,Overview!B62,'Design &amp; Fulfillment'!$D$7:$D$27)*'Design &amp; Fulfillment'!$C$4))+IF(Workplace!$C$3="Project",SUMIF(Workplace!$C$7:$D$27,Overview!B62,Workplace!$D$7:$D$27),(SUMIF(Workplace!$C$7:$D$27,Overview!B62,Workplace!$D$7:$D$27)*Workplace!$C$4))+IF(Integration!$C$3="Project",SUMIF(Integration!$C$7:$D$27,Overview!B62,Integration!$D$7:$D$27),(SUMIF(Integration!$C$7:$D$27,Overview!B62,Integration!$D$7:$D$27)*Integration!$C$4))+IF(Logistics!$C$3="Project",SUMIF(Logistics!$C$7:$D$27,Overview!B62,Logistics!$D$7:$D$27),(SUMIF(Logistics!$C$7:$D$27,Overview!B62,Logistics!$D$7:$D$27)*Logistics!$C$4))+IF('Service Desk'!$C$3="Project",SUMIF('Service Desk'!$C$7:$D$27,Overview!B62,'Service Desk'!$D$7:$D$27),(SUMIF('Service Desk'!$C$7:$D$27,Overview!B62,'Service Desk'!$D$7:$D$27)*'Service Desk'!$C$4))+IF('Pro Services'!$C$3="Project",SUMIF('Pro Services'!$C$7:$D$27,Overview!B62,'Pro Services'!$D$7:$D$27),(SUMIF('Pro Services'!$C$7:$D$27,Overview!B62,'Pro Services'!$D$7:$D$27)*'Pro Services'!$C$4))</f>
        <v>0</v>
      </c>
      <c r="D62" s="53">
        <f ca="1">IF(Startup!$C$3="Project",SUMIF(Startup!$C$7:$H$27,Overview!B62,Startup!$H$7:$H$27),(SUMIF(Startup!$C$7:$H$27,Overview!B62,Startup!$H$7:$H$27)*Startup!$C$4))+IF(Pilot!$C$3="Project",SUMIF(Pilot!$C$7:$H$27,Overview!B62,Pilot!$H$7:$H$27),(SUMIF(Pilot!$C$7:$H$27,Overview!B62,Pilot!$H$7:$H$27)*Pilot!$C$4))+IF(PMO!$C$3="Project",SUMIF(PMO!$C$7:$H$27,Overview!B62,PMO!$H$7:$H$27),(SUMIF(PMO!$C$7:$H$27,Overview!B62,PMO!$H$7:$H$27)*PMO!$C$4))+IF('Design &amp; Fulfillment'!$C$3="Project",SUMIF('Design &amp; Fulfillment'!$C$7:$H$27,Overview!B62,'Design &amp; Fulfillment'!$H$7:$H$27),(SUMIF('Design &amp; Fulfillment'!$C$7:$H$27,Overview!B62,'Design &amp; Fulfillment'!$H$7:$H$27)*'Design &amp; Fulfillment'!$C$4))+IF(Workplace!$C$3="Project",SUMIF(Workplace!$C$7:$H$27,Overview!B62,Workplace!$H$7:$H$27),(SUMIF(Workplace!$C$7:$H$27,Overview!B62,Workplace!$H$7:$H$27)*Workplace!$C$4))+IF(Integration!$C$3="Project",SUMIF(Integration!$C$7:$H$27,Overview!B62,Integration!$H$7:$H$27),(SUMIF(Integration!$C$7:$H$27,Overview!B62,Integration!$H$7:$H$27)*Integration!$C$4))+IF(Logistics!$C$3="Project",SUMIF(Logistics!$C$7:$H$27,Overview!B62,Logistics!$H$7:$H$27),(SUMIF(Logistics!$C$7:$H$27,Overview!B62,Logistics!$H$7:$H$27)*Logistics!$C$4))+IF('Service Desk'!$C$3="Project",SUMIF('Service Desk'!$C$7:$H$27,Overview!B62,'Service Desk'!$H$7:$H$27),(SUMIF('Service Desk'!$C$7:$H$27,Overview!B62,'Service Desk'!$H$7:$H$27)*'Service Desk'!$C$4))+IF('Pro Services'!$C$3="Project",SUMIF('Pro Services'!$C$7:$H$27,Overview!B62,'Pro Services'!$H$7:$H$27),(SUMIF('Pro Services'!$C$7:$H$27,Overview!B62,'Pro Services'!$H$7:$H$27)*'Pro Services'!$C$4))</f>
        <v>0</v>
      </c>
      <c r="E62" s="52">
        <f ca="1">IFERROR(C62/$C$8,0)</f>
        <v>0</v>
      </c>
      <c r="F62" s="52">
        <f t="shared" si="171"/>
        <v>0</v>
      </c>
      <c r="G62" s="52">
        <f t="shared" si="171"/>
        <v>0</v>
      </c>
      <c r="H62" s="52">
        <f t="shared" si="171"/>
        <v>0</v>
      </c>
      <c r="I62" s="52">
        <f t="shared" si="171"/>
        <v>0</v>
      </c>
      <c r="J62" s="52">
        <f t="shared" si="171"/>
        <v>0</v>
      </c>
      <c r="K62" s="52">
        <f t="shared" si="171"/>
        <v>0</v>
      </c>
      <c r="L62" s="52">
        <f t="shared" si="171"/>
        <v>0</v>
      </c>
      <c r="M62" s="52">
        <f t="shared" si="171"/>
        <v>0</v>
      </c>
      <c r="N62" s="52">
        <f t="shared" si="171"/>
        <v>0</v>
      </c>
      <c r="O62" s="52">
        <f t="shared" si="171"/>
        <v>0</v>
      </c>
      <c r="P62" s="52">
        <f t="shared" si="171"/>
        <v>0</v>
      </c>
      <c r="Q62" s="52">
        <f t="shared" si="171"/>
        <v>0</v>
      </c>
      <c r="R62" s="52">
        <f t="shared" si="171"/>
        <v>0</v>
      </c>
      <c r="S62" s="52">
        <f t="shared" si="171"/>
        <v>0</v>
      </c>
      <c r="T62" s="52">
        <f t="shared" si="171"/>
        <v>0</v>
      </c>
      <c r="U62" s="52">
        <f t="shared" si="171"/>
        <v>0</v>
      </c>
      <c r="V62" s="52">
        <f t="shared" si="171"/>
        <v>0</v>
      </c>
      <c r="W62" s="52">
        <f t="shared" si="171"/>
        <v>0</v>
      </c>
      <c r="X62" s="52">
        <f t="shared" si="171"/>
        <v>0</v>
      </c>
      <c r="Y62" s="52">
        <f t="shared" si="171"/>
        <v>0</v>
      </c>
      <c r="Z62" s="52">
        <f t="shared" si="171"/>
        <v>0</v>
      </c>
      <c r="AA62" s="52">
        <f t="shared" si="171"/>
        <v>0</v>
      </c>
      <c r="AB62" s="52">
        <f t="shared" si="171"/>
        <v>0</v>
      </c>
      <c r="AC62" s="52">
        <f t="shared" si="171"/>
        <v>0</v>
      </c>
      <c r="AD62" s="52">
        <f t="shared" si="171"/>
        <v>0</v>
      </c>
      <c r="AE62" s="52">
        <f t="shared" si="171"/>
        <v>0</v>
      </c>
      <c r="AF62" s="52">
        <f t="shared" si="171"/>
        <v>0</v>
      </c>
      <c r="AG62" s="52">
        <f t="shared" si="171"/>
        <v>0</v>
      </c>
      <c r="AH62" s="52">
        <f t="shared" si="171"/>
        <v>0</v>
      </c>
      <c r="AI62" s="52">
        <f t="shared" si="171"/>
        <v>0</v>
      </c>
      <c r="AJ62" s="52">
        <f t="shared" si="171"/>
        <v>0</v>
      </c>
      <c r="AK62" s="52">
        <f t="shared" si="171"/>
        <v>0</v>
      </c>
      <c r="AL62" s="52">
        <f t="shared" si="172"/>
        <v>0</v>
      </c>
      <c r="AM62" s="52">
        <f t="shared" si="172"/>
        <v>0</v>
      </c>
      <c r="AN62" s="52">
        <f t="shared" si="172"/>
        <v>0</v>
      </c>
      <c r="AO62" s="52">
        <f t="shared" si="172"/>
        <v>0</v>
      </c>
      <c r="AP62" s="52">
        <f t="shared" si="172"/>
        <v>0</v>
      </c>
      <c r="AQ62" s="52">
        <f t="shared" si="172"/>
        <v>0</v>
      </c>
      <c r="AR62" s="52">
        <f t="shared" si="172"/>
        <v>0</v>
      </c>
      <c r="AS62" s="52">
        <f t="shared" si="172"/>
        <v>0</v>
      </c>
      <c r="AT62" s="52">
        <f t="shared" si="172"/>
        <v>0</v>
      </c>
      <c r="AU62" s="52">
        <f t="shared" si="172"/>
        <v>0</v>
      </c>
      <c r="AV62" s="52">
        <f t="shared" si="172"/>
        <v>0</v>
      </c>
      <c r="AW62" s="52">
        <f t="shared" si="172"/>
        <v>0</v>
      </c>
      <c r="AX62" s="52">
        <f t="shared" si="172"/>
        <v>0</v>
      </c>
      <c r="AY62" s="52">
        <f t="shared" si="172"/>
        <v>0</v>
      </c>
      <c r="AZ62" s="52">
        <f t="shared" si="172"/>
        <v>0</v>
      </c>
      <c r="BA62" s="52">
        <f t="shared" si="172"/>
        <v>0</v>
      </c>
      <c r="BB62" s="52">
        <f t="shared" si="172"/>
        <v>0</v>
      </c>
      <c r="BC62" s="52">
        <f t="shared" si="172"/>
        <v>0</v>
      </c>
      <c r="BD62" s="52">
        <f t="shared" si="172"/>
        <v>0</v>
      </c>
      <c r="BE62" s="52">
        <f t="shared" si="172"/>
        <v>0</v>
      </c>
      <c r="BF62" s="52">
        <f t="shared" si="172"/>
        <v>0</v>
      </c>
      <c r="BG62" s="52">
        <f t="shared" si="172"/>
        <v>0</v>
      </c>
      <c r="BH62" s="52">
        <f t="shared" si="172"/>
        <v>0</v>
      </c>
      <c r="BI62" s="52">
        <f t="shared" si="172"/>
        <v>0</v>
      </c>
      <c r="BJ62" s="52">
        <f t="shared" si="172"/>
        <v>0</v>
      </c>
      <c r="BK62" s="52">
        <f t="shared" si="172"/>
        <v>0</v>
      </c>
      <c r="BL62" s="52">
        <f t="shared" si="172"/>
        <v>0</v>
      </c>
      <c r="BM62" s="52">
        <f t="shared" si="172"/>
        <v>0</v>
      </c>
      <c r="BN62" s="52">
        <f t="shared" si="172"/>
        <v>0</v>
      </c>
      <c r="BO62" s="52">
        <f t="shared" si="172"/>
        <v>0</v>
      </c>
      <c r="BP62" s="52">
        <f t="shared" si="172"/>
        <v>0</v>
      </c>
      <c r="BQ62" s="52">
        <f t="shared" si="172"/>
        <v>0</v>
      </c>
      <c r="BR62" s="52">
        <f t="shared" si="173"/>
        <v>0</v>
      </c>
      <c r="BS62" s="52">
        <f t="shared" si="173"/>
        <v>0</v>
      </c>
      <c r="BT62" s="52">
        <f t="shared" si="173"/>
        <v>0</v>
      </c>
      <c r="BU62" s="52">
        <f t="shared" si="173"/>
        <v>0</v>
      </c>
      <c r="BV62" s="52">
        <f t="shared" si="173"/>
        <v>0</v>
      </c>
      <c r="BW62" s="52">
        <f t="shared" si="173"/>
        <v>0</v>
      </c>
      <c r="BX62" s="52">
        <f t="shared" si="173"/>
        <v>0</v>
      </c>
      <c r="BY62" s="52">
        <f t="shared" si="173"/>
        <v>0</v>
      </c>
      <c r="BZ62" s="52">
        <f t="shared" si="173"/>
        <v>0</v>
      </c>
      <c r="CA62" s="52">
        <f t="shared" si="173"/>
        <v>0</v>
      </c>
      <c r="CB62" s="52">
        <f t="shared" si="173"/>
        <v>0</v>
      </c>
      <c r="CC62" s="52">
        <f t="shared" si="173"/>
        <v>0</v>
      </c>
      <c r="CD62" s="52">
        <f t="shared" si="173"/>
        <v>0</v>
      </c>
      <c r="CE62" s="52">
        <f t="shared" si="173"/>
        <v>0</v>
      </c>
      <c r="CF62" s="52">
        <f t="shared" si="173"/>
        <v>0</v>
      </c>
      <c r="CG62" s="52">
        <f t="shared" si="173"/>
        <v>0</v>
      </c>
      <c r="CH62" s="52">
        <f t="shared" si="173"/>
        <v>0</v>
      </c>
      <c r="CI62" s="52">
        <f t="shared" si="173"/>
        <v>0</v>
      </c>
      <c r="CJ62" s="52">
        <f t="shared" si="173"/>
        <v>0</v>
      </c>
      <c r="CK62" s="52">
        <f t="shared" si="173"/>
        <v>0</v>
      </c>
      <c r="CL62" s="52">
        <f t="shared" si="173"/>
        <v>0</v>
      </c>
      <c r="CM62" s="52">
        <f t="shared" si="173"/>
        <v>0</v>
      </c>
      <c r="CN62" s="52">
        <f t="shared" si="173"/>
        <v>0</v>
      </c>
      <c r="CO62" s="52">
        <f t="shared" si="173"/>
        <v>0</v>
      </c>
      <c r="CP62" s="52">
        <f t="shared" si="173"/>
        <v>0</v>
      </c>
      <c r="CQ62" s="52">
        <f t="shared" si="173"/>
        <v>0</v>
      </c>
      <c r="CR62" s="52">
        <f t="shared" si="173"/>
        <v>0</v>
      </c>
      <c r="CS62" s="52">
        <f t="shared" si="173"/>
        <v>0</v>
      </c>
      <c r="CT62" s="52">
        <f t="shared" si="173"/>
        <v>0</v>
      </c>
      <c r="CU62" s="52">
        <f t="shared" si="173"/>
        <v>0</v>
      </c>
      <c r="CV62" s="52">
        <f t="shared" si="173"/>
        <v>0</v>
      </c>
      <c r="CW62" s="52">
        <f t="shared" si="173"/>
        <v>0</v>
      </c>
      <c r="CX62" s="52">
        <f t="shared" si="174"/>
        <v>0</v>
      </c>
      <c r="CY62" s="52">
        <f t="shared" si="174"/>
        <v>0</v>
      </c>
      <c r="CZ62" s="52">
        <f t="shared" si="174"/>
        <v>0</v>
      </c>
      <c r="DA62" s="52">
        <f t="shared" si="174"/>
        <v>0</v>
      </c>
      <c r="DB62" s="52">
        <f t="shared" si="174"/>
        <v>0</v>
      </c>
      <c r="DC62" s="52">
        <f t="shared" si="174"/>
        <v>0</v>
      </c>
      <c r="DD62" s="52">
        <f t="shared" si="174"/>
        <v>0</v>
      </c>
      <c r="DE62" s="52">
        <f t="shared" si="174"/>
        <v>0</v>
      </c>
      <c r="DF62" s="52">
        <f t="shared" si="174"/>
        <v>0</v>
      </c>
      <c r="DG62" s="52">
        <f t="shared" si="174"/>
        <v>0</v>
      </c>
      <c r="DH62" s="52">
        <f t="shared" si="174"/>
        <v>0</v>
      </c>
      <c r="DI62" s="52">
        <f t="shared" si="174"/>
        <v>0</v>
      </c>
      <c r="DJ62" s="52">
        <f t="shared" si="174"/>
        <v>0</v>
      </c>
      <c r="DK62" s="52">
        <f t="shared" si="174"/>
        <v>0</v>
      </c>
      <c r="DL62" s="52">
        <f t="shared" si="174"/>
        <v>0</v>
      </c>
      <c r="DM62" s="52">
        <f t="shared" si="174"/>
        <v>0</v>
      </c>
      <c r="DN62" s="52">
        <f t="shared" si="174"/>
        <v>0</v>
      </c>
      <c r="DO62" s="52">
        <f t="shared" si="174"/>
        <v>0</v>
      </c>
      <c r="DP62" s="52">
        <f t="shared" si="174"/>
        <v>0</v>
      </c>
      <c r="DQ62" s="52">
        <f t="shared" si="174"/>
        <v>0</v>
      </c>
      <c r="DR62" s="52">
        <f t="shared" si="174"/>
        <v>0</v>
      </c>
      <c r="DS62" s="52">
        <f t="shared" si="174"/>
        <v>0</v>
      </c>
      <c r="DT62" s="52">
        <f t="shared" si="174"/>
        <v>0</v>
      </c>
      <c r="DU62" s="52">
        <f t="shared" si="174"/>
        <v>0</v>
      </c>
      <c r="DV62" s="52">
        <f t="shared" si="174"/>
        <v>0</v>
      </c>
      <c r="DW62" s="52">
        <f t="shared" si="174"/>
        <v>0</v>
      </c>
      <c r="DX62" s="52">
        <f t="shared" si="174"/>
        <v>0</v>
      </c>
      <c r="DY62" s="52">
        <f t="shared" si="174"/>
        <v>0</v>
      </c>
      <c r="DZ62" s="52">
        <f t="shared" si="174"/>
        <v>0</v>
      </c>
      <c r="EA62" s="52">
        <f t="shared" si="174"/>
        <v>0</v>
      </c>
      <c r="EB62" s="52">
        <f t="shared" si="174"/>
        <v>0</v>
      </c>
      <c r="EC62" s="52">
        <f t="shared" si="174"/>
        <v>0</v>
      </c>
      <c r="ED62" s="52">
        <f t="shared" si="175"/>
        <v>0</v>
      </c>
      <c r="EE62" s="52">
        <f t="shared" si="175"/>
        <v>0</v>
      </c>
      <c r="EF62" s="52">
        <f t="shared" si="175"/>
        <v>0</v>
      </c>
      <c r="EG62" s="52">
        <f t="shared" si="175"/>
        <v>0</v>
      </c>
      <c r="EH62" s="52">
        <f t="shared" si="175"/>
        <v>0</v>
      </c>
      <c r="EI62" s="52">
        <f t="shared" si="175"/>
        <v>0</v>
      </c>
      <c r="EJ62" s="52">
        <f t="shared" si="175"/>
        <v>0</v>
      </c>
      <c r="EK62" s="52">
        <f t="shared" si="175"/>
        <v>0</v>
      </c>
      <c r="EL62" s="52">
        <f t="shared" si="175"/>
        <v>0</v>
      </c>
      <c r="EM62" s="52">
        <f t="shared" si="175"/>
        <v>0</v>
      </c>
      <c r="EN62" s="52">
        <f t="shared" si="175"/>
        <v>0</v>
      </c>
      <c r="EO62" s="52">
        <f t="shared" si="175"/>
        <v>0</v>
      </c>
      <c r="EP62" s="52">
        <f t="shared" si="175"/>
        <v>0</v>
      </c>
      <c r="EQ62" s="52">
        <f t="shared" si="175"/>
        <v>0</v>
      </c>
      <c r="ER62" s="52">
        <f t="shared" si="175"/>
        <v>0</v>
      </c>
      <c r="ES62" s="52">
        <f t="shared" si="175"/>
        <v>0</v>
      </c>
      <c r="ET62" s="52">
        <f t="shared" si="175"/>
        <v>0</v>
      </c>
      <c r="EU62" s="52">
        <f t="shared" si="175"/>
        <v>0</v>
      </c>
      <c r="EV62" s="52">
        <f t="shared" si="175"/>
        <v>0</v>
      </c>
      <c r="EW62" s="52">
        <f t="shared" si="175"/>
        <v>0</v>
      </c>
      <c r="EX62" s="52">
        <f t="shared" si="175"/>
        <v>0</v>
      </c>
      <c r="EY62" s="52">
        <f t="shared" si="175"/>
        <v>0</v>
      </c>
      <c r="EZ62" s="52">
        <f t="shared" si="175"/>
        <v>0</v>
      </c>
      <c r="FA62" s="52">
        <f t="shared" si="175"/>
        <v>0</v>
      </c>
      <c r="FB62" s="52">
        <f t="shared" si="175"/>
        <v>0</v>
      </c>
      <c r="FC62" s="52">
        <f t="shared" si="175"/>
        <v>0</v>
      </c>
      <c r="FD62" s="52"/>
    </row>
    <row r="63" spans="2:160">
      <c r="B63" s="23" t="s">
        <v>284</v>
      </c>
      <c r="C63" s="52">
        <f ca="1">IF(Startup!$C$3="Project",SUMIF(Startup!$C$7:$D$27,Overview!B63,Startup!$D$7:$D$27),(SUMIF(Startup!$C$7:$D$27,Overview!B63,Startup!$D$7:$D$27)*Startup!$C$4))+IF(Pilot!$C$3="Project",SUMIF(Pilot!$C$7:$D$27,Overview!B63,Pilot!$D$7:$D$27),(SUMIF(Pilot!$C$7:$D$27,Overview!B63,Pilot!$D$7:$D$27)*Pilot!$C$4))+IF(PMO!$C$3="Project",SUMIF(PMO!$C$7:$D$27,Overview!B63,PMO!$D$7:$D$27),(SUMIF(PMO!$C$7:$D$27,Overview!B63,PMO!$D$7:$D$27)*PMO!$C$4))+IF('Design &amp; Fulfillment'!$C$3="Project",SUMIF('Design &amp; Fulfillment'!$C$7:$D$27,Overview!B63,'Design &amp; Fulfillment'!$D$7:$D$27),(SUMIF('Design &amp; Fulfillment'!$C$7:$D$27,Overview!B63,'Design &amp; Fulfillment'!$D$7:$D$27)*'Design &amp; Fulfillment'!$C$4))+IF(Workplace!$C$3="Project",SUMIF(Workplace!$C$7:$D$27,Overview!B63,Workplace!$D$7:$D$27),(SUMIF(Workplace!$C$7:$D$27,Overview!B63,Workplace!$D$7:$D$27)*Workplace!$C$4))+IF(Integration!$C$3="Project",SUMIF(Integration!$C$7:$D$27,Overview!B63,Integration!$D$7:$D$27),(SUMIF(Integration!$C$7:$D$27,Overview!B63,Integration!$D$7:$D$27)*Integration!$C$4))+IF(Logistics!$C$3="Project",SUMIF(Logistics!$C$7:$D$27,Overview!B63,Logistics!$D$7:$D$27),(SUMIF(Logistics!$C$7:$D$27,Overview!B63,Logistics!$D$7:$D$27)*Logistics!$C$4))+IF('Service Desk'!$C$3="Project",SUMIF('Service Desk'!$C$7:$D$27,Overview!B63,'Service Desk'!$D$7:$D$27),(SUMIF('Service Desk'!$C$7:$D$27,Overview!B63,'Service Desk'!$D$7:$D$27)*'Service Desk'!$C$4))+IF('Pro Services'!$C$3="Project",SUMIF('Pro Services'!$C$7:$D$27,Overview!B63,'Pro Services'!$D$7:$D$27),(SUMIF('Pro Services'!$C$7:$D$27,Overview!B63,'Pro Services'!$D$7:$D$27)*'Pro Services'!$C$4))</f>
        <v>0</v>
      </c>
      <c r="D63" s="53">
        <f ca="1">IF(Startup!$C$3="Project",SUMIF(Startup!$C$7:$H$27,Overview!B63,Startup!$H$7:$H$27),(SUMIF(Startup!$C$7:$H$27,Overview!B63,Startup!$H$7:$H$27)*Startup!$C$4))+IF(Pilot!$C$3="Project",SUMIF(Pilot!$C$7:$H$27,Overview!B63,Pilot!$H$7:$H$27),(SUMIF(Pilot!$C$7:$H$27,Overview!B63,Pilot!$H$7:$H$27)*Pilot!$C$4))+IF(PMO!$C$3="Project",SUMIF(PMO!$C$7:$H$27,Overview!B63,PMO!$H$7:$H$27),(SUMIF(PMO!$C$7:$H$27,Overview!B63,PMO!$H$7:$H$27)*PMO!$C$4))+IF('Design &amp; Fulfillment'!$C$3="Project",SUMIF('Design &amp; Fulfillment'!$C$7:$H$27,Overview!B63,'Design &amp; Fulfillment'!$H$7:$H$27),(SUMIF('Design &amp; Fulfillment'!$C$7:$H$27,Overview!B63,'Design &amp; Fulfillment'!$H$7:$H$27)*'Design &amp; Fulfillment'!$C$4))+IF(Workplace!$C$3="Project",SUMIF(Workplace!$C$7:$H$27,Overview!B63,Workplace!$H$7:$H$27),(SUMIF(Workplace!$C$7:$H$27,Overview!B63,Workplace!$H$7:$H$27)*Workplace!$C$4))+IF(Integration!$C$3="Project",SUMIF(Integration!$C$7:$H$27,Overview!B63,Integration!$H$7:$H$27),(SUMIF(Integration!$C$7:$H$27,Overview!B63,Integration!$H$7:$H$27)*Integration!$C$4))+IF(Logistics!$C$3="Project",SUMIF(Logistics!$C$7:$H$27,Overview!B63,Logistics!$H$7:$H$27),(SUMIF(Logistics!$C$7:$H$27,Overview!B63,Logistics!$H$7:$H$27)*Logistics!$C$4))+IF('Service Desk'!$C$3="Project",SUMIF('Service Desk'!$C$7:$H$27,Overview!B63,'Service Desk'!$H$7:$H$27),(SUMIF('Service Desk'!$C$7:$H$27,Overview!B63,'Service Desk'!$H$7:$H$27)*'Service Desk'!$C$4))+IF('Pro Services'!$C$3="Project",SUMIF('Pro Services'!$C$7:$H$27,Overview!B63,'Pro Services'!$H$7:$H$27),(SUMIF('Pro Services'!$C$7:$H$27,Overview!B63,'Pro Services'!$H$7:$H$27)*'Pro Services'!$C$4))</f>
        <v>0</v>
      </c>
      <c r="E63" s="52">
        <f t="shared" ref="E63" ca="1" si="176">IFERROR(C63/$C$8,0)</f>
        <v>0</v>
      </c>
      <c r="F63" s="52">
        <f t="shared" si="171"/>
        <v>0</v>
      </c>
      <c r="G63" s="52">
        <f t="shared" si="171"/>
        <v>0</v>
      </c>
      <c r="H63" s="52">
        <f t="shared" si="171"/>
        <v>0</v>
      </c>
      <c r="I63" s="52">
        <f t="shared" si="171"/>
        <v>0</v>
      </c>
      <c r="J63" s="52">
        <f t="shared" si="171"/>
        <v>0</v>
      </c>
      <c r="K63" s="52">
        <f t="shared" si="171"/>
        <v>0</v>
      </c>
      <c r="L63" s="52">
        <f t="shared" si="171"/>
        <v>0</v>
      </c>
      <c r="M63" s="52">
        <f t="shared" si="171"/>
        <v>0</v>
      </c>
      <c r="N63" s="52">
        <f t="shared" si="171"/>
        <v>0</v>
      </c>
      <c r="O63" s="52">
        <f t="shared" si="171"/>
        <v>0</v>
      </c>
      <c r="P63" s="52">
        <f t="shared" si="171"/>
        <v>0</v>
      </c>
      <c r="Q63" s="52">
        <f t="shared" si="171"/>
        <v>0</v>
      </c>
      <c r="R63" s="52">
        <f t="shared" si="171"/>
        <v>0</v>
      </c>
      <c r="S63" s="52">
        <f t="shared" si="171"/>
        <v>0</v>
      </c>
      <c r="T63" s="52">
        <f t="shared" si="171"/>
        <v>0</v>
      </c>
      <c r="U63" s="52">
        <f t="shared" si="171"/>
        <v>0</v>
      </c>
      <c r="V63" s="52">
        <f t="shared" si="171"/>
        <v>0</v>
      </c>
      <c r="W63" s="52">
        <f t="shared" si="171"/>
        <v>0</v>
      </c>
      <c r="X63" s="52">
        <f t="shared" si="171"/>
        <v>0</v>
      </c>
      <c r="Y63" s="52">
        <f t="shared" si="171"/>
        <v>0</v>
      </c>
      <c r="Z63" s="52">
        <f t="shared" si="171"/>
        <v>0</v>
      </c>
      <c r="AA63" s="52">
        <f t="shared" si="171"/>
        <v>0</v>
      </c>
      <c r="AB63" s="52">
        <f t="shared" si="171"/>
        <v>0</v>
      </c>
      <c r="AC63" s="52">
        <f t="shared" si="171"/>
        <v>0</v>
      </c>
      <c r="AD63" s="52">
        <f t="shared" si="171"/>
        <v>0</v>
      </c>
      <c r="AE63" s="52">
        <f t="shared" si="171"/>
        <v>0</v>
      </c>
      <c r="AF63" s="52">
        <f t="shared" si="171"/>
        <v>0</v>
      </c>
      <c r="AG63" s="52">
        <f t="shared" si="171"/>
        <v>0</v>
      </c>
      <c r="AH63" s="52">
        <f t="shared" si="171"/>
        <v>0</v>
      </c>
      <c r="AI63" s="52">
        <f t="shared" si="171"/>
        <v>0</v>
      </c>
      <c r="AJ63" s="52">
        <f t="shared" si="171"/>
        <v>0</v>
      </c>
      <c r="AK63" s="52">
        <f t="shared" si="171"/>
        <v>0</v>
      </c>
      <c r="AL63" s="52">
        <f t="shared" si="172"/>
        <v>0</v>
      </c>
      <c r="AM63" s="52">
        <f t="shared" si="172"/>
        <v>0</v>
      </c>
      <c r="AN63" s="52">
        <f t="shared" si="172"/>
        <v>0</v>
      </c>
      <c r="AO63" s="52">
        <f t="shared" si="172"/>
        <v>0</v>
      </c>
      <c r="AP63" s="52">
        <f t="shared" si="172"/>
        <v>0</v>
      </c>
      <c r="AQ63" s="52">
        <f t="shared" si="172"/>
        <v>0</v>
      </c>
      <c r="AR63" s="52">
        <f t="shared" si="172"/>
        <v>0</v>
      </c>
      <c r="AS63" s="52">
        <f t="shared" si="172"/>
        <v>0</v>
      </c>
      <c r="AT63" s="52">
        <f t="shared" si="172"/>
        <v>0</v>
      </c>
      <c r="AU63" s="52">
        <f t="shared" si="172"/>
        <v>0</v>
      </c>
      <c r="AV63" s="52">
        <f t="shared" si="172"/>
        <v>0</v>
      </c>
      <c r="AW63" s="52">
        <f t="shared" si="172"/>
        <v>0</v>
      </c>
      <c r="AX63" s="52">
        <f t="shared" si="172"/>
        <v>0</v>
      </c>
      <c r="AY63" s="52">
        <f t="shared" si="172"/>
        <v>0</v>
      </c>
      <c r="AZ63" s="52">
        <f t="shared" si="172"/>
        <v>0</v>
      </c>
      <c r="BA63" s="52">
        <f t="shared" si="172"/>
        <v>0</v>
      </c>
      <c r="BB63" s="52">
        <f t="shared" si="172"/>
        <v>0</v>
      </c>
      <c r="BC63" s="52">
        <f t="shared" si="172"/>
        <v>0</v>
      </c>
      <c r="BD63" s="52">
        <f t="shared" si="172"/>
        <v>0</v>
      </c>
      <c r="BE63" s="52">
        <f t="shared" si="172"/>
        <v>0</v>
      </c>
      <c r="BF63" s="52">
        <f t="shared" si="172"/>
        <v>0</v>
      </c>
      <c r="BG63" s="52">
        <f t="shared" si="172"/>
        <v>0</v>
      </c>
      <c r="BH63" s="52">
        <f t="shared" si="172"/>
        <v>0</v>
      </c>
      <c r="BI63" s="52">
        <f t="shared" si="172"/>
        <v>0</v>
      </c>
      <c r="BJ63" s="52">
        <f t="shared" si="172"/>
        <v>0</v>
      </c>
      <c r="BK63" s="52">
        <f t="shared" si="172"/>
        <v>0</v>
      </c>
      <c r="BL63" s="52">
        <f t="shared" si="172"/>
        <v>0</v>
      </c>
      <c r="BM63" s="52">
        <f t="shared" si="172"/>
        <v>0</v>
      </c>
      <c r="BN63" s="52">
        <f t="shared" si="172"/>
        <v>0</v>
      </c>
      <c r="BO63" s="52">
        <f t="shared" si="172"/>
        <v>0</v>
      </c>
      <c r="BP63" s="52">
        <f t="shared" si="172"/>
        <v>0</v>
      </c>
      <c r="BQ63" s="52">
        <f t="shared" si="172"/>
        <v>0</v>
      </c>
      <c r="BR63" s="52">
        <f t="shared" si="173"/>
        <v>0</v>
      </c>
      <c r="BS63" s="52">
        <f t="shared" si="173"/>
        <v>0</v>
      </c>
      <c r="BT63" s="52">
        <f t="shared" si="173"/>
        <v>0</v>
      </c>
      <c r="BU63" s="52">
        <f t="shared" si="173"/>
        <v>0</v>
      </c>
      <c r="BV63" s="52">
        <f t="shared" si="173"/>
        <v>0</v>
      </c>
      <c r="BW63" s="52">
        <f t="shared" si="173"/>
        <v>0</v>
      </c>
      <c r="BX63" s="52">
        <f t="shared" si="173"/>
        <v>0</v>
      </c>
      <c r="BY63" s="52">
        <f t="shared" si="173"/>
        <v>0</v>
      </c>
      <c r="BZ63" s="52">
        <f t="shared" si="173"/>
        <v>0</v>
      </c>
      <c r="CA63" s="52">
        <f t="shared" si="173"/>
        <v>0</v>
      </c>
      <c r="CB63" s="52">
        <f t="shared" si="173"/>
        <v>0</v>
      </c>
      <c r="CC63" s="52">
        <f t="shared" si="173"/>
        <v>0</v>
      </c>
      <c r="CD63" s="52">
        <f t="shared" si="173"/>
        <v>0</v>
      </c>
      <c r="CE63" s="52">
        <f t="shared" si="173"/>
        <v>0</v>
      </c>
      <c r="CF63" s="52">
        <f t="shared" si="173"/>
        <v>0</v>
      </c>
      <c r="CG63" s="52">
        <f t="shared" si="173"/>
        <v>0</v>
      </c>
      <c r="CH63" s="52">
        <f t="shared" si="173"/>
        <v>0</v>
      </c>
      <c r="CI63" s="52">
        <f t="shared" si="173"/>
        <v>0</v>
      </c>
      <c r="CJ63" s="52">
        <f t="shared" si="173"/>
        <v>0</v>
      </c>
      <c r="CK63" s="52">
        <f t="shared" si="173"/>
        <v>0</v>
      </c>
      <c r="CL63" s="52">
        <f t="shared" si="173"/>
        <v>0</v>
      </c>
      <c r="CM63" s="52">
        <f t="shared" si="173"/>
        <v>0</v>
      </c>
      <c r="CN63" s="52">
        <f t="shared" si="173"/>
        <v>0</v>
      </c>
      <c r="CO63" s="52">
        <f t="shared" si="173"/>
        <v>0</v>
      </c>
      <c r="CP63" s="52">
        <f t="shared" si="173"/>
        <v>0</v>
      </c>
      <c r="CQ63" s="52">
        <f t="shared" si="173"/>
        <v>0</v>
      </c>
      <c r="CR63" s="52">
        <f t="shared" si="173"/>
        <v>0</v>
      </c>
      <c r="CS63" s="52">
        <f t="shared" si="173"/>
        <v>0</v>
      </c>
      <c r="CT63" s="52">
        <f t="shared" si="173"/>
        <v>0</v>
      </c>
      <c r="CU63" s="52">
        <f t="shared" si="173"/>
        <v>0</v>
      </c>
      <c r="CV63" s="52">
        <f t="shared" si="173"/>
        <v>0</v>
      </c>
      <c r="CW63" s="52">
        <f t="shared" si="173"/>
        <v>0</v>
      </c>
      <c r="CX63" s="52">
        <f t="shared" si="174"/>
        <v>0</v>
      </c>
      <c r="CY63" s="52">
        <f t="shared" si="174"/>
        <v>0</v>
      </c>
      <c r="CZ63" s="52">
        <f t="shared" si="174"/>
        <v>0</v>
      </c>
      <c r="DA63" s="52">
        <f t="shared" si="174"/>
        <v>0</v>
      </c>
      <c r="DB63" s="52">
        <f t="shared" si="174"/>
        <v>0</v>
      </c>
      <c r="DC63" s="52">
        <f t="shared" si="174"/>
        <v>0</v>
      </c>
      <c r="DD63" s="52">
        <f t="shared" si="174"/>
        <v>0</v>
      </c>
      <c r="DE63" s="52">
        <f t="shared" si="174"/>
        <v>0</v>
      </c>
      <c r="DF63" s="52">
        <f t="shared" si="174"/>
        <v>0</v>
      </c>
      <c r="DG63" s="52">
        <f t="shared" si="174"/>
        <v>0</v>
      </c>
      <c r="DH63" s="52">
        <f t="shared" si="174"/>
        <v>0</v>
      </c>
      <c r="DI63" s="52">
        <f t="shared" si="174"/>
        <v>0</v>
      </c>
      <c r="DJ63" s="52">
        <f t="shared" si="174"/>
        <v>0</v>
      </c>
      <c r="DK63" s="52">
        <f t="shared" si="174"/>
        <v>0</v>
      </c>
      <c r="DL63" s="52">
        <f t="shared" si="174"/>
        <v>0</v>
      </c>
      <c r="DM63" s="52">
        <f t="shared" si="174"/>
        <v>0</v>
      </c>
      <c r="DN63" s="52">
        <f t="shared" si="174"/>
        <v>0</v>
      </c>
      <c r="DO63" s="52">
        <f t="shared" si="174"/>
        <v>0</v>
      </c>
      <c r="DP63" s="52">
        <f t="shared" si="174"/>
        <v>0</v>
      </c>
      <c r="DQ63" s="52">
        <f t="shared" si="174"/>
        <v>0</v>
      </c>
      <c r="DR63" s="52">
        <f t="shared" si="174"/>
        <v>0</v>
      </c>
      <c r="DS63" s="52">
        <f t="shared" si="174"/>
        <v>0</v>
      </c>
      <c r="DT63" s="52">
        <f t="shared" si="174"/>
        <v>0</v>
      </c>
      <c r="DU63" s="52">
        <f t="shared" si="174"/>
        <v>0</v>
      </c>
      <c r="DV63" s="52">
        <f t="shared" si="174"/>
        <v>0</v>
      </c>
      <c r="DW63" s="52">
        <f t="shared" si="174"/>
        <v>0</v>
      </c>
      <c r="DX63" s="52">
        <f t="shared" si="174"/>
        <v>0</v>
      </c>
      <c r="DY63" s="52">
        <f t="shared" si="174"/>
        <v>0</v>
      </c>
      <c r="DZ63" s="52">
        <f t="shared" si="174"/>
        <v>0</v>
      </c>
      <c r="EA63" s="52">
        <f t="shared" si="174"/>
        <v>0</v>
      </c>
      <c r="EB63" s="52">
        <f t="shared" si="174"/>
        <v>0</v>
      </c>
      <c r="EC63" s="52">
        <f t="shared" si="174"/>
        <v>0</v>
      </c>
      <c r="ED63" s="52">
        <f t="shared" si="175"/>
        <v>0</v>
      </c>
      <c r="EE63" s="52">
        <f t="shared" si="175"/>
        <v>0</v>
      </c>
      <c r="EF63" s="52">
        <f t="shared" si="175"/>
        <v>0</v>
      </c>
      <c r="EG63" s="52">
        <f t="shared" si="175"/>
        <v>0</v>
      </c>
      <c r="EH63" s="52">
        <f t="shared" si="175"/>
        <v>0</v>
      </c>
      <c r="EI63" s="52">
        <f t="shared" si="175"/>
        <v>0</v>
      </c>
      <c r="EJ63" s="52">
        <f t="shared" si="175"/>
        <v>0</v>
      </c>
      <c r="EK63" s="52">
        <f t="shared" si="175"/>
        <v>0</v>
      </c>
      <c r="EL63" s="52">
        <f t="shared" si="175"/>
        <v>0</v>
      </c>
      <c r="EM63" s="52">
        <f t="shared" si="175"/>
        <v>0</v>
      </c>
      <c r="EN63" s="52">
        <f t="shared" si="175"/>
        <v>0</v>
      </c>
      <c r="EO63" s="52">
        <f t="shared" si="175"/>
        <v>0</v>
      </c>
      <c r="EP63" s="52">
        <f t="shared" si="175"/>
        <v>0</v>
      </c>
      <c r="EQ63" s="52">
        <f t="shared" si="175"/>
        <v>0</v>
      </c>
      <c r="ER63" s="52">
        <f t="shared" si="175"/>
        <v>0</v>
      </c>
      <c r="ES63" s="52">
        <f t="shared" si="175"/>
        <v>0</v>
      </c>
      <c r="ET63" s="52">
        <f t="shared" si="175"/>
        <v>0</v>
      </c>
      <c r="EU63" s="52">
        <f t="shared" si="175"/>
        <v>0</v>
      </c>
      <c r="EV63" s="52">
        <f t="shared" si="175"/>
        <v>0</v>
      </c>
      <c r="EW63" s="52">
        <f t="shared" si="175"/>
        <v>0</v>
      </c>
      <c r="EX63" s="52">
        <f t="shared" si="175"/>
        <v>0</v>
      </c>
      <c r="EY63" s="52">
        <f t="shared" si="175"/>
        <v>0</v>
      </c>
      <c r="EZ63" s="52">
        <f t="shared" si="175"/>
        <v>0</v>
      </c>
      <c r="FA63" s="52">
        <f t="shared" si="175"/>
        <v>0</v>
      </c>
      <c r="FB63" s="52">
        <f t="shared" si="175"/>
        <v>0</v>
      </c>
      <c r="FC63" s="52">
        <f t="shared" si="175"/>
        <v>0</v>
      </c>
      <c r="FD63" s="52"/>
    </row>
    <row r="64" spans="2:160">
      <c r="B64" s="51" t="s">
        <v>143</v>
      </c>
      <c r="C64" s="52">
        <f ca="1">IF(Startup!$C$3="Project",SUMIF(Startup!$C$7:$D$27,Overview!B64,Startup!$D$7:$D$27),(SUMIF(Startup!$C$7:$D$27,Overview!B64,Startup!$D$7:$D$27)*Startup!$C$4))+IF(Pilot!$C$3="Project",SUMIF(Pilot!$C$7:$D$27,Overview!B64,Pilot!$D$7:$D$27),(SUMIF(Pilot!$C$7:$D$27,Overview!B64,Pilot!$D$7:$D$27)*Pilot!$C$4))+IF(PMO!$C$3="Project",SUMIF(PMO!$C$7:$D$27,Overview!B64,PMO!$D$7:$D$27),(SUMIF(PMO!$C$7:$D$27,Overview!B64,PMO!$D$7:$D$27)*PMO!$C$4))+IF('Design &amp; Fulfillment'!$C$3="Project",SUMIF('Design &amp; Fulfillment'!$C$7:$D$27,Overview!B64,'Design &amp; Fulfillment'!$D$7:$D$27),(SUMIF('Design &amp; Fulfillment'!$C$7:$D$27,Overview!B64,'Design &amp; Fulfillment'!$D$7:$D$27)*'Design &amp; Fulfillment'!$C$4))+IF(Workplace!$C$3="Project",SUMIF(Workplace!$C$7:$D$27,Overview!B64,Workplace!$D$7:$D$27),(SUMIF(Workplace!$C$7:$D$27,Overview!B64,Workplace!$D$7:$D$27)*Workplace!$C$4))+IF(Integration!$C$3="Project",SUMIF(Integration!$C$7:$D$27,Overview!B64,Integration!$D$7:$D$27),(SUMIF(Integration!$C$7:$D$27,Overview!B64,Integration!$D$7:$D$27)*Integration!$C$4))+IF(Logistics!$C$3="Project",SUMIF(Logistics!$C$7:$D$27,Overview!B64,Logistics!$D$7:$D$27),(SUMIF(Logistics!$C$7:$D$27,Overview!B64,Logistics!$D$7:$D$27)*Logistics!$C$4))+IF('Service Desk'!$C$3="Project",SUMIF('Service Desk'!$C$7:$D$27,Overview!B64,'Service Desk'!$D$7:$D$27),(SUMIF('Service Desk'!$C$7:$D$27,Overview!B64,'Service Desk'!$D$7:$D$27)*'Service Desk'!$C$4))+IF('Pro Services'!$C$3="Project",SUMIF('Pro Services'!$C$7:$D$27,Overview!B64,'Pro Services'!$D$7:$D$27),(SUMIF('Pro Services'!$C$7:$D$27,Overview!B64,'Pro Services'!$D$7:$D$27)*'Pro Services'!$C$4))</f>
        <v>0</v>
      </c>
      <c r="D64" s="53">
        <f ca="1">IF(Startup!$C$3="Project",SUMIF(Startup!$C$7:$H$27,Overview!B64,Startup!$H$7:$H$27),(SUMIF(Startup!$C$7:$H$27,Overview!B64,Startup!$H$7:$H$27)*Startup!$C$4))+IF(Pilot!$C$3="Project",SUMIF(Pilot!$C$7:$H$27,Overview!B64,Pilot!$H$7:$H$27),(SUMIF(Pilot!$C$7:$H$27,Overview!B64,Pilot!$H$7:$H$27)*Pilot!$C$4))+IF(PMO!$C$3="Project",SUMIF(PMO!$C$7:$H$27,Overview!B64,PMO!$H$7:$H$27),(SUMIF(PMO!$C$7:$H$27,Overview!B64,PMO!$H$7:$H$27)*PMO!$C$4))+IF('Design &amp; Fulfillment'!$C$3="Project",SUMIF('Design &amp; Fulfillment'!$C$7:$H$27,Overview!B64,'Design &amp; Fulfillment'!$H$7:$H$27),(SUMIF('Design &amp; Fulfillment'!$C$7:$H$27,Overview!B64,'Design &amp; Fulfillment'!$H$7:$H$27)*'Design &amp; Fulfillment'!$C$4))+IF(Workplace!$C$3="Project",SUMIF(Workplace!$C$7:$H$27,Overview!B64,Workplace!$H$7:$H$27),(SUMIF(Workplace!$C$7:$H$27,Overview!B64,Workplace!$H$7:$H$27)*Workplace!$C$4))+IF(Integration!$C$3="Project",SUMIF(Integration!$C$7:$H$27,Overview!B64,Integration!$H$7:$H$27),(SUMIF(Integration!$C$7:$H$27,Overview!B64,Integration!$H$7:$H$27)*Integration!$C$4))+IF(Logistics!$C$3="Project",SUMIF(Logistics!$C$7:$H$27,Overview!B64,Logistics!$H$7:$H$27),(SUMIF(Logistics!$C$7:$H$27,Overview!B64,Logistics!$H$7:$H$27)*Logistics!$C$4))+IF('Service Desk'!$C$3="Project",SUMIF('Service Desk'!$C$7:$H$27,Overview!B64,'Service Desk'!$H$7:$H$27),(SUMIF('Service Desk'!$C$7:$H$27,Overview!B64,'Service Desk'!$H$7:$H$27)*'Service Desk'!$C$4))+IF('Pro Services'!$C$3="Project",SUMIF('Pro Services'!$C$7:$H$27,Overview!B64,'Pro Services'!$H$7:$H$27),(SUMIF('Pro Services'!$C$7:$H$27,Overview!B64,'Pro Services'!$H$7:$H$27)*'Pro Services'!$C$4))</f>
        <v>0</v>
      </c>
      <c r="E64" s="52">
        <f t="shared" ca="1" si="120"/>
        <v>0</v>
      </c>
      <c r="F64" s="52">
        <f t="shared" ref="F64:AK64" si="177">IFERROR(IF(F$28="FALSE",0,$C$64/$C$8),0)</f>
        <v>0</v>
      </c>
      <c r="G64" s="52">
        <f t="shared" si="177"/>
        <v>0</v>
      </c>
      <c r="H64" s="52">
        <f t="shared" si="177"/>
        <v>0</v>
      </c>
      <c r="I64" s="52">
        <f t="shared" si="177"/>
        <v>0</v>
      </c>
      <c r="J64" s="52">
        <f t="shared" si="177"/>
        <v>0</v>
      </c>
      <c r="K64" s="52">
        <f t="shared" si="177"/>
        <v>0</v>
      </c>
      <c r="L64" s="52">
        <f t="shared" si="177"/>
        <v>0</v>
      </c>
      <c r="M64" s="52">
        <f t="shared" si="177"/>
        <v>0</v>
      </c>
      <c r="N64" s="52">
        <f t="shared" si="177"/>
        <v>0</v>
      </c>
      <c r="O64" s="52">
        <f t="shared" si="177"/>
        <v>0</v>
      </c>
      <c r="P64" s="52">
        <f t="shared" si="177"/>
        <v>0</v>
      </c>
      <c r="Q64" s="52">
        <f t="shared" si="177"/>
        <v>0</v>
      </c>
      <c r="R64" s="52">
        <f t="shared" si="177"/>
        <v>0</v>
      </c>
      <c r="S64" s="52">
        <f t="shared" si="177"/>
        <v>0</v>
      </c>
      <c r="T64" s="52">
        <f t="shared" si="177"/>
        <v>0</v>
      </c>
      <c r="U64" s="52">
        <f t="shared" si="177"/>
        <v>0</v>
      </c>
      <c r="V64" s="52">
        <f t="shared" si="177"/>
        <v>0</v>
      </c>
      <c r="W64" s="52">
        <f t="shared" si="177"/>
        <v>0</v>
      </c>
      <c r="X64" s="52">
        <f t="shared" si="177"/>
        <v>0</v>
      </c>
      <c r="Y64" s="52">
        <f t="shared" si="177"/>
        <v>0</v>
      </c>
      <c r="Z64" s="52">
        <f t="shared" si="177"/>
        <v>0</v>
      </c>
      <c r="AA64" s="52">
        <f t="shared" si="177"/>
        <v>0</v>
      </c>
      <c r="AB64" s="52">
        <f t="shared" si="177"/>
        <v>0</v>
      </c>
      <c r="AC64" s="52">
        <f t="shared" si="177"/>
        <v>0</v>
      </c>
      <c r="AD64" s="52">
        <f t="shared" si="177"/>
        <v>0</v>
      </c>
      <c r="AE64" s="52">
        <f t="shared" si="177"/>
        <v>0</v>
      </c>
      <c r="AF64" s="52">
        <f t="shared" si="177"/>
        <v>0</v>
      </c>
      <c r="AG64" s="52">
        <f t="shared" si="177"/>
        <v>0</v>
      </c>
      <c r="AH64" s="52">
        <f t="shared" si="177"/>
        <v>0</v>
      </c>
      <c r="AI64" s="52">
        <f t="shared" si="177"/>
        <v>0</v>
      </c>
      <c r="AJ64" s="52">
        <f t="shared" si="177"/>
        <v>0</v>
      </c>
      <c r="AK64" s="52">
        <f t="shared" si="177"/>
        <v>0</v>
      </c>
      <c r="AL64" s="52">
        <f t="shared" ref="AL64:BQ64" si="178">IFERROR(IF(AL$28="FALSE",0,$C$64/$C$8),0)</f>
        <v>0</v>
      </c>
      <c r="AM64" s="52">
        <f t="shared" si="178"/>
        <v>0</v>
      </c>
      <c r="AN64" s="52">
        <f t="shared" si="178"/>
        <v>0</v>
      </c>
      <c r="AO64" s="52">
        <f t="shared" si="178"/>
        <v>0</v>
      </c>
      <c r="AP64" s="52">
        <f t="shared" si="178"/>
        <v>0</v>
      </c>
      <c r="AQ64" s="52">
        <f t="shared" si="178"/>
        <v>0</v>
      </c>
      <c r="AR64" s="52">
        <f t="shared" si="178"/>
        <v>0</v>
      </c>
      <c r="AS64" s="52">
        <f t="shared" si="178"/>
        <v>0</v>
      </c>
      <c r="AT64" s="52">
        <f t="shared" si="178"/>
        <v>0</v>
      </c>
      <c r="AU64" s="52">
        <f t="shared" si="178"/>
        <v>0</v>
      </c>
      <c r="AV64" s="52">
        <f t="shared" si="178"/>
        <v>0</v>
      </c>
      <c r="AW64" s="52">
        <f t="shared" si="178"/>
        <v>0</v>
      </c>
      <c r="AX64" s="52">
        <f t="shared" si="178"/>
        <v>0</v>
      </c>
      <c r="AY64" s="52">
        <f t="shared" si="178"/>
        <v>0</v>
      </c>
      <c r="AZ64" s="52">
        <f t="shared" si="178"/>
        <v>0</v>
      </c>
      <c r="BA64" s="52">
        <f t="shared" si="178"/>
        <v>0</v>
      </c>
      <c r="BB64" s="52">
        <f t="shared" si="178"/>
        <v>0</v>
      </c>
      <c r="BC64" s="52">
        <f t="shared" si="178"/>
        <v>0</v>
      </c>
      <c r="BD64" s="52">
        <f t="shared" si="178"/>
        <v>0</v>
      </c>
      <c r="BE64" s="52">
        <f t="shared" si="178"/>
        <v>0</v>
      </c>
      <c r="BF64" s="52">
        <f t="shared" si="178"/>
        <v>0</v>
      </c>
      <c r="BG64" s="52">
        <f t="shared" si="178"/>
        <v>0</v>
      </c>
      <c r="BH64" s="52">
        <f t="shared" si="178"/>
        <v>0</v>
      </c>
      <c r="BI64" s="52">
        <f t="shared" si="178"/>
        <v>0</v>
      </c>
      <c r="BJ64" s="52">
        <f t="shared" si="178"/>
        <v>0</v>
      </c>
      <c r="BK64" s="52">
        <f t="shared" si="178"/>
        <v>0</v>
      </c>
      <c r="BL64" s="52">
        <f t="shared" si="178"/>
        <v>0</v>
      </c>
      <c r="BM64" s="52">
        <f t="shared" si="178"/>
        <v>0</v>
      </c>
      <c r="BN64" s="52">
        <f t="shared" si="178"/>
        <v>0</v>
      </c>
      <c r="BO64" s="52">
        <f t="shared" si="178"/>
        <v>0</v>
      </c>
      <c r="BP64" s="52">
        <f t="shared" si="178"/>
        <v>0</v>
      </c>
      <c r="BQ64" s="52">
        <f t="shared" si="178"/>
        <v>0</v>
      </c>
      <c r="BR64" s="52">
        <f t="shared" ref="BR64:CW64" si="179">IFERROR(IF(BR$28="FALSE",0,$C$64/$C$8),0)</f>
        <v>0</v>
      </c>
      <c r="BS64" s="52">
        <f t="shared" si="179"/>
        <v>0</v>
      </c>
      <c r="BT64" s="52">
        <f t="shared" si="179"/>
        <v>0</v>
      </c>
      <c r="BU64" s="52">
        <f t="shared" si="179"/>
        <v>0</v>
      </c>
      <c r="BV64" s="52">
        <f t="shared" si="179"/>
        <v>0</v>
      </c>
      <c r="BW64" s="52">
        <f t="shared" si="179"/>
        <v>0</v>
      </c>
      <c r="BX64" s="52">
        <f t="shared" si="179"/>
        <v>0</v>
      </c>
      <c r="BY64" s="52">
        <f t="shared" si="179"/>
        <v>0</v>
      </c>
      <c r="BZ64" s="52">
        <f t="shared" si="179"/>
        <v>0</v>
      </c>
      <c r="CA64" s="52">
        <f t="shared" si="179"/>
        <v>0</v>
      </c>
      <c r="CB64" s="52">
        <f t="shared" si="179"/>
        <v>0</v>
      </c>
      <c r="CC64" s="52">
        <f t="shared" si="179"/>
        <v>0</v>
      </c>
      <c r="CD64" s="52">
        <f t="shared" si="179"/>
        <v>0</v>
      </c>
      <c r="CE64" s="52">
        <f t="shared" si="179"/>
        <v>0</v>
      </c>
      <c r="CF64" s="52">
        <f t="shared" si="179"/>
        <v>0</v>
      </c>
      <c r="CG64" s="52">
        <f t="shared" si="179"/>
        <v>0</v>
      </c>
      <c r="CH64" s="52">
        <f t="shared" si="179"/>
        <v>0</v>
      </c>
      <c r="CI64" s="52">
        <f t="shared" si="179"/>
        <v>0</v>
      </c>
      <c r="CJ64" s="52">
        <f t="shared" si="179"/>
        <v>0</v>
      </c>
      <c r="CK64" s="52">
        <f t="shared" si="179"/>
        <v>0</v>
      </c>
      <c r="CL64" s="52">
        <f t="shared" si="179"/>
        <v>0</v>
      </c>
      <c r="CM64" s="52">
        <f t="shared" si="179"/>
        <v>0</v>
      </c>
      <c r="CN64" s="52">
        <f t="shared" si="179"/>
        <v>0</v>
      </c>
      <c r="CO64" s="52">
        <f t="shared" si="179"/>
        <v>0</v>
      </c>
      <c r="CP64" s="52">
        <f t="shared" si="179"/>
        <v>0</v>
      </c>
      <c r="CQ64" s="52">
        <f t="shared" si="179"/>
        <v>0</v>
      </c>
      <c r="CR64" s="52">
        <f t="shared" si="179"/>
        <v>0</v>
      </c>
      <c r="CS64" s="52">
        <f t="shared" si="179"/>
        <v>0</v>
      </c>
      <c r="CT64" s="52">
        <f t="shared" si="179"/>
        <v>0</v>
      </c>
      <c r="CU64" s="52">
        <f t="shared" si="179"/>
        <v>0</v>
      </c>
      <c r="CV64" s="52">
        <f t="shared" si="179"/>
        <v>0</v>
      </c>
      <c r="CW64" s="52">
        <f t="shared" si="179"/>
        <v>0</v>
      </c>
      <c r="CX64" s="52">
        <f t="shared" ref="CX64:EC64" si="180">IFERROR(IF(CX$28="FALSE",0,$C$64/$C$8),0)</f>
        <v>0</v>
      </c>
      <c r="CY64" s="52">
        <f t="shared" si="180"/>
        <v>0</v>
      </c>
      <c r="CZ64" s="52">
        <f t="shared" si="180"/>
        <v>0</v>
      </c>
      <c r="DA64" s="52">
        <f t="shared" si="180"/>
        <v>0</v>
      </c>
      <c r="DB64" s="52">
        <f t="shared" si="180"/>
        <v>0</v>
      </c>
      <c r="DC64" s="52">
        <f t="shared" si="180"/>
        <v>0</v>
      </c>
      <c r="DD64" s="52">
        <f t="shared" si="180"/>
        <v>0</v>
      </c>
      <c r="DE64" s="52">
        <f t="shared" si="180"/>
        <v>0</v>
      </c>
      <c r="DF64" s="52">
        <f t="shared" si="180"/>
        <v>0</v>
      </c>
      <c r="DG64" s="52">
        <f t="shared" si="180"/>
        <v>0</v>
      </c>
      <c r="DH64" s="52">
        <f t="shared" si="180"/>
        <v>0</v>
      </c>
      <c r="DI64" s="52">
        <f t="shared" si="180"/>
        <v>0</v>
      </c>
      <c r="DJ64" s="52">
        <f t="shared" si="180"/>
        <v>0</v>
      </c>
      <c r="DK64" s="52">
        <f t="shared" si="180"/>
        <v>0</v>
      </c>
      <c r="DL64" s="52">
        <f t="shared" si="180"/>
        <v>0</v>
      </c>
      <c r="DM64" s="52">
        <f t="shared" si="180"/>
        <v>0</v>
      </c>
      <c r="DN64" s="52">
        <f t="shared" si="180"/>
        <v>0</v>
      </c>
      <c r="DO64" s="52">
        <f t="shared" si="180"/>
        <v>0</v>
      </c>
      <c r="DP64" s="52">
        <f t="shared" si="180"/>
        <v>0</v>
      </c>
      <c r="DQ64" s="52">
        <f t="shared" si="180"/>
        <v>0</v>
      </c>
      <c r="DR64" s="52">
        <f t="shared" si="180"/>
        <v>0</v>
      </c>
      <c r="DS64" s="52">
        <f t="shared" si="180"/>
        <v>0</v>
      </c>
      <c r="DT64" s="52">
        <f t="shared" si="180"/>
        <v>0</v>
      </c>
      <c r="DU64" s="52">
        <f t="shared" si="180"/>
        <v>0</v>
      </c>
      <c r="DV64" s="52">
        <f t="shared" si="180"/>
        <v>0</v>
      </c>
      <c r="DW64" s="52">
        <f t="shared" si="180"/>
        <v>0</v>
      </c>
      <c r="DX64" s="52">
        <f t="shared" si="180"/>
        <v>0</v>
      </c>
      <c r="DY64" s="52">
        <f t="shared" si="180"/>
        <v>0</v>
      </c>
      <c r="DZ64" s="52">
        <f t="shared" si="180"/>
        <v>0</v>
      </c>
      <c r="EA64" s="52">
        <f t="shared" si="180"/>
        <v>0</v>
      </c>
      <c r="EB64" s="52">
        <f t="shared" si="180"/>
        <v>0</v>
      </c>
      <c r="EC64" s="52">
        <f t="shared" si="180"/>
        <v>0</v>
      </c>
      <c r="ED64" s="52">
        <f t="shared" ref="ED64:FD64" si="181">IFERROR(IF(ED$28="FALSE",0,$C$64/$C$8),0)</f>
        <v>0</v>
      </c>
      <c r="EE64" s="52">
        <f t="shared" si="181"/>
        <v>0</v>
      </c>
      <c r="EF64" s="52">
        <f t="shared" si="181"/>
        <v>0</v>
      </c>
      <c r="EG64" s="52">
        <f t="shared" si="181"/>
        <v>0</v>
      </c>
      <c r="EH64" s="52">
        <f t="shared" si="181"/>
        <v>0</v>
      </c>
      <c r="EI64" s="52">
        <f t="shared" si="181"/>
        <v>0</v>
      </c>
      <c r="EJ64" s="52">
        <f t="shared" si="181"/>
        <v>0</v>
      </c>
      <c r="EK64" s="52">
        <f t="shared" si="181"/>
        <v>0</v>
      </c>
      <c r="EL64" s="52">
        <f t="shared" si="181"/>
        <v>0</v>
      </c>
      <c r="EM64" s="52">
        <f t="shared" si="181"/>
        <v>0</v>
      </c>
      <c r="EN64" s="52">
        <f t="shared" si="181"/>
        <v>0</v>
      </c>
      <c r="EO64" s="52">
        <f t="shared" si="181"/>
        <v>0</v>
      </c>
      <c r="EP64" s="52">
        <f t="shared" si="181"/>
        <v>0</v>
      </c>
      <c r="EQ64" s="52">
        <f t="shared" si="181"/>
        <v>0</v>
      </c>
      <c r="ER64" s="52">
        <f t="shared" si="181"/>
        <v>0</v>
      </c>
      <c r="ES64" s="52">
        <f t="shared" si="181"/>
        <v>0</v>
      </c>
      <c r="ET64" s="52">
        <f t="shared" si="181"/>
        <v>0</v>
      </c>
      <c r="EU64" s="52">
        <f t="shared" si="181"/>
        <v>0</v>
      </c>
      <c r="EV64" s="52">
        <f t="shared" si="181"/>
        <v>0</v>
      </c>
      <c r="EW64" s="52">
        <f t="shared" si="181"/>
        <v>0</v>
      </c>
      <c r="EX64" s="52">
        <f t="shared" si="181"/>
        <v>0</v>
      </c>
      <c r="EY64" s="52">
        <f t="shared" si="181"/>
        <v>0</v>
      </c>
      <c r="EZ64" s="52">
        <f t="shared" si="181"/>
        <v>0</v>
      </c>
      <c r="FA64" s="52">
        <f t="shared" si="181"/>
        <v>0</v>
      </c>
      <c r="FB64" s="52">
        <f t="shared" si="181"/>
        <v>0</v>
      </c>
      <c r="FC64" s="52">
        <f t="shared" si="181"/>
        <v>0</v>
      </c>
      <c r="FD64" s="52">
        <f t="shared" si="181"/>
        <v>0</v>
      </c>
    </row>
    <row r="65" spans="2:160">
      <c r="B65" s="51" t="s">
        <v>144</v>
      </c>
      <c r="C65" s="52">
        <f ca="1">IF(Startup!$C$3="Project",SUMIF(Startup!$C$7:$D$27,Overview!B65,Startup!$D$7:$D$27),(SUMIF(Startup!$C$7:$D$27,Overview!B65,Startup!$D$7:$D$27)*Startup!$C$4))+IF(Pilot!$C$3="Project",SUMIF(Pilot!$C$7:$D$27,Overview!B65,Pilot!$D$7:$D$27),(SUMIF(Pilot!$C$7:$D$27,Overview!B65,Pilot!$D$7:$D$27)*Pilot!$C$4))+IF(PMO!$C$3="Project",SUMIF(PMO!$C$7:$D$27,Overview!B65,PMO!$D$7:$D$27),(SUMIF(PMO!$C$7:$D$27,Overview!B65,PMO!$D$7:$D$27)*PMO!$C$4))+IF('Design &amp; Fulfillment'!$C$3="Project",SUMIF('Design &amp; Fulfillment'!$C$7:$D$27,Overview!B65,'Design &amp; Fulfillment'!$D$7:$D$27),(SUMIF('Design &amp; Fulfillment'!$C$7:$D$27,Overview!B65,'Design &amp; Fulfillment'!$D$7:$D$27)*'Design &amp; Fulfillment'!$C$4))+IF(Workplace!$C$3="Project",SUMIF(Workplace!$C$7:$D$27,Overview!B65,Workplace!$D$7:$D$27),(SUMIF(Workplace!$C$7:$D$27,Overview!B65,Workplace!$D$7:$D$27)*Workplace!$C$4))+IF(Integration!$C$3="Project",SUMIF(Integration!$C$7:$D$27,Overview!B65,Integration!$D$7:$D$27),(SUMIF(Integration!$C$7:$D$27,Overview!B65,Integration!$D$7:$D$27)*Integration!$C$4))+IF(Logistics!$C$3="Project",SUMIF(Logistics!$C$7:$D$27,Overview!B65,Logistics!$D$7:$D$27),(SUMIF(Logistics!$C$7:$D$27,Overview!B65,Logistics!$D$7:$D$27)*Logistics!$C$4))+IF('Service Desk'!$C$3="Project",SUMIF('Service Desk'!$C$7:$D$27,Overview!B65,'Service Desk'!$D$7:$D$27),(SUMIF('Service Desk'!$C$7:$D$27,Overview!B65,'Service Desk'!$D$7:$D$27)*'Service Desk'!$C$4))+IF('Pro Services'!$C$3="Project",SUMIF('Pro Services'!$C$7:$D$27,Overview!B65,'Pro Services'!$D$7:$D$27),(SUMIF('Pro Services'!$C$7:$D$27,Overview!B65,'Pro Services'!$D$7:$D$27)*'Pro Services'!$C$4))</f>
        <v>0</v>
      </c>
      <c r="D65" s="53">
        <f ca="1">IF(Startup!$C$3="Project",SUMIF(Startup!$C$7:$H$27,Overview!B65,Startup!$H$7:$H$27),(SUMIF(Startup!$C$7:$H$27,Overview!B65,Startup!$H$7:$H$27)*Startup!$C$4))+IF(Pilot!$C$3="Project",SUMIF(Pilot!$C$7:$H$27,Overview!B65,Pilot!$H$7:$H$27),(SUMIF(Pilot!$C$7:$H$27,Overview!B65,Pilot!$H$7:$H$27)*Pilot!$C$4))+IF(PMO!$C$3="Project",SUMIF(PMO!$C$7:$H$27,Overview!B65,PMO!$H$7:$H$27),(SUMIF(PMO!$C$7:$H$27,Overview!B65,PMO!$H$7:$H$27)*PMO!$C$4))+IF('Design &amp; Fulfillment'!$C$3="Project",SUMIF('Design &amp; Fulfillment'!$C$7:$H$27,Overview!B65,'Design &amp; Fulfillment'!$H$7:$H$27),(SUMIF('Design &amp; Fulfillment'!$C$7:$H$27,Overview!B65,'Design &amp; Fulfillment'!$H$7:$H$27)*'Design &amp; Fulfillment'!$C$4))+IF(Workplace!$C$3="Project",SUMIF(Workplace!$C$7:$H$27,Overview!B65,Workplace!$H$7:$H$27),(SUMIF(Workplace!$C$7:$H$27,Overview!B65,Workplace!$H$7:$H$27)*Workplace!$C$4))+IF(Integration!$C$3="Project",SUMIF(Integration!$C$7:$H$27,Overview!B65,Integration!$H$7:$H$27),(SUMIF(Integration!$C$7:$H$27,Overview!B65,Integration!$H$7:$H$27)*Integration!$C$4))+IF(Logistics!$C$3="Project",SUMIF(Logistics!$C$7:$H$27,Overview!B65,Logistics!$H$7:$H$27),(SUMIF(Logistics!$C$7:$H$27,Overview!B65,Logistics!$H$7:$H$27)*Logistics!$C$4))+IF('Service Desk'!$C$3="Project",SUMIF('Service Desk'!$C$7:$H$27,Overview!B65,'Service Desk'!$H$7:$H$27),(SUMIF('Service Desk'!$C$7:$H$27,Overview!B65,'Service Desk'!$H$7:$H$27)*'Service Desk'!$C$4))+IF('Pro Services'!$C$3="Project",SUMIF('Pro Services'!$C$7:$H$27,Overview!B65,'Pro Services'!$H$7:$H$27),(SUMIF('Pro Services'!$C$7:$H$27,Overview!B65,'Pro Services'!$H$7:$H$27)*'Pro Services'!$C$4))</f>
        <v>0</v>
      </c>
      <c r="E65" s="52">
        <f t="shared" ca="1" si="120"/>
        <v>0</v>
      </c>
      <c r="F65" s="52">
        <f t="shared" ref="F65:AK65" si="182">IFERROR(IF(F$28="FALSE",0,$C$65/$C$8),0)</f>
        <v>0</v>
      </c>
      <c r="G65" s="52">
        <f t="shared" si="182"/>
        <v>0</v>
      </c>
      <c r="H65" s="52">
        <f t="shared" si="182"/>
        <v>0</v>
      </c>
      <c r="I65" s="52">
        <f t="shared" si="182"/>
        <v>0</v>
      </c>
      <c r="J65" s="52">
        <f t="shared" si="182"/>
        <v>0</v>
      </c>
      <c r="K65" s="52">
        <f t="shared" si="182"/>
        <v>0</v>
      </c>
      <c r="L65" s="52">
        <f t="shared" si="182"/>
        <v>0</v>
      </c>
      <c r="M65" s="52">
        <f t="shared" si="182"/>
        <v>0</v>
      </c>
      <c r="N65" s="52">
        <f t="shared" si="182"/>
        <v>0</v>
      </c>
      <c r="O65" s="52">
        <f t="shared" si="182"/>
        <v>0</v>
      </c>
      <c r="P65" s="52">
        <f t="shared" si="182"/>
        <v>0</v>
      </c>
      <c r="Q65" s="52">
        <f t="shared" si="182"/>
        <v>0</v>
      </c>
      <c r="R65" s="52">
        <f t="shared" si="182"/>
        <v>0</v>
      </c>
      <c r="S65" s="52">
        <f t="shared" si="182"/>
        <v>0</v>
      </c>
      <c r="T65" s="52">
        <f t="shared" si="182"/>
        <v>0</v>
      </c>
      <c r="U65" s="52">
        <f t="shared" si="182"/>
        <v>0</v>
      </c>
      <c r="V65" s="52">
        <f t="shared" si="182"/>
        <v>0</v>
      </c>
      <c r="W65" s="52">
        <f t="shared" si="182"/>
        <v>0</v>
      </c>
      <c r="X65" s="52">
        <f t="shared" si="182"/>
        <v>0</v>
      </c>
      <c r="Y65" s="52">
        <f t="shared" si="182"/>
        <v>0</v>
      </c>
      <c r="Z65" s="52">
        <f t="shared" si="182"/>
        <v>0</v>
      </c>
      <c r="AA65" s="52">
        <f t="shared" si="182"/>
        <v>0</v>
      </c>
      <c r="AB65" s="52">
        <f t="shared" si="182"/>
        <v>0</v>
      </c>
      <c r="AC65" s="52">
        <f t="shared" si="182"/>
        <v>0</v>
      </c>
      <c r="AD65" s="52">
        <f t="shared" si="182"/>
        <v>0</v>
      </c>
      <c r="AE65" s="52">
        <f t="shared" si="182"/>
        <v>0</v>
      </c>
      <c r="AF65" s="52">
        <f t="shared" si="182"/>
        <v>0</v>
      </c>
      <c r="AG65" s="52">
        <f t="shared" si="182"/>
        <v>0</v>
      </c>
      <c r="AH65" s="52">
        <f t="shared" si="182"/>
        <v>0</v>
      </c>
      <c r="AI65" s="52">
        <f t="shared" si="182"/>
        <v>0</v>
      </c>
      <c r="AJ65" s="52">
        <f t="shared" si="182"/>
        <v>0</v>
      </c>
      <c r="AK65" s="52">
        <f t="shared" si="182"/>
        <v>0</v>
      </c>
      <c r="AL65" s="52">
        <f t="shared" ref="AL65:BQ65" si="183">IFERROR(IF(AL$28="FALSE",0,$C$65/$C$8),0)</f>
        <v>0</v>
      </c>
      <c r="AM65" s="52">
        <f t="shared" si="183"/>
        <v>0</v>
      </c>
      <c r="AN65" s="52">
        <f t="shared" si="183"/>
        <v>0</v>
      </c>
      <c r="AO65" s="52">
        <f t="shared" si="183"/>
        <v>0</v>
      </c>
      <c r="AP65" s="52">
        <f t="shared" si="183"/>
        <v>0</v>
      </c>
      <c r="AQ65" s="52">
        <f t="shared" si="183"/>
        <v>0</v>
      </c>
      <c r="AR65" s="52">
        <f t="shared" si="183"/>
        <v>0</v>
      </c>
      <c r="AS65" s="52">
        <f t="shared" si="183"/>
        <v>0</v>
      </c>
      <c r="AT65" s="52">
        <f t="shared" si="183"/>
        <v>0</v>
      </c>
      <c r="AU65" s="52">
        <f t="shared" si="183"/>
        <v>0</v>
      </c>
      <c r="AV65" s="52">
        <f t="shared" si="183"/>
        <v>0</v>
      </c>
      <c r="AW65" s="52">
        <f t="shared" si="183"/>
        <v>0</v>
      </c>
      <c r="AX65" s="52">
        <f t="shared" si="183"/>
        <v>0</v>
      </c>
      <c r="AY65" s="52">
        <f t="shared" si="183"/>
        <v>0</v>
      </c>
      <c r="AZ65" s="52">
        <f t="shared" si="183"/>
        <v>0</v>
      </c>
      <c r="BA65" s="52">
        <f t="shared" si="183"/>
        <v>0</v>
      </c>
      <c r="BB65" s="52">
        <f t="shared" si="183"/>
        <v>0</v>
      </c>
      <c r="BC65" s="52">
        <f t="shared" si="183"/>
        <v>0</v>
      </c>
      <c r="BD65" s="52">
        <f t="shared" si="183"/>
        <v>0</v>
      </c>
      <c r="BE65" s="52">
        <f t="shared" si="183"/>
        <v>0</v>
      </c>
      <c r="BF65" s="52">
        <f t="shared" si="183"/>
        <v>0</v>
      </c>
      <c r="BG65" s="52">
        <f t="shared" si="183"/>
        <v>0</v>
      </c>
      <c r="BH65" s="52">
        <f t="shared" si="183"/>
        <v>0</v>
      </c>
      <c r="BI65" s="52">
        <f t="shared" si="183"/>
        <v>0</v>
      </c>
      <c r="BJ65" s="52">
        <f t="shared" si="183"/>
        <v>0</v>
      </c>
      <c r="BK65" s="52">
        <f t="shared" si="183"/>
        <v>0</v>
      </c>
      <c r="BL65" s="52">
        <f t="shared" si="183"/>
        <v>0</v>
      </c>
      <c r="BM65" s="52">
        <f t="shared" si="183"/>
        <v>0</v>
      </c>
      <c r="BN65" s="52">
        <f t="shared" si="183"/>
        <v>0</v>
      </c>
      <c r="BO65" s="52">
        <f t="shared" si="183"/>
        <v>0</v>
      </c>
      <c r="BP65" s="52">
        <f t="shared" si="183"/>
        <v>0</v>
      </c>
      <c r="BQ65" s="52">
        <f t="shared" si="183"/>
        <v>0</v>
      </c>
      <c r="BR65" s="52">
        <f t="shared" ref="BR65:CW65" si="184">IFERROR(IF(BR$28="FALSE",0,$C$65/$C$8),0)</f>
        <v>0</v>
      </c>
      <c r="BS65" s="52">
        <f t="shared" si="184"/>
        <v>0</v>
      </c>
      <c r="BT65" s="52">
        <f t="shared" si="184"/>
        <v>0</v>
      </c>
      <c r="BU65" s="52">
        <f t="shared" si="184"/>
        <v>0</v>
      </c>
      <c r="BV65" s="52">
        <f t="shared" si="184"/>
        <v>0</v>
      </c>
      <c r="BW65" s="52">
        <f t="shared" si="184"/>
        <v>0</v>
      </c>
      <c r="BX65" s="52">
        <f t="shared" si="184"/>
        <v>0</v>
      </c>
      <c r="BY65" s="52">
        <f t="shared" si="184"/>
        <v>0</v>
      </c>
      <c r="BZ65" s="52">
        <f t="shared" si="184"/>
        <v>0</v>
      </c>
      <c r="CA65" s="52">
        <f t="shared" si="184"/>
        <v>0</v>
      </c>
      <c r="CB65" s="52">
        <f t="shared" si="184"/>
        <v>0</v>
      </c>
      <c r="CC65" s="52">
        <f t="shared" si="184"/>
        <v>0</v>
      </c>
      <c r="CD65" s="52">
        <f t="shared" si="184"/>
        <v>0</v>
      </c>
      <c r="CE65" s="52">
        <f t="shared" si="184"/>
        <v>0</v>
      </c>
      <c r="CF65" s="52">
        <f t="shared" si="184"/>
        <v>0</v>
      </c>
      <c r="CG65" s="52">
        <f t="shared" si="184"/>
        <v>0</v>
      </c>
      <c r="CH65" s="52">
        <f t="shared" si="184"/>
        <v>0</v>
      </c>
      <c r="CI65" s="52">
        <f t="shared" si="184"/>
        <v>0</v>
      </c>
      <c r="CJ65" s="52">
        <f t="shared" si="184"/>
        <v>0</v>
      </c>
      <c r="CK65" s="52">
        <f t="shared" si="184"/>
        <v>0</v>
      </c>
      <c r="CL65" s="52">
        <f t="shared" si="184"/>
        <v>0</v>
      </c>
      <c r="CM65" s="52">
        <f t="shared" si="184"/>
        <v>0</v>
      </c>
      <c r="CN65" s="52">
        <f t="shared" si="184"/>
        <v>0</v>
      </c>
      <c r="CO65" s="52">
        <f t="shared" si="184"/>
        <v>0</v>
      </c>
      <c r="CP65" s="52">
        <f t="shared" si="184"/>
        <v>0</v>
      </c>
      <c r="CQ65" s="52">
        <f t="shared" si="184"/>
        <v>0</v>
      </c>
      <c r="CR65" s="52">
        <f t="shared" si="184"/>
        <v>0</v>
      </c>
      <c r="CS65" s="52">
        <f t="shared" si="184"/>
        <v>0</v>
      </c>
      <c r="CT65" s="52">
        <f t="shared" si="184"/>
        <v>0</v>
      </c>
      <c r="CU65" s="52">
        <f t="shared" si="184"/>
        <v>0</v>
      </c>
      <c r="CV65" s="52">
        <f t="shared" si="184"/>
        <v>0</v>
      </c>
      <c r="CW65" s="52">
        <f t="shared" si="184"/>
        <v>0</v>
      </c>
      <c r="CX65" s="52">
        <f t="shared" ref="CX65:EC65" si="185">IFERROR(IF(CX$28="FALSE",0,$C$65/$C$8),0)</f>
        <v>0</v>
      </c>
      <c r="CY65" s="52">
        <f t="shared" si="185"/>
        <v>0</v>
      </c>
      <c r="CZ65" s="52">
        <f t="shared" si="185"/>
        <v>0</v>
      </c>
      <c r="DA65" s="52">
        <f t="shared" si="185"/>
        <v>0</v>
      </c>
      <c r="DB65" s="52">
        <f t="shared" si="185"/>
        <v>0</v>
      </c>
      <c r="DC65" s="52">
        <f t="shared" si="185"/>
        <v>0</v>
      </c>
      <c r="DD65" s="52">
        <f t="shared" si="185"/>
        <v>0</v>
      </c>
      <c r="DE65" s="52">
        <f t="shared" si="185"/>
        <v>0</v>
      </c>
      <c r="DF65" s="52">
        <f t="shared" si="185"/>
        <v>0</v>
      </c>
      <c r="DG65" s="52">
        <f t="shared" si="185"/>
        <v>0</v>
      </c>
      <c r="DH65" s="52">
        <f t="shared" si="185"/>
        <v>0</v>
      </c>
      <c r="DI65" s="52">
        <f t="shared" si="185"/>
        <v>0</v>
      </c>
      <c r="DJ65" s="52">
        <f t="shared" si="185"/>
        <v>0</v>
      </c>
      <c r="DK65" s="52">
        <f t="shared" si="185"/>
        <v>0</v>
      </c>
      <c r="DL65" s="52">
        <f t="shared" si="185"/>
        <v>0</v>
      </c>
      <c r="DM65" s="52">
        <f t="shared" si="185"/>
        <v>0</v>
      </c>
      <c r="DN65" s="52">
        <f t="shared" si="185"/>
        <v>0</v>
      </c>
      <c r="DO65" s="52">
        <f t="shared" si="185"/>
        <v>0</v>
      </c>
      <c r="DP65" s="52">
        <f t="shared" si="185"/>
        <v>0</v>
      </c>
      <c r="DQ65" s="52">
        <f t="shared" si="185"/>
        <v>0</v>
      </c>
      <c r="DR65" s="52">
        <f t="shared" si="185"/>
        <v>0</v>
      </c>
      <c r="DS65" s="52">
        <f t="shared" si="185"/>
        <v>0</v>
      </c>
      <c r="DT65" s="52">
        <f t="shared" si="185"/>
        <v>0</v>
      </c>
      <c r="DU65" s="52">
        <f t="shared" si="185"/>
        <v>0</v>
      </c>
      <c r="DV65" s="52">
        <f t="shared" si="185"/>
        <v>0</v>
      </c>
      <c r="DW65" s="52">
        <f t="shared" si="185"/>
        <v>0</v>
      </c>
      <c r="DX65" s="52">
        <f t="shared" si="185"/>
        <v>0</v>
      </c>
      <c r="DY65" s="52">
        <f t="shared" si="185"/>
        <v>0</v>
      </c>
      <c r="DZ65" s="52">
        <f t="shared" si="185"/>
        <v>0</v>
      </c>
      <c r="EA65" s="52">
        <f t="shared" si="185"/>
        <v>0</v>
      </c>
      <c r="EB65" s="52">
        <f t="shared" si="185"/>
        <v>0</v>
      </c>
      <c r="EC65" s="52">
        <f t="shared" si="185"/>
        <v>0</v>
      </c>
      <c r="ED65" s="52">
        <f t="shared" ref="ED65:FD65" si="186">IFERROR(IF(ED$28="FALSE",0,$C$65/$C$8),0)</f>
        <v>0</v>
      </c>
      <c r="EE65" s="52">
        <f t="shared" si="186"/>
        <v>0</v>
      </c>
      <c r="EF65" s="52">
        <f t="shared" si="186"/>
        <v>0</v>
      </c>
      <c r="EG65" s="52">
        <f t="shared" si="186"/>
        <v>0</v>
      </c>
      <c r="EH65" s="52">
        <f t="shared" si="186"/>
        <v>0</v>
      </c>
      <c r="EI65" s="52">
        <f t="shared" si="186"/>
        <v>0</v>
      </c>
      <c r="EJ65" s="52">
        <f t="shared" si="186"/>
        <v>0</v>
      </c>
      <c r="EK65" s="52">
        <f t="shared" si="186"/>
        <v>0</v>
      </c>
      <c r="EL65" s="52">
        <f t="shared" si="186"/>
        <v>0</v>
      </c>
      <c r="EM65" s="52">
        <f t="shared" si="186"/>
        <v>0</v>
      </c>
      <c r="EN65" s="52">
        <f t="shared" si="186"/>
        <v>0</v>
      </c>
      <c r="EO65" s="52">
        <f t="shared" si="186"/>
        <v>0</v>
      </c>
      <c r="EP65" s="52">
        <f t="shared" si="186"/>
        <v>0</v>
      </c>
      <c r="EQ65" s="52">
        <f t="shared" si="186"/>
        <v>0</v>
      </c>
      <c r="ER65" s="52">
        <f t="shared" si="186"/>
        <v>0</v>
      </c>
      <c r="ES65" s="52">
        <f t="shared" si="186"/>
        <v>0</v>
      </c>
      <c r="ET65" s="52">
        <f t="shared" si="186"/>
        <v>0</v>
      </c>
      <c r="EU65" s="52">
        <f t="shared" si="186"/>
        <v>0</v>
      </c>
      <c r="EV65" s="52">
        <f t="shared" si="186"/>
        <v>0</v>
      </c>
      <c r="EW65" s="52">
        <f t="shared" si="186"/>
        <v>0</v>
      </c>
      <c r="EX65" s="52">
        <f t="shared" si="186"/>
        <v>0</v>
      </c>
      <c r="EY65" s="52">
        <f t="shared" si="186"/>
        <v>0</v>
      </c>
      <c r="EZ65" s="52">
        <f t="shared" si="186"/>
        <v>0</v>
      </c>
      <c r="FA65" s="52">
        <f t="shared" si="186"/>
        <v>0</v>
      </c>
      <c r="FB65" s="52">
        <f t="shared" si="186"/>
        <v>0</v>
      </c>
      <c r="FC65" s="52">
        <f t="shared" si="186"/>
        <v>0</v>
      </c>
      <c r="FD65" s="52">
        <f t="shared" si="186"/>
        <v>0</v>
      </c>
    </row>
    <row r="66" spans="2:160">
      <c r="B66" s="51" t="s">
        <v>145</v>
      </c>
      <c r="C66" s="52">
        <f ca="1">IF(Startup!$C$3="Project",SUMIF(Startup!$C$7:$D$27,Overview!B66,Startup!$D$7:$D$27),(SUMIF(Startup!$C$7:$D$27,Overview!B66,Startup!$D$7:$D$27)*Startup!$C$4))+IF(Pilot!$C$3="Project",SUMIF(Pilot!$C$7:$D$27,Overview!B66,Pilot!$D$7:$D$27),(SUMIF(Pilot!$C$7:$D$27,Overview!B66,Pilot!$D$7:$D$27)*Pilot!$C$4))+IF(PMO!$C$3="Project",SUMIF(PMO!$C$7:$D$27,Overview!B66,PMO!$D$7:$D$27),(SUMIF(PMO!$C$7:$D$27,Overview!B66,PMO!$D$7:$D$27)*PMO!$C$4))+IF('Design &amp; Fulfillment'!$C$3="Project",SUMIF('Design &amp; Fulfillment'!$C$7:$D$27,Overview!B66,'Design &amp; Fulfillment'!$D$7:$D$27),(SUMIF('Design &amp; Fulfillment'!$C$7:$D$27,Overview!B66,'Design &amp; Fulfillment'!$D$7:$D$27)*'Design &amp; Fulfillment'!$C$4))+IF(Workplace!$C$3="Project",SUMIF(Workplace!$C$7:$D$27,Overview!B66,Workplace!$D$7:$D$27),(SUMIF(Workplace!$C$7:$D$27,Overview!B66,Workplace!$D$7:$D$27)*Workplace!$C$4))+IF(Integration!$C$3="Project",SUMIF(Integration!$C$7:$D$27,Overview!B66,Integration!$D$7:$D$27),(SUMIF(Integration!$C$7:$D$27,Overview!B66,Integration!$D$7:$D$27)*Integration!$C$4))+IF(Logistics!$C$3="Project",SUMIF(Logistics!$C$7:$D$27,Overview!B66,Logistics!$D$7:$D$27),(SUMIF(Logistics!$C$7:$D$27,Overview!B66,Logistics!$D$7:$D$27)*Logistics!$C$4))+IF('Service Desk'!$C$3="Project",SUMIF('Service Desk'!$C$7:$D$27,Overview!B66,'Service Desk'!$D$7:$D$27),(SUMIF('Service Desk'!$C$7:$D$27,Overview!B66,'Service Desk'!$D$7:$D$27)*'Service Desk'!$C$4))+IF('Pro Services'!$C$3="Project",SUMIF('Pro Services'!$C$7:$D$27,Overview!B66,'Pro Services'!$D$7:$D$27),(SUMIF('Pro Services'!$C$7:$D$27,Overview!B66,'Pro Services'!$D$7:$D$27)*'Pro Services'!$C$4))</f>
        <v>0</v>
      </c>
      <c r="D66" s="53">
        <f ca="1">IF(Startup!$C$3="Project",SUMIF(Startup!$C$7:$H$27,Overview!B66,Startup!$H$7:$H$27),(SUMIF(Startup!$C$7:$H$27,Overview!B66,Startup!$H$7:$H$27)*Startup!$C$4))+IF(Pilot!$C$3="Project",SUMIF(Pilot!$C$7:$H$27,Overview!B66,Pilot!$H$7:$H$27),(SUMIF(Pilot!$C$7:$H$27,Overview!B66,Pilot!$H$7:$H$27)*Pilot!$C$4))+IF(PMO!$C$3="Project",SUMIF(PMO!$C$7:$H$27,Overview!B66,PMO!$H$7:$H$27),(SUMIF(PMO!$C$7:$H$27,Overview!B66,PMO!$H$7:$H$27)*PMO!$C$4))+IF('Design &amp; Fulfillment'!$C$3="Project",SUMIF('Design &amp; Fulfillment'!$C$7:$H$27,Overview!B66,'Design &amp; Fulfillment'!$H$7:$H$27),(SUMIF('Design &amp; Fulfillment'!$C$7:$H$27,Overview!B66,'Design &amp; Fulfillment'!$H$7:$H$27)*'Design &amp; Fulfillment'!$C$4))+IF(Workplace!$C$3="Project",SUMIF(Workplace!$C$7:$H$27,Overview!B66,Workplace!$H$7:$H$27),(SUMIF(Workplace!$C$7:$H$27,Overview!B66,Workplace!$H$7:$H$27)*Workplace!$C$4))+IF(Integration!$C$3="Project",SUMIF(Integration!$C$7:$H$27,Overview!B66,Integration!$H$7:$H$27),(SUMIF(Integration!$C$7:$H$27,Overview!B66,Integration!$H$7:$H$27)*Integration!$C$4))+IF(Logistics!$C$3="Project",SUMIF(Logistics!$C$7:$H$27,Overview!B66,Logistics!$H$7:$H$27),(SUMIF(Logistics!$C$7:$H$27,Overview!B66,Logistics!$H$7:$H$27)*Logistics!$C$4))+IF('Service Desk'!$C$3="Project",SUMIF('Service Desk'!$C$7:$H$27,Overview!B66,'Service Desk'!$H$7:$H$27),(SUMIF('Service Desk'!$C$7:$H$27,Overview!B66,'Service Desk'!$H$7:$H$27)*'Service Desk'!$C$4))+IF('Pro Services'!$C$3="Project",SUMIF('Pro Services'!$C$7:$H$27,Overview!B66,'Pro Services'!$H$7:$H$27),(SUMIF('Pro Services'!$C$7:$H$27,Overview!B66,'Pro Services'!$H$7:$H$27)*'Pro Services'!$C$4))</f>
        <v>0</v>
      </c>
      <c r="E66" s="52">
        <f t="shared" ca="1" si="120"/>
        <v>0</v>
      </c>
      <c r="F66" s="52">
        <f t="shared" ref="F66:AK66" si="187">IFERROR(IF(F$28="FALSE",0,$C$66/$C$8),0)</f>
        <v>0</v>
      </c>
      <c r="G66" s="52">
        <f t="shared" si="187"/>
        <v>0</v>
      </c>
      <c r="H66" s="52">
        <f t="shared" si="187"/>
        <v>0</v>
      </c>
      <c r="I66" s="52">
        <f t="shared" si="187"/>
        <v>0</v>
      </c>
      <c r="J66" s="52">
        <f t="shared" si="187"/>
        <v>0</v>
      </c>
      <c r="K66" s="52">
        <f t="shared" si="187"/>
        <v>0</v>
      </c>
      <c r="L66" s="52">
        <f t="shared" si="187"/>
        <v>0</v>
      </c>
      <c r="M66" s="52">
        <f t="shared" si="187"/>
        <v>0</v>
      </c>
      <c r="N66" s="52">
        <f t="shared" si="187"/>
        <v>0</v>
      </c>
      <c r="O66" s="52">
        <f t="shared" si="187"/>
        <v>0</v>
      </c>
      <c r="P66" s="52">
        <f t="shared" si="187"/>
        <v>0</v>
      </c>
      <c r="Q66" s="52">
        <f t="shared" si="187"/>
        <v>0</v>
      </c>
      <c r="R66" s="52">
        <f t="shared" si="187"/>
        <v>0</v>
      </c>
      <c r="S66" s="52">
        <f t="shared" si="187"/>
        <v>0</v>
      </c>
      <c r="T66" s="52">
        <f t="shared" si="187"/>
        <v>0</v>
      </c>
      <c r="U66" s="52">
        <f t="shared" si="187"/>
        <v>0</v>
      </c>
      <c r="V66" s="52">
        <f t="shared" si="187"/>
        <v>0</v>
      </c>
      <c r="W66" s="52">
        <f t="shared" si="187"/>
        <v>0</v>
      </c>
      <c r="X66" s="52">
        <f t="shared" si="187"/>
        <v>0</v>
      </c>
      <c r="Y66" s="52">
        <f t="shared" si="187"/>
        <v>0</v>
      </c>
      <c r="Z66" s="52">
        <f t="shared" si="187"/>
        <v>0</v>
      </c>
      <c r="AA66" s="52">
        <f t="shared" si="187"/>
        <v>0</v>
      </c>
      <c r="AB66" s="52">
        <f t="shared" si="187"/>
        <v>0</v>
      </c>
      <c r="AC66" s="52">
        <f t="shared" si="187"/>
        <v>0</v>
      </c>
      <c r="AD66" s="52">
        <f t="shared" si="187"/>
        <v>0</v>
      </c>
      <c r="AE66" s="52">
        <f t="shared" si="187"/>
        <v>0</v>
      </c>
      <c r="AF66" s="52">
        <f t="shared" si="187"/>
        <v>0</v>
      </c>
      <c r="AG66" s="52">
        <f t="shared" si="187"/>
        <v>0</v>
      </c>
      <c r="AH66" s="52">
        <f t="shared" si="187"/>
        <v>0</v>
      </c>
      <c r="AI66" s="52">
        <f t="shared" si="187"/>
        <v>0</v>
      </c>
      <c r="AJ66" s="52">
        <f t="shared" si="187"/>
        <v>0</v>
      </c>
      <c r="AK66" s="52">
        <f t="shared" si="187"/>
        <v>0</v>
      </c>
      <c r="AL66" s="52">
        <f t="shared" ref="AL66:BQ66" si="188">IFERROR(IF(AL$28="FALSE",0,$C$66/$C$8),0)</f>
        <v>0</v>
      </c>
      <c r="AM66" s="52">
        <f t="shared" si="188"/>
        <v>0</v>
      </c>
      <c r="AN66" s="52">
        <f t="shared" si="188"/>
        <v>0</v>
      </c>
      <c r="AO66" s="52">
        <f t="shared" si="188"/>
        <v>0</v>
      </c>
      <c r="AP66" s="52">
        <f t="shared" si="188"/>
        <v>0</v>
      </c>
      <c r="AQ66" s="52">
        <f t="shared" si="188"/>
        <v>0</v>
      </c>
      <c r="AR66" s="52">
        <f t="shared" si="188"/>
        <v>0</v>
      </c>
      <c r="AS66" s="52">
        <f t="shared" si="188"/>
        <v>0</v>
      </c>
      <c r="AT66" s="52">
        <f t="shared" si="188"/>
        <v>0</v>
      </c>
      <c r="AU66" s="52">
        <f t="shared" si="188"/>
        <v>0</v>
      </c>
      <c r="AV66" s="52">
        <f t="shared" si="188"/>
        <v>0</v>
      </c>
      <c r="AW66" s="52">
        <f t="shared" si="188"/>
        <v>0</v>
      </c>
      <c r="AX66" s="52">
        <f t="shared" si="188"/>
        <v>0</v>
      </c>
      <c r="AY66" s="52">
        <f t="shared" si="188"/>
        <v>0</v>
      </c>
      <c r="AZ66" s="52">
        <f t="shared" si="188"/>
        <v>0</v>
      </c>
      <c r="BA66" s="52">
        <f t="shared" si="188"/>
        <v>0</v>
      </c>
      <c r="BB66" s="52">
        <f t="shared" si="188"/>
        <v>0</v>
      </c>
      <c r="BC66" s="52">
        <f t="shared" si="188"/>
        <v>0</v>
      </c>
      <c r="BD66" s="52">
        <f t="shared" si="188"/>
        <v>0</v>
      </c>
      <c r="BE66" s="52">
        <f t="shared" si="188"/>
        <v>0</v>
      </c>
      <c r="BF66" s="52">
        <f t="shared" si="188"/>
        <v>0</v>
      </c>
      <c r="BG66" s="52">
        <f t="shared" si="188"/>
        <v>0</v>
      </c>
      <c r="BH66" s="52">
        <f t="shared" si="188"/>
        <v>0</v>
      </c>
      <c r="BI66" s="52">
        <f t="shared" si="188"/>
        <v>0</v>
      </c>
      <c r="BJ66" s="52">
        <f t="shared" si="188"/>
        <v>0</v>
      </c>
      <c r="BK66" s="52">
        <f t="shared" si="188"/>
        <v>0</v>
      </c>
      <c r="BL66" s="52">
        <f t="shared" si="188"/>
        <v>0</v>
      </c>
      <c r="BM66" s="52">
        <f t="shared" si="188"/>
        <v>0</v>
      </c>
      <c r="BN66" s="52">
        <f t="shared" si="188"/>
        <v>0</v>
      </c>
      <c r="BO66" s="52">
        <f t="shared" si="188"/>
        <v>0</v>
      </c>
      <c r="BP66" s="52">
        <f t="shared" si="188"/>
        <v>0</v>
      </c>
      <c r="BQ66" s="52">
        <f t="shared" si="188"/>
        <v>0</v>
      </c>
      <c r="BR66" s="52">
        <f t="shared" ref="BR66:CW66" si="189">IFERROR(IF(BR$28="FALSE",0,$C$66/$C$8),0)</f>
        <v>0</v>
      </c>
      <c r="BS66" s="52">
        <f t="shared" si="189"/>
        <v>0</v>
      </c>
      <c r="BT66" s="52">
        <f t="shared" si="189"/>
        <v>0</v>
      </c>
      <c r="BU66" s="52">
        <f t="shared" si="189"/>
        <v>0</v>
      </c>
      <c r="BV66" s="52">
        <f t="shared" si="189"/>
        <v>0</v>
      </c>
      <c r="BW66" s="52">
        <f t="shared" si="189"/>
        <v>0</v>
      </c>
      <c r="BX66" s="52">
        <f t="shared" si="189"/>
        <v>0</v>
      </c>
      <c r="BY66" s="52">
        <f t="shared" si="189"/>
        <v>0</v>
      </c>
      <c r="BZ66" s="52">
        <f t="shared" si="189"/>
        <v>0</v>
      </c>
      <c r="CA66" s="52">
        <f t="shared" si="189"/>
        <v>0</v>
      </c>
      <c r="CB66" s="52">
        <f t="shared" si="189"/>
        <v>0</v>
      </c>
      <c r="CC66" s="52">
        <f t="shared" si="189"/>
        <v>0</v>
      </c>
      <c r="CD66" s="52">
        <f t="shared" si="189"/>
        <v>0</v>
      </c>
      <c r="CE66" s="52">
        <f t="shared" si="189"/>
        <v>0</v>
      </c>
      <c r="CF66" s="52">
        <f t="shared" si="189"/>
        <v>0</v>
      </c>
      <c r="CG66" s="52">
        <f t="shared" si="189"/>
        <v>0</v>
      </c>
      <c r="CH66" s="52">
        <f t="shared" si="189"/>
        <v>0</v>
      </c>
      <c r="CI66" s="52">
        <f t="shared" si="189"/>
        <v>0</v>
      </c>
      <c r="CJ66" s="52">
        <f t="shared" si="189"/>
        <v>0</v>
      </c>
      <c r="CK66" s="52">
        <f t="shared" si="189"/>
        <v>0</v>
      </c>
      <c r="CL66" s="52">
        <f t="shared" si="189"/>
        <v>0</v>
      </c>
      <c r="CM66" s="52">
        <f t="shared" si="189"/>
        <v>0</v>
      </c>
      <c r="CN66" s="52">
        <f t="shared" si="189"/>
        <v>0</v>
      </c>
      <c r="CO66" s="52">
        <f t="shared" si="189"/>
        <v>0</v>
      </c>
      <c r="CP66" s="52">
        <f t="shared" si="189"/>
        <v>0</v>
      </c>
      <c r="CQ66" s="52">
        <f t="shared" si="189"/>
        <v>0</v>
      </c>
      <c r="CR66" s="52">
        <f t="shared" si="189"/>
        <v>0</v>
      </c>
      <c r="CS66" s="52">
        <f t="shared" si="189"/>
        <v>0</v>
      </c>
      <c r="CT66" s="52">
        <f t="shared" si="189"/>
        <v>0</v>
      </c>
      <c r="CU66" s="52">
        <f t="shared" si="189"/>
        <v>0</v>
      </c>
      <c r="CV66" s="52">
        <f t="shared" si="189"/>
        <v>0</v>
      </c>
      <c r="CW66" s="52">
        <f t="shared" si="189"/>
        <v>0</v>
      </c>
      <c r="CX66" s="52">
        <f t="shared" ref="CX66:EC66" si="190">IFERROR(IF(CX$28="FALSE",0,$C$66/$C$8),0)</f>
        <v>0</v>
      </c>
      <c r="CY66" s="52">
        <f t="shared" si="190"/>
        <v>0</v>
      </c>
      <c r="CZ66" s="52">
        <f t="shared" si="190"/>
        <v>0</v>
      </c>
      <c r="DA66" s="52">
        <f t="shared" si="190"/>
        <v>0</v>
      </c>
      <c r="DB66" s="52">
        <f t="shared" si="190"/>
        <v>0</v>
      </c>
      <c r="DC66" s="52">
        <f t="shared" si="190"/>
        <v>0</v>
      </c>
      <c r="DD66" s="52">
        <f t="shared" si="190"/>
        <v>0</v>
      </c>
      <c r="DE66" s="52">
        <f t="shared" si="190"/>
        <v>0</v>
      </c>
      <c r="DF66" s="52">
        <f t="shared" si="190"/>
        <v>0</v>
      </c>
      <c r="DG66" s="52">
        <f t="shared" si="190"/>
        <v>0</v>
      </c>
      <c r="DH66" s="52">
        <f t="shared" si="190"/>
        <v>0</v>
      </c>
      <c r="DI66" s="52">
        <f t="shared" si="190"/>
        <v>0</v>
      </c>
      <c r="DJ66" s="52">
        <f t="shared" si="190"/>
        <v>0</v>
      </c>
      <c r="DK66" s="52">
        <f t="shared" si="190"/>
        <v>0</v>
      </c>
      <c r="DL66" s="52">
        <f t="shared" si="190"/>
        <v>0</v>
      </c>
      <c r="DM66" s="52">
        <f t="shared" si="190"/>
        <v>0</v>
      </c>
      <c r="DN66" s="52">
        <f t="shared" si="190"/>
        <v>0</v>
      </c>
      <c r="DO66" s="52">
        <f t="shared" si="190"/>
        <v>0</v>
      </c>
      <c r="DP66" s="52">
        <f t="shared" si="190"/>
        <v>0</v>
      </c>
      <c r="DQ66" s="52">
        <f t="shared" si="190"/>
        <v>0</v>
      </c>
      <c r="DR66" s="52">
        <f t="shared" si="190"/>
        <v>0</v>
      </c>
      <c r="DS66" s="52">
        <f t="shared" si="190"/>
        <v>0</v>
      </c>
      <c r="DT66" s="52">
        <f t="shared" si="190"/>
        <v>0</v>
      </c>
      <c r="DU66" s="52">
        <f t="shared" si="190"/>
        <v>0</v>
      </c>
      <c r="DV66" s="52">
        <f t="shared" si="190"/>
        <v>0</v>
      </c>
      <c r="DW66" s="52">
        <f t="shared" si="190"/>
        <v>0</v>
      </c>
      <c r="DX66" s="52">
        <f t="shared" si="190"/>
        <v>0</v>
      </c>
      <c r="DY66" s="52">
        <f t="shared" si="190"/>
        <v>0</v>
      </c>
      <c r="DZ66" s="52">
        <f t="shared" si="190"/>
        <v>0</v>
      </c>
      <c r="EA66" s="52">
        <f t="shared" si="190"/>
        <v>0</v>
      </c>
      <c r="EB66" s="52">
        <f t="shared" si="190"/>
        <v>0</v>
      </c>
      <c r="EC66" s="52">
        <f t="shared" si="190"/>
        <v>0</v>
      </c>
      <c r="ED66" s="52">
        <f t="shared" ref="ED66:FD66" si="191">IFERROR(IF(ED$28="FALSE",0,$C$66/$C$8),0)</f>
        <v>0</v>
      </c>
      <c r="EE66" s="52">
        <f t="shared" si="191"/>
        <v>0</v>
      </c>
      <c r="EF66" s="52">
        <f t="shared" si="191"/>
        <v>0</v>
      </c>
      <c r="EG66" s="52">
        <f t="shared" si="191"/>
        <v>0</v>
      </c>
      <c r="EH66" s="52">
        <f t="shared" si="191"/>
        <v>0</v>
      </c>
      <c r="EI66" s="52">
        <f t="shared" si="191"/>
        <v>0</v>
      </c>
      <c r="EJ66" s="52">
        <f t="shared" si="191"/>
        <v>0</v>
      </c>
      <c r="EK66" s="52">
        <f t="shared" si="191"/>
        <v>0</v>
      </c>
      <c r="EL66" s="52">
        <f t="shared" si="191"/>
        <v>0</v>
      </c>
      <c r="EM66" s="52">
        <f t="shared" si="191"/>
        <v>0</v>
      </c>
      <c r="EN66" s="52">
        <f t="shared" si="191"/>
        <v>0</v>
      </c>
      <c r="EO66" s="52">
        <f t="shared" si="191"/>
        <v>0</v>
      </c>
      <c r="EP66" s="52">
        <f t="shared" si="191"/>
        <v>0</v>
      </c>
      <c r="EQ66" s="52">
        <f t="shared" si="191"/>
        <v>0</v>
      </c>
      <c r="ER66" s="52">
        <f t="shared" si="191"/>
        <v>0</v>
      </c>
      <c r="ES66" s="52">
        <f t="shared" si="191"/>
        <v>0</v>
      </c>
      <c r="ET66" s="52">
        <f t="shared" si="191"/>
        <v>0</v>
      </c>
      <c r="EU66" s="52">
        <f t="shared" si="191"/>
        <v>0</v>
      </c>
      <c r="EV66" s="52">
        <f t="shared" si="191"/>
        <v>0</v>
      </c>
      <c r="EW66" s="52">
        <f t="shared" si="191"/>
        <v>0</v>
      </c>
      <c r="EX66" s="52">
        <f t="shared" si="191"/>
        <v>0</v>
      </c>
      <c r="EY66" s="52">
        <f t="shared" si="191"/>
        <v>0</v>
      </c>
      <c r="EZ66" s="52">
        <f t="shared" si="191"/>
        <v>0</v>
      </c>
      <c r="FA66" s="52">
        <f t="shared" si="191"/>
        <v>0</v>
      </c>
      <c r="FB66" s="52">
        <f t="shared" si="191"/>
        <v>0</v>
      </c>
      <c r="FC66" s="52">
        <f t="shared" si="191"/>
        <v>0</v>
      </c>
      <c r="FD66" s="52">
        <f t="shared" si="191"/>
        <v>0</v>
      </c>
    </row>
    <row r="67" spans="2:160">
      <c r="B67" s="51" t="s">
        <v>146</v>
      </c>
      <c r="C67" s="52">
        <f ca="1">IF(Startup!$C$3="Project",SUMIF(Startup!$C$7:$D$27,Overview!B67,Startup!$D$7:$D$27),(SUMIF(Startup!$C$7:$D$27,Overview!B67,Startup!$D$7:$D$27)*Startup!$C$4))+IF(Pilot!$C$3="Project",SUMIF(Pilot!$C$7:$D$27,Overview!B67,Pilot!$D$7:$D$27),(SUMIF(Pilot!$C$7:$D$27,Overview!B67,Pilot!$D$7:$D$27)*Pilot!$C$4))+IF(PMO!$C$3="Project",SUMIF(PMO!$C$7:$D$27,Overview!B67,PMO!$D$7:$D$27),(SUMIF(PMO!$C$7:$D$27,Overview!B67,PMO!$D$7:$D$27)*PMO!$C$4))+IF('Design &amp; Fulfillment'!$C$3="Project",SUMIF('Design &amp; Fulfillment'!$C$7:$D$27,Overview!B67,'Design &amp; Fulfillment'!$D$7:$D$27),(SUMIF('Design &amp; Fulfillment'!$C$7:$D$27,Overview!B67,'Design &amp; Fulfillment'!$D$7:$D$27)*'Design &amp; Fulfillment'!$C$4))+IF(Workplace!$C$3="Project",SUMIF(Workplace!$C$7:$D$27,Overview!B67,Workplace!$D$7:$D$27),(SUMIF(Workplace!$C$7:$D$27,Overview!B67,Workplace!$D$7:$D$27)*Workplace!$C$4))+IF(Integration!$C$3="Project",SUMIF(Integration!$C$7:$D$27,Overview!B67,Integration!$D$7:$D$27),(SUMIF(Integration!$C$7:$D$27,Overview!B67,Integration!$D$7:$D$27)*Integration!$C$4))+IF(Logistics!$C$3="Project",SUMIF(Logistics!$C$7:$D$27,Overview!B67,Logistics!$D$7:$D$27),(SUMIF(Logistics!$C$7:$D$27,Overview!B67,Logistics!$D$7:$D$27)*Logistics!$C$4))+IF('Service Desk'!$C$3="Project",SUMIF('Service Desk'!$C$7:$D$27,Overview!B67,'Service Desk'!$D$7:$D$27),(SUMIF('Service Desk'!$C$7:$D$27,Overview!B67,'Service Desk'!$D$7:$D$27)*'Service Desk'!$C$4))+IF('Pro Services'!$C$3="Project",SUMIF('Pro Services'!$C$7:$D$27,Overview!B67,'Pro Services'!$D$7:$D$27),(SUMIF('Pro Services'!$C$7:$D$27,Overview!B67,'Pro Services'!$D$7:$D$27)*'Pro Services'!$C$4))</f>
        <v>0</v>
      </c>
      <c r="D67" s="53">
        <f ca="1">IF(Startup!$C$3="Project",SUMIF(Startup!$C$7:$H$27,Overview!B67,Startup!$H$7:$H$27),(SUMIF(Startup!$C$7:$H$27,Overview!B67,Startup!$H$7:$H$27)*Startup!$C$4))+IF(Pilot!$C$3="Project",SUMIF(Pilot!$C$7:$H$27,Overview!B67,Pilot!$H$7:$H$27),(SUMIF(Pilot!$C$7:$H$27,Overview!B67,Pilot!$H$7:$H$27)*Pilot!$C$4))+IF(PMO!$C$3="Project",SUMIF(PMO!$C$7:$H$27,Overview!B67,PMO!$H$7:$H$27),(SUMIF(PMO!$C$7:$H$27,Overview!B67,PMO!$H$7:$H$27)*PMO!$C$4))+IF('Design &amp; Fulfillment'!$C$3="Project",SUMIF('Design &amp; Fulfillment'!$C$7:$H$27,Overview!B67,'Design &amp; Fulfillment'!$H$7:$H$27),(SUMIF('Design &amp; Fulfillment'!$C$7:$H$27,Overview!B67,'Design &amp; Fulfillment'!$H$7:$H$27)*'Design &amp; Fulfillment'!$C$4))+IF(Workplace!$C$3="Project",SUMIF(Workplace!$C$7:$H$27,Overview!B67,Workplace!$H$7:$H$27),(SUMIF(Workplace!$C$7:$H$27,Overview!B67,Workplace!$H$7:$H$27)*Workplace!$C$4))+IF(Integration!$C$3="Project",SUMIF(Integration!$C$7:$H$27,Overview!B67,Integration!$H$7:$H$27),(SUMIF(Integration!$C$7:$H$27,Overview!B67,Integration!$H$7:$H$27)*Integration!$C$4))+IF(Logistics!$C$3="Project",SUMIF(Logistics!$C$7:$H$27,Overview!B67,Logistics!$H$7:$H$27),(SUMIF(Logistics!$C$7:$H$27,Overview!B67,Logistics!$H$7:$H$27)*Logistics!$C$4))+IF('Service Desk'!$C$3="Project",SUMIF('Service Desk'!$C$7:$H$27,Overview!B67,'Service Desk'!$H$7:$H$27),(SUMIF('Service Desk'!$C$7:$H$27,Overview!B67,'Service Desk'!$H$7:$H$27)*'Service Desk'!$C$4))+IF('Pro Services'!$C$3="Project",SUMIF('Pro Services'!$C$7:$H$27,Overview!B67,'Pro Services'!$H$7:$H$27),(SUMIF('Pro Services'!$C$7:$H$27,Overview!B67,'Pro Services'!$H$7:$H$27)*'Pro Services'!$C$4))</f>
        <v>0</v>
      </c>
      <c r="E67" s="52">
        <f t="shared" ca="1" si="120"/>
        <v>0</v>
      </c>
      <c r="F67" s="52">
        <f t="shared" ref="F67:AK67" si="192">IFERROR(IF(F$28="FALSE",0,$C$67/$C$8),0)</f>
        <v>0</v>
      </c>
      <c r="G67" s="52">
        <f t="shared" si="192"/>
        <v>0</v>
      </c>
      <c r="H67" s="52">
        <f t="shared" si="192"/>
        <v>0</v>
      </c>
      <c r="I67" s="52">
        <f t="shared" si="192"/>
        <v>0</v>
      </c>
      <c r="J67" s="52">
        <f t="shared" si="192"/>
        <v>0</v>
      </c>
      <c r="K67" s="52">
        <f t="shared" si="192"/>
        <v>0</v>
      </c>
      <c r="L67" s="52">
        <f t="shared" si="192"/>
        <v>0</v>
      </c>
      <c r="M67" s="52">
        <f t="shared" si="192"/>
        <v>0</v>
      </c>
      <c r="N67" s="52">
        <f t="shared" si="192"/>
        <v>0</v>
      </c>
      <c r="O67" s="52">
        <f t="shared" si="192"/>
        <v>0</v>
      </c>
      <c r="P67" s="52">
        <f t="shared" si="192"/>
        <v>0</v>
      </c>
      <c r="Q67" s="52">
        <f t="shared" si="192"/>
        <v>0</v>
      </c>
      <c r="R67" s="52">
        <f t="shared" si="192"/>
        <v>0</v>
      </c>
      <c r="S67" s="52">
        <f t="shared" si="192"/>
        <v>0</v>
      </c>
      <c r="T67" s="52">
        <f t="shared" si="192"/>
        <v>0</v>
      </c>
      <c r="U67" s="52">
        <f t="shared" si="192"/>
        <v>0</v>
      </c>
      <c r="V67" s="52">
        <f t="shared" si="192"/>
        <v>0</v>
      </c>
      <c r="W67" s="52">
        <f t="shared" si="192"/>
        <v>0</v>
      </c>
      <c r="X67" s="52">
        <f t="shared" si="192"/>
        <v>0</v>
      </c>
      <c r="Y67" s="52">
        <f t="shared" si="192"/>
        <v>0</v>
      </c>
      <c r="Z67" s="52">
        <f t="shared" si="192"/>
        <v>0</v>
      </c>
      <c r="AA67" s="52">
        <f t="shared" si="192"/>
        <v>0</v>
      </c>
      <c r="AB67" s="52">
        <f t="shared" si="192"/>
        <v>0</v>
      </c>
      <c r="AC67" s="52">
        <f t="shared" si="192"/>
        <v>0</v>
      </c>
      <c r="AD67" s="52">
        <f t="shared" si="192"/>
        <v>0</v>
      </c>
      <c r="AE67" s="52">
        <f t="shared" si="192"/>
        <v>0</v>
      </c>
      <c r="AF67" s="52">
        <f t="shared" si="192"/>
        <v>0</v>
      </c>
      <c r="AG67" s="52">
        <f t="shared" si="192"/>
        <v>0</v>
      </c>
      <c r="AH67" s="52">
        <f t="shared" si="192"/>
        <v>0</v>
      </c>
      <c r="AI67" s="52">
        <f t="shared" si="192"/>
        <v>0</v>
      </c>
      <c r="AJ67" s="52">
        <f t="shared" si="192"/>
        <v>0</v>
      </c>
      <c r="AK67" s="52">
        <f t="shared" si="192"/>
        <v>0</v>
      </c>
      <c r="AL67" s="52">
        <f t="shared" ref="AL67:BQ67" si="193">IFERROR(IF(AL$28="FALSE",0,$C$67/$C$8),0)</f>
        <v>0</v>
      </c>
      <c r="AM67" s="52">
        <f t="shared" si="193"/>
        <v>0</v>
      </c>
      <c r="AN67" s="52">
        <f t="shared" si="193"/>
        <v>0</v>
      </c>
      <c r="AO67" s="52">
        <f t="shared" si="193"/>
        <v>0</v>
      </c>
      <c r="AP67" s="52">
        <f t="shared" si="193"/>
        <v>0</v>
      </c>
      <c r="AQ67" s="52">
        <f t="shared" si="193"/>
        <v>0</v>
      </c>
      <c r="AR67" s="52">
        <f t="shared" si="193"/>
        <v>0</v>
      </c>
      <c r="AS67" s="52">
        <f t="shared" si="193"/>
        <v>0</v>
      </c>
      <c r="AT67" s="52">
        <f t="shared" si="193"/>
        <v>0</v>
      </c>
      <c r="AU67" s="52">
        <f t="shared" si="193"/>
        <v>0</v>
      </c>
      <c r="AV67" s="52">
        <f t="shared" si="193"/>
        <v>0</v>
      </c>
      <c r="AW67" s="52">
        <f t="shared" si="193"/>
        <v>0</v>
      </c>
      <c r="AX67" s="52">
        <f t="shared" si="193"/>
        <v>0</v>
      </c>
      <c r="AY67" s="52">
        <f t="shared" si="193"/>
        <v>0</v>
      </c>
      <c r="AZ67" s="52">
        <f t="shared" si="193"/>
        <v>0</v>
      </c>
      <c r="BA67" s="52">
        <f t="shared" si="193"/>
        <v>0</v>
      </c>
      <c r="BB67" s="52">
        <f t="shared" si="193"/>
        <v>0</v>
      </c>
      <c r="BC67" s="52">
        <f t="shared" si="193"/>
        <v>0</v>
      </c>
      <c r="BD67" s="52">
        <f t="shared" si="193"/>
        <v>0</v>
      </c>
      <c r="BE67" s="52">
        <f t="shared" si="193"/>
        <v>0</v>
      </c>
      <c r="BF67" s="52">
        <f t="shared" si="193"/>
        <v>0</v>
      </c>
      <c r="BG67" s="52">
        <f t="shared" si="193"/>
        <v>0</v>
      </c>
      <c r="BH67" s="52">
        <f t="shared" si="193"/>
        <v>0</v>
      </c>
      <c r="BI67" s="52">
        <f t="shared" si="193"/>
        <v>0</v>
      </c>
      <c r="BJ67" s="52">
        <f t="shared" si="193"/>
        <v>0</v>
      </c>
      <c r="BK67" s="52">
        <f t="shared" si="193"/>
        <v>0</v>
      </c>
      <c r="BL67" s="52">
        <f t="shared" si="193"/>
        <v>0</v>
      </c>
      <c r="BM67" s="52">
        <f t="shared" si="193"/>
        <v>0</v>
      </c>
      <c r="BN67" s="52">
        <f t="shared" si="193"/>
        <v>0</v>
      </c>
      <c r="BO67" s="52">
        <f t="shared" si="193"/>
        <v>0</v>
      </c>
      <c r="BP67" s="52">
        <f t="shared" si="193"/>
        <v>0</v>
      </c>
      <c r="BQ67" s="52">
        <f t="shared" si="193"/>
        <v>0</v>
      </c>
      <c r="BR67" s="52">
        <f t="shared" ref="BR67:CW67" si="194">IFERROR(IF(BR$28="FALSE",0,$C$67/$C$8),0)</f>
        <v>0</v>
      </c>
      <c r="BS67" s="52">
        <f t="shared" si="194"/>
        <v>0</v>
      </c>
      <c r="BT67" s="52">
        <f t="shared" si="194"/>
        <v>0</v>
      </c>
      <c r="BU67" s="52">
        <f t="shared" si="194"/>
        <v>0</v>
      </c>
      <c r="BV67" s="52">
        <f t="shared" si="194"/>
        <v>0</v>
      </c>
      <c r="BW67" s="52">
        <f t="shared" si="194"/>
        <v>0</v>
      </c>
      <c r="BX67" s="52">
        <f t="shared" si="194"/>
        <v>0</v>
      </c>
      <c r="BY67" s="52">
        <f t="shared" si="194"/>
        <v>0</v>
      </c>
      <c r="BZ67" s="52">
        <f t="shared" si="194"/>
        <v>0</v>
      </c>
      <c r="CA67" s="52">
        <f t="shared" si="194"/>
        <v>0</v>
      </c>
      <c r="CB67" s="52">
        <f t="shared" si="194"/>
        <v>0</v>
      </c>
      <c r="CC67" s="52">
        <f t="shared" si="194"/>
        <v>0</v>
      </c>
      <c r="CD67" s="52">
        <f t="shared" si="194"/>
        <v>0</v>
      </c>
      <c r="CE67" s="52">
        <f t="shared" si="194"/>
        <v>0</v>
      </c>
      <c r="CF67" s="52">
        <f t="shared" si="194"/>
        <v>0</v>
      </c>
      <c r="CG67" s="52">
        <f t="shared" si="194"/>
        <v>0</v>
      </c>
      <c r="CH67" s="52">
        <f t="shared" si="194"/>
        <v>0</v>
      </c>
      <c r="CI67" s="52">
        <f t="shared" si="194"/>
        <v>0</v>
      </c>
      <c r="CJ67" s="52">
        <f t="shared" si="194"/>
        <v>0</v>
      </c>
      <c r="CK67" s="52">
        <f t="shared" si="194"/>
        <v>0</v>
      </c>
      <c r="CL67" s="52">
        <f t="shared" si="194"/>
        <v>0</v>
      </c>
      <c r="CM67" s="52">
        <f t="shared" si="194"/>
        <v>0</v>
      </c>
      <c r="CN67" s="52">
        <f t="shared" si="194"/>
        <v>0</v>
      </c>
      <c r="CO67" s="52">
        <f t="shared" si="194"/>
        <v>0</v>
      </c>
      <c r="CP67" s="52">
        <f t="shared" si="194"/>
        <v>0</v>
      </c>
      <c r="CQ67" s="52">
        <f t="shared" si="194"/>
        <v>0</v>
      </c>
      <c r="CR67" s="52">
        <f t="shared" si="194"/>
        <v>0</v>
      </c>
      <c r="CS67" s="52">
        <f t="shared" si="194"/>
        <v>0</v>
      </c>
      <c r="CT67" s="52">
        <f t="shared" si="194"/>
        <v>0</v>
      </c>
      <c r="CU67" s="52">
        <f t="shared" si="194"/>
        <v>0</v>
      </c>
      <c r="CV67" s="52">
        <f t="shared" si="194"/>
        <v>0</v>
      </c>
      <c r="CW67" s="52">
        <f t="shared" si="194"/>
        <v>0</v>
      </c>
      <c r="CX67" s="52">
        <f t="shared" ref="CX67:EC67" si="195">IFERROR(IF(CX$28="FALSE",0,$C$67/$C$8),0)</f>
        <v>0</v>
      </c>
      <c r="CY67" s="52">
        <f t="shared" si="195"/>
        <v>0</v>
      </c>
      <c r="CZ67" s="52">
        <f t="shared" si="195"/>
        <v>0</v>
      </c>
      <c r="DA67" s="52">
        <f t="shared" si="195"/>
        <v>0</v>
      </c>
      <c r="DB67" s="52">
        <f t="shared" si="195"/>
        <v>0</v>
      </c>
      <c r="DC67" s="52">
        <f t="shared" si="195"/>
        <v>0</v>
      </c>
      <c r="DD67" s="52">
        <f t="shared" si="195"/>
        <v>0</v>
      </c>
      <c r="DE67" s="52">
        <f t="shared" si="195"/>
        <v>0</v>
      </c>
      <c r="DF67" s="52">
        <f t="shared" si="195"/>
        <v>0</v>
      </c>
      <c r="DG67" s="52">
        <f t="shared" si="195"/>
        <v>0</v>
      </c>
      <c r="DH67" s="52">
        <f t="shared" si="195"/>
        <v>0</v>
      </c>
      <c r="DI67" s="52">
        <f t="shared" si="195"/>
        <v>0</v>
      </c>
      <c r="DJ67" s="52">
        <f t="shared" si="195"/>
        <v>0</v>
      </c>
      <c r="DK67" s="52">
        <f t="shared" si="195"/>
        <v>0</v>
      </c>
      <c r="DL67" s="52">
        <f t="shared" si="195"/>
        <v>0</v>
      </c>
      <c r="DM67" s="52">
        <f t="shared" si="195"/>
        <v>0</v>
      </c>
      <c r="DN67" s="52">
        <f t="shared" si="195"/>
        <v>0</v>
      </c>
      <c r="DO67" s="52">
        <f t="shared" si="195"/>
        <v>0</v>
      </c>
      <c r="DP67" s="52">
        <f t="shared" si="195"/>
        <v>0</v>
      </c>
      <c r="DQ67" s="52">
        <f t="shared" si="195"/>
        <v>0</v>
      </c>
      <c r="DR67" s="52">
        <f t="shared" si="195"/>
        <v>0</v>
      </c>
      <c r="DS67" s="52">
        <f t="shared" si="195"/>
        <v>0</v>
      </c>
      <c r="DT67" s="52">
        <f t="shared" si="195"/>
        <v>0</v>
      </c>
      <c r="DU67" s="52">
        <f t="shared" si="195"/>
        <v>0</v>
      </c>
      <c r="DV67" s="52">
        <f t="shared" si="195"/>
        <v>0</v>
      </c>
      <c r="DW67" s="52">
        <f t="shared" si="195"/>
        <v>0</v>
      </c>
      <c r="DX67" s="52">
        <f t="shared" si="195"/>
        <v>0</v>
      </c>
      <c r="DY67" s="52">
        <f t="shared" si="195"/>
        <v>0</v>
      </c>
      <c r="DZ67" s="52">
        <f t="shared" si="195"/>
        <v>0</v>
      </c>
      <c r="EA67" s="52">
        <f t="shared" si="195"/>
        <v>0</v>
      </c>
      <c r="EB67" s="52">
        <f t="shared" si="195"/>
        <v>0</v>
      </c>
      <c r="EC67" s="52">
        <f t="shared" si="195"/>
        <v>0</v>
      </c>
      <c r="ED67" s="52">
        <f t="shared" ref="ED67:FD67" si="196">IFERROR(IF(ED$28="FALSE",0,$C$67/$C$8),0)</f>
        <v>0</v>
      </c>
      <c r="EE67" s="52">
        <f t="shared" si="196"/>
        <v>0</v>
      </c>
      <c r="EF67" s="52">
        <f t="shared" si="196"/>
        <v>0</v>
      </c>
      <c r="EG67" s="52">
        <f t="shared" si="196"/>
        <v>0</v>
      </c>
      <c r="EH67" s="52">
        <f t="shared" si="196"/>
        <v>0</v>
      </c>
      <c r="EI67" s="52">
        <f t="shared" si="196"/>
        <v>0</v>
      </c>
      <c r="EJ67" s="52">
        <f t="shared" si="196"/>
        <v>0</v>
      </c>
      <c r="EK67" s="52">
        <f t="shared" si="196"/>
        <v>0</v>
      </c>
      <c r="EL67" s="52">
        <f t="shared" si="196"/>
        <v>0</v>
      </c>
      <c r="EM67" s="52">
        <f t="shared" si="196"/>
        <v>0</v>
      </c>
      <c r="EN67" s="52">
        <f t="shared" si="196"/>
        <v>0</v>
      </c>
      <c r="EO67" s="52">
        <f t="shared" si="196"/>
        <v>0</v>
      </c>
      <c r="EP67" s="52">
        <f t="shared" si="196"/>
        <v>0</v>
      </c>
      <c r="EQ67" s="52">
        <f t="shared" si="196"/>
        <v>0</v>
      </c>
      <c r="ER67" s="52">
        <f t="shared" si="196"/>
        <v>0</v>
      </c>
      <c r="ES67" s="52">
        <f t="shared" si="196"/>
        <v>0</v>
      </c>
      <c r="ET67" s="52">
        <f t="shared" si="196"/>
        <v>0</v>
      </c>
      <c r="EU67" s="52">
        <f t="shared" si="196"/>
        <v>0</v>
      </c>
      <c r="EV67" s="52">
        <f t="shared" si="196"/>
        <v>0</v>
      </c>
      <c r="EW67" s="52">
        <f t="shared" si="196"/>
        <v>0</v>
      </c>
      <c r="EX67" s="52">
        <f t="shared" si="196"/>
        <v>0</v>
      </c>
      <c r="EY67" s="52">
        <f t="shared" si="196"/>
        <v>0</v>
      </c>
      <c r="EZ67" s="52">
        <f t="shared" si="196"/>
        <v>0</v>
      </c>
      <c r="FA67" s="52">
        <f t="shared" si="196"/>
        <v>0</v>
      </c>
      <c r="FB67" s="52">
        <f t="shared" si="196"/>
        <v>0</v>
      </c>
      <c r="FC67" s="52">
        <f t="shared" si="196"/>
        <v>0</v>
      </c>
      <c r="FD67" s="52">
        <f t="shared" si="196"/>
        <v>0</v>
      </c>
    </row>
    <row r="68" spans="2:160">
      <c r="B68" s="51" t="s">
        <v>147</v>
      </c>
      <c r="C68" s="52">
        <f ca="1">IF(Startup!$C$3="Project",SUMIF(Startup!$C$7:$D$27,Overview!B68,Startup!$D$7:$D$27),(SUMIF(Startup!$C$7:$D$27,Overview!B68,Startup!$D$7:$D$27)*Startup!$C$4))+IF(Pilot!$C$3="Project",SUMIF(Pilot!$C$7:$D$27,Overview!B68,Pilot!$D$7:$D$27),(SUMIF(Pilot!$C$7:$D$27,Overview!B68,Pilot!$D$7:$D$27)*Pilot!$C$4))+IF(PMO!$C$3="Project",SUMIF(PMO!$C$7:$D$27,Overview!B68,PMO!$D$7:$D$27),(SUMIF(PMO!$C$7:$D$27,Overview!B68,PMO!$D$7:$D$27)*PMO!$C$4))+IF('Design &amp; Fulfillment'!$C$3="Project",SUMIF('Design &amp; Fulfillment'!$C$7:$D$27,Overview!B68,'Design &amp; Fulfillment'!$D$7:$D$27),(SUMIF('Design &amp; Fulfillment'!$C$7:$D$27,Overview!B68,'Design &amp; Fulfillment'!$D$7:$D$27)*'Design &amp; Fulfillment'!$C$4))+IF(Workplace!$C$3="Project",SUMIF(Workplace!$C$7:$D$27,Overview!B68,Workplace!$D$7:$D$27),(SUMIF(Workplace!$C$7:$D$27,Overview!B68,Workplace!$D$7:$D$27)*Workplace!$C$4))+IF(Integration!$C$3="Project",SUMIF(Integration!$C$7:$D$27,Overview!B68,Integration!$D$7:$D$27),(SUMIF(Integration!$C$7:$D$27,Overview!B68,Integration!$D$7:$D$27)*Integration!$C$4))+IF(Logistics!$C$3="Project",SUMIF(Logistics!$C$7:$D$27,Overview!B68,Logistics!$D$7:$D$27),(SUMIF(Logistics!$C$7:$D$27,Overview!B68,Logistics!$D$7:$D$27)*Logistics!$C$4))+IF('Service Desk'!$C$3="Project",SUMIF('Service Desk'!$C$7:$D$27,Overview!B68,'Service Desk'!$D$7:$D$27),(SUMIF('Service Desk'!$C$7:$D$27,Overview!B68,'Service Desk'!$D$7:$D$27)*'Service Desk'!$C$4))+IF('Pro Services'!$C$3="Project",SUMIF('Pro Services'!$C$7:$D$27,Overview!B68,'Pro Services'!$D$7:$D$27),(SUMIF('Pro Services'!$C$7:$D$27,Overview!B68,'Pro Services'!$D$7:$D$27)*'Pro Services'!$C$4))</f>
        <v>0</v>
      </c>
      <c r="D68" s="53">
        <f ca="1">IF(Startup!$C$3="Project",SUMIF(Startup!$C$7:$H$27,Overview!B68,Startup!$H$7:$H$27),(SUMIF(Startup!$C$7:$H$27,Overview!B68,Startup!$H$7:$H$27)*Startup!$C$4))+IF(Pilot!$C$3="Project",SUMIF(Pilot!$C$7:$H$27,Overview!B68,Pilot!$H$7:$H$27),(SUMIF(Pilot!$C$7:$H$27,Overview!B68,Pilot!$H$7:$H$27)*Pilot!$C$4))+IF(PMO!$C$3="Project",SUMIF(PMO!$C$7:$H$27,Overview!B68,PMO!$H$7:$H$27),(SUMIF(PMO!$C$7:$H$27,Overview!B68,PMO!$H$7:$H$27)*PMO!$C$4))+IF('Design &amp; Fulfillment'!$C$3="Project",SUMIF('Design &amp; Fulfillment'!$C$7:$H$27,Overview!B68,'Design &amp; Fulfillment'!$H$7:$H$27),(SUMIF('Design &amp; Fulfillment'!$C$7:$H$27,Overview!B68,'Design &amp; Fulfillment'!$H$7:$H$27)*'Design &amp; Fulfillment'!$C$4))+IF(Workplace!$C$3="Project",SUMIF(Workplace!$C$7:$H$27,Overview!B68,Workplace!$H$7:$H$27),(SUMIF(Workplace!$C$7:$H$27,Overview!B68,Workplace!$H$7:$H$27)*Workplace!$C$4))+IF(Integration!$C$3="Project",SUMIF(Integration!$C$7:$H$27,Overview!B68,Integration!$H$7:$H$27),(SUMIF(Integration!$C$7:$H$27,Overview!B68,Integration!$H$7:$H$27)*Integration!$C$4))+IF(Logistics!$C$3="Project",SUMIF(Logistics!$C$7:$H$27,Overview!B68,Logistics!$H$7:$H$27),(SUMIF(Logistics!$C$7:$H$27,Overview!B68,Logistics!$H$7:$H$27)*Logistics!$C$4))+IF('Service Desk'!$C$3="Project",SUMIF('Service Desk'!$C$7:$H$27,Overview!B68,'Service Desk'!$H$7:$H$27),(SUMIF('Service Desk'!$C$7:$H$27,Overview!B68,'Service Desk'!$H$7:$H$27)*'Service Desk'!$C$4))+IF('Pro Services'!$C$3="Project",SUMIF('Pro Services'!$C$7:$H$27,Overview!B68,'Pro Services'!$H$7:$H$27),(SUMIF('Pro Services'!$C$7:$H$27,Overview!B68,'Pro Services'!$H$7:$H$27)*'Pro Services'!$C$4))</f>
        <v>0</v>
      </c>
      <c r="E68" s="52">
        <f t="shared" ca="1" si="120"/>
        <v>0</v>
      </c>
      <c r="F68" s="52">
        <f t="shared" ref="F68:AK68" si="197">IFERROR(IF(F$28="FALSE",0,$C$68/$C$8),0)</f>
        <v>0</v>
      </c>
      <c r="G68" s="52">
        <f t="shared" si="197"/>
        <v>0</v>
      </c>
      <c r="H68" s="52">
        <f t="shared" si="197"/>
        <v>0</v>
      </c>
      <c r="I68" s="52">
        <f t="shared" si="197"/>
        <v>0</v>
      </c>
      <c r="J68" s="52">
        <f t="shared" si="197"/>
        <v>0</v>
      </c>
      <c r="K68" s="52">
        <f t="shared" si="197"/>
        <v>0</v>
      </c>
      <c r="L68" s="52">
        <f t="shared" si="197"/>
        <v>0</v>
      </c>
      <c r="M68" s="52">
        <f t="shared" si="197"/>
        <v>0</v>
      </c>
      <c r="N68" s="52">
        <f t="shared" si="197"/>
        <v>0</v>
      </c>
      <c r="O68" s="52">
        <f t="shared" si="197"/>
        <v>0</v>
      </c>
      <c r="P68" s="52">
        <f t="shared" si="197"/>
        <v>0</v>
      </c>
      <c r="Q68" s="52">
        <f t="shared" si="197"/>
        <v>0</v>
      </c>
      <c r="R68" s="52">
        <f t="shared" si="197"/>
        <v>0</v>
      </c>
      <c r="S68" s="52">
        <f t="shared" si="197"/>
        <v>0</v>
      </c>
      <c r="T68" s="52">
        <f t="shared" si="197"/>
        <v>0</v>
      </c>
      <c r="U68" s="52">
        <f t="shared" si="197"/>
        <v>0</v>
      </c>
      <c r="V68" s="52">
        <f t="shared" si="197"/>
        <v>0</v>
      </c>
      <c r="W68" s="52">
        <f t="shared" si="197"/>
        <v>0</v>
      </c>
      <c r="X68" s="52">
        <f t="shared" si="197"/>
        <v>0</v>
      </c>
      <c r="Y68" s="52">
        <f t="shared" si="197"/>
        <v>0</v>
      </c>
      <c r="Z68" s="52">
        <f t="shared" si="197"/>
        <v>0</v>
      </c>
      <c r="AA68" s="52">
        <f t="shared" si="197"/>
        <v>0</v>
      </c>
      <c r="AB68" s="52">
        <f t="shared" si="197"/>
        <v>0</v>
      </c>
      <c r="AC68" s="52">
        <f t="shared" si="197"/>
        <v>0</v>
      </c>
      <c r="AD68" s="52">
        <f t="shared" si="197"/>
        <v>0</v>
      </c>
      <c r="AE68" s="52">
        <f t="shared" si="197"/>
        <v>0</v>
      </c>
      <c r="AF68" s="52">
        <f t="shared" si="197"/>
        <v>0</v>
      </c>
      <c r="AG68" s="52">
        <f t="shared" si="197"/>
        <v>0</v>
      </c>
      <c r="AH68" s="52">
        <f t="shared" si="197"/>
        <v>0</v>
      </c>
      <c r="AI68" s="52">
        <f t="shared" si="197"/>
        <v>0</v>
      </c>
      <c r="AJ68" s="52">
        <f t="shared" si="197"/>
        <v>0</v>
      </c>
      <c r="AK68" s="52">
        <f t="shared" si="197"/>
        <v>0</v>
      </c>
      <c r="AL68" s="52">
        <f t="shared" ref="AL68:BQ68" si="198">IFERROR(IF(AL$28="FALSE",0,$C$68/$C$8),0)</f>
        <v>0</v>
      </c>
      <c r="AM68" s="52">
        <f t="shared" si="198"/>
        <v>0</v>
      </c>
      <c r="AN68" s="52">
        <f t="shared" si="198"/>
        <v>0</v>
      </c>
      <c r="AO68" s="52">
        <f t="shared" si="198"/>
        <v>0</v>
      </c>
      <c r="AP68" s="52">
        <f t="shared" si="198"/>
        <v>0</v>
      </c>
      <c r="AQ68" s="52">
        <f t="shared" si="198"/>
        <v>0</v>
      </c>
      <c r="AR68" s="52">
        <f t="shared" si="198"/>
        <v>0</v>
      </c>
      <c r="AS68" s="52">
        <f t="shared" si="198"/>
        <v>0</v>
      </c>
      <c r="AT68" s="52">
        <f t="shared" si="198"/>
        <v>0</v>
      </c>
      <c r="AU68" s="52">
        <f t="shared" si="198"/>
        <v>0</v>
      </c>
      <c r="AV68" s="52">
        <f t="shared" si="198"/>
        <v>0</v>
      </c>
      <c r="AW68" s="52">
        <f t="shared" si="198"/>
        <v>0</v>
      </c>
      <c r="AX68" s="52">
        <f t="shared" si="198"/>
        <v>0</v>
      </c>
      <c r="AY68" s="52">
        <f t="shared" si="198"/>
        <v>0</v>
      </c>
      <c r="AZ68" s="52">
        <f t="shared" si="198"/>
        <v>0</v>
      </c>
      <c r="BA68" s="52">
        <f t="shared" si="198"/>
        <v>0</v>
      </c>
      <c r="BB68" s="52">
        <f t="shared" si="198"/>
        <v>0</v>
      </c>
      <c r="BC68" s="52">
        <f t="shared" si="198"/>
        <v>0</v>
      </c>
      <c r="BD68" s="52">
        <f t="shared" si="198"/>
        <v>0</v>
      </c>
      <c r="BE68" s="52">
        <f t="shared" si="198"/>
        <v>0</v>
      </c>
      <c r="BF68" s="52">
        <f t="shared" si="198"/>
        <v>0</v>
      </c>
      <c r="BG68" s="52">
        <f t="shared" si="198"/>
        <v>0</v>
      </c>
      <c r="BH68" s="52">
        <f t="shared" si="198"/>
        <v>0</v>
      </c>
      <c r="BI68" s="52">
        <f t="shared" si="198"/>
        <v>0</v>
      </c>
      <c r="BJ68" s="52">
        <f t="shared" si="198"/>
        <v>0</v>
      </c>
      <c r="BK68" s="52">
        <f t="shared" si="198"/>
        <v>0</v>
      </c>
      <c r="BL68" s="52">
        <f t="shared" si="198"/>
        <v>0</v>
      </c>
      <c r="BM68" s="52">
        <f t="shared" si="198"/>
        <v>0</v>
      </c>
      <c r="BN68" s="52">
        <f t="shared" si="198"/>
        <v>0</v>
      </c>
      <c r="BO68" s="52">
        <f t="shared" si="198"/>
        <v>0</v>
      </c>
      <c r="BP68" s="52">
        <f t="shared" si="198"/>
        <v>0</v>
      </c>
      <c r="BQ68" s="52">
        <f t="shared" si="198"/>
        <v>0</v>
      </c>
      <c r="BR68" s="52">
        <f t="shared" ref="BR68:CW68" si="199">IFERROR(IF(BR$28="FALSE",0,$C$68/$C$8),0)</f>
        <v>0</v>
      </c>
      <c r="BS68" s="52">
        <f t="shared" si="199"/>
        <v>0</v>
      </c>
      <c r="BT68" s="52">
        <f t="shared" si="199"/>
        <v>0</v>
      </c>
      <c r="BU68" s="52">
        <f t="shared" si="199"/>
        <v>0</v>
      </c>
      <c r="BV68" s="52">
        <f t="shared" si="199"/>
        <v>0</v>
      </c>
      <c r="BW68" s="52">
        <f t="shared" si="199"/>
        <v>0</v>
      </c>
      <c r="BX68" s="52">
        <f t="shared" si="199"/>
        <v>0</v>
      </c>
      <c r="BY68" s="52">
        <f t="shared" si="199"/>
        <v>0</v>
      </c>
      <c r="BZ68" s="52">
        <f t="shared" si="199"/>
        <v>0</v>
      </c>
      <c r="CA68" s="52">
        <f t="shared" si="199"/>
        <v>0</v>
      </c>
      <c r="CB68" s="52">
        <f t="shared" si="199"/>
        <v>0</v>
      </c>
      <c r="CC68" s="52">
        <f t="shared" si="199"/>
        <v>0</v>
      </c>
      <c r="CD68" s="52">
        <f t="shared" si="199"/>
        <v>0</v>
      </c>
      <c r="CE68" s="52">
        <f t="shared" si="199"/>
        <v>0</v>
      </c>
      <c r="CF68" s="52">
        <f t="shared" si="199"/>
        <v>0</v>
      </c>
      <c r="CG68" s="52">
        <f t="shared" si="199"/>
        <v>0</v>
      </c>
      <c r="CH68" s="52">
        <f t="shared" si="199"/>
        <v>0</v>
      </c>
      <c r="CI68" s="52">
        <f t="shared" si="199"/>
        <v>0</v>
      </c>
      <c r="CJ68" s="52">
        <f t="shared" si="199"/>
        <v>0</v>
      </c>
      <c r="CK68" s="52">
        <f t="shared" si="199"/>
        <v>0</v>
      </c>
      <c r="CL68" s="52">
        <f t="shared" si="199"/>
        <v>0</v>
      </c>
      <c r="CM68" s="52">
        <f t="shared" si="199"/>
        <v>0</v>
      </c>
      <c r="CN68" s="52">
        <f t="shared" si="199"/>
        <v>0</v>
      </c>
      <c r="CO68" s="52">
        <f t="shared" si="199"/>
        <v>0</v>
      </c>
      <c r="CP68" s="52">
        <f t="shared" si="199"/>
        <v>0</v>
      </c>
      <c r="CQ68" s="52">
        <f t="shared" si="199"/>
        <v>0</v>
      </c>
      <c r="CR68" s="52">
        <f t="shared" si="199"/>
        <v>0</v>
      </c>
      <c r="CS68" s="52">
        <f t="shared" si="199"/>
        <v>0</v>
      </c>
      <c r="CT68" s="52">
        <f t="shared" si="199"/>
        <v>0</v>
      </c>
      <c r="CU68" s="52">
        <f t="shared" si="199"/>
        <v>0</v>
      </c>
      <c r="CV68" s="52">
        <f t="shared" si="199"/>
        <v>0</v>
      </c>
      <c r="CW68" s="52">
        <f t="shared" si="199"/>
        <v>0</v>
      </c>
      <c r="CX68" s="52">
        <f t="shared" ref="CX68:EC68" si="200">IFERROR(IF(CX$28="FALSE",0,$C$68/$C$8),0)</f>
        <v>0</v>
      </c>
      <c r="CY68" s="52">
        <f t="shared" si="200"/>
        <v>0</v>
      </c>
      <c r="CZ68" s="52">
        <f t="shared" si="200"/>
        <v>0</v>
      </c>
      <c r="DA68" s="52">
        <f t="shared" si="200"/>
        <v>0</v>
      </c>
      <c r="DB68" s="52">
        <f t="shared" si="200"/>
        <v>0</v>
      </c>
      <c r="DC68" s="52">
        <f t="shared" si="200"/>
        <v>0</v>
      </c>
      <c r="DD68" s="52">
        <f t="shared" si="200"/>
        <v>0</v>
      </c>
      <c r="DE68" s="52">
        <f t="shared" si="200"/>
        <v>0</v>
      </c>
      <c r="DF68" s="52">
        <f t="shared" si="200"/>
        <v>0</v>
      </c>
      <c r="DG68" s="52">
        <f t="shared" si="200"/>
        <v>0</v>
      </c>
      <c r="DH68" s="52">
        <f t="shared" si="200"/>
        <v>0</v>
      </c>
      <c r="DI68" s="52">
        <f t="shared" si="200"/>
        <v>0</v>
      </c>
      <c r="DJ68" s="52">
        <f t="shared" si="200"/>
        <v>0</v>
      </c>
      <c r="DK68" s="52">
        <f t="shared" si="200"/>
        <v>0</v>
      </c>
      <c r="DL68" s="52">
        <f t="shared" si="200"/>
        <v>0</v>
      </c>
      <c r="DM68" s="52">
        <f t="shared" si="200"/>
        <v>0</v>
      </c>
      <c r="DN68" s="52">
        <f t="shared" si="200"/>
        <v>0</v>
      </c>
      <c r="DO68" s="52">
        <f t="shared" si="200"/>
        <v>0</v>
      </c>
      <c r="DP68" s="52">
        <f t="shared" si="200"/>
        <v>0</v>
      </c>
      <c r="DQ68" s="52">
        <f t="shared" si="200"/>
        <v>0</v>
      </c>
      <c r="DR68" s="52">
        <f t="shared" si="200"/>
        <v>0</v>
      </c>
      <c r="DS68" s="52">
        <f t="shared" si="200"/>
        <v>0</v>
      </c>
      <c r="DT68" s="52">
        <f t="shared" si="200"/>
        <v>0</v>
      </c>
      <c r="DU68" s="52">
        <f t="shared" si="200"/>
        <v>0</v>
      </c>
      <c r="DV68" s="52">
        <f t="shared" si="200"/>
        <v>0</v>
      </c>
      <c r="DW68" s="52">
        <f t="shared" si="200"/>
        <v>0</v>
      </c>
      <c r="DX68" s="52">
        <f t="shared" si="200"/>
        <v>0</v>
      </c>
      <c r="DY68" s="52">
        <f t="shared" si="200"/>
        <v>0</v>
      </c>
      <c r="DZ68" s="52">
        <f t="shared" si="200"/>
        <v>0</v>
      </c>
      <c r="EA68" s="52">
        <f t="shared" si="200"/>
        <v>0</v>
      </c>
      <c r="EB68" s="52">
        <f t="shared" si="200"/>
        <v>0</v>
      </c>
      <c r="EC68" s="52">
        <f t="shared" si="200"/>
        <v>0</v>
      </c>
      <c r="ED68" s="52">
        <f t="shared" ref="ED68:FD68" si="201">IFERROR(IF(ED$28="FALSE",0,$C$68/$C$8),0)</f>
        <v>0</v>
      </c>
      <c r="EE68" s="52">
        <f t="shared" si="201"/>
        <v>0</v>
      </c>
      <c r="EF68" s="52">
        <f t="shared" si="201"/>
        <v>0</v>
      </c>
      <c r="EG68" s="52">
        <f t="shared" si="201"/>
        <v>0</v>
      </c>
      <c r="EH68" s="52">
        <f t="shared" si="201"/>
        <v>0</v>
      </c>
      <c r="EI68" s="52">
        <f t="shared" si="201"/>
        <v>0</v>
      </c>
      <c r="EJ68" s="52">
        <f t="shared" si="201"/>
        <v>0</v>
      </c>
      <c r="EK68" s="52">
        <f t="shared" si="201"/>
        <v>0</v>
      </c>
      <c r="EL68" s="52">
        <f t="shared" si="201"/>
        <v>0</v>
      </c>
      <c r="EM68" s="52">
        <f t="shared" si="201"/>
        <v>0</v>
      </c>
      <c r="EN68" s="52">
        <f t="shared" si="201"/>
        <v>0</v>
      </c>
      <c r="EO68" s="52">
        <f t="shared" si="201"/>
        <v>0</v>
      </c>
      <c r="EP68" s="52">
        <f t="shared" si="201"/>
        <v>0</v>
      </c>
      <c r="EQ68" s="52">
        <f t="shared" si="201"/>
        <v>0</v>
      </c>
      <c r="ER68" s="52">
        <f t="shared" si="201"/>
        <v>0</v>
      </c>
      <c r="ES68" s="52">
        <f t="shared" si="201"/>
        <v>0</v>
      </c>
      <c r="ET68" s="52">
        <f t="shared" si="201"/>
        <v>0</v>
      </c>
      <c r="EU68" s="52">
        <f t="shared" si="201"/>
        <v>0</v>
      </c>
      <c r="EV68" s="52">
        <f t="shared" si="201"/>
        <v>0</v>
      </c>
      <c r="EW68" s="52">
        <f t="shared" si="201"/>
        <v>0</v>
      </c>
      <c r="EX68" s="52">
        <f t="shared" si="201"/>
        <v>0</v>
      </c>
      <c r="EY68" s="52">
        <f t="shared" si="201"/>
        <v>0</v>
      </c>
      <c r="EZ68" s="52">
        <f t="shared" si="201"/>
        <v>0</v>
      </c>
      <c r="FA68" s="52">
        <f t="shared" si="201"/>
        <v>0</v>
      </c>
      <c r="FB68" s="52">
        <f t="shared" si="201"/>
        <v>0</v>
      </c>
      <c r="FC68" s="52">
        <f t="shared" si="201"/>
        <v>0</v>
      </c>
      <c r="FD68" s="52">
        <f t="shared" si="201"/>
        <v>0</v>
      </c>
    </row>
    <row r="69" spans="2:160">
      <c r="B69" s="51" t="s">
        <v>148</v>
      </c>
      <c r="C69" s="52">
        <f ca="1">IF(Startup!$C$3="Project",SUMIF(Startup!$C$7:$D$27,Overview!B69,Startup!$D$7:$D$27),(SUMIF(Startup!$C$7:$D$27,Overview!B69,Startup!$D$7:$D$27)*Startup!$C$4))+IF(Pilot!$C$3="Project",SUMIF(Pilot!$C$7:$D$27,Overview!B69,Pilot!$D$7:$D$27),(SUMIF(Pilot!$C$7:$D$27,Overview!B69,Pilot!$D$7:$D$27)*Pilot!$C$4))+IF(PMO!$C$3="Project",SUMIF(PMO!$C$7:$D$27,Overview!B69,PMO!$D$7:$D$27),(SUMIF(PMO!$C$7:$D$27,Overview!B69,PMO!$D$7:$D$27)*PMO!$C$4))+IF('Design &amp; Fulfillment'!$C$3="Project",SUMIF('Design &amp; Fulfillment'!$C$7:$D$27,Overview!B69,'Design &amp; Fulfillment'!$D$7:$D$27),(SUMIF('Design &amp; Fulfillment'!$C$7:$D$27,Overview!B69,'Design &amp; Fulfillment'!$D$7:$D$27)*'Design &amp; Fulfillment'!$C$4))+IF(Workplace!$C$3="Project",SUMIF(Workplace!$C$7:$D$27,Overview!B69,Workplace!$D$7:$D$27),(SUMIF(Workplace!$C$7:$D$27,Overview!B69,Workplace!$D$7:$D$27)*Workplace!$C$4))+IF(Integration!$C$3="Project",SUMIF(Integration!$C$7:$D$27,Overview!B69,Integration!$D$7:$D$27),(SUMIF(Integration!$C$7:$D$27,Overview!B69,Integration!$D$7:$D$27)*Integration!$C$4))+IF(Logistics!$C$3="Project",SUMIF(Logistics!$C$7:$D$27,Overview!B69,Logistics!$D$7:$D$27),(SUMIF(Logistics!$C$7:$D$27,Overview!B69,Logistics!$D$7:$D$27)*Logistics!$C$4))+IF('Service Desk'!$C$3="Project",SUMIF('Service Desk'!$C$7:$D$27,Overview!B69,'Service Desk'!$D$7:$D$27),(SUMIF('Service Desk'!$C$7:$D$27,Overview!B69,'Service Desk'!$D$7:$D$27)*'Service Desk'!$C$4))+IF('Pro Services'!$C$3="Project",SUMIF('Pro Services'!$C$7:$D$27,Overview!B69,'Pro Services'!$D$7:$D$27),(SUMIF('Pro Services'!$C$7:$D$27,Overview!B69,'Pro Services'!$D$7:$D$27)*'Pro Services'!$C$4))</f>
        <v>0</v>
      </c>
      <c r="D69" s="53">
        <f ca="1">IF(Startup!$C$3="Project",SUMIF(Startup!$C$7:$H$27,Overview!B69,Startup!$H$7:$H$27),(SUMIF(Startup!$C$7:$H$27,Overview!B69,Startup!$H$7:$H$27)*Startup!$C$4))+IF(Pilot!$C$3="Project",SUMIF(Pilot!$C$7:$H$27,Overview!B69,Pilot!$H$7:$H$27),(SUMIF(Pilot!$C$7:$H$27,Overview!B69,Pilot!$H$7:$H$27)*Pilot!$C$4))+IF(PMO!$C$3="Project",SUMIF(PMO!$C$7:$H$27,Overview!B69,PMO!$H$7:$H$27),(SUMIF(PMO!$C$7:$H$27,Overview!B69,PMO!$H$7:$H$27)*PMO!$C$4))+IF('Design &amp; Fulfillment'!$C$3="Project",SUMIF('Design &amp; Fulfillment'!$C$7:$H$27,Overview!B69,'Design &amp; Fulfillment'!$H$7:$H$27),(SUMIF('Design &amp; Fulfillment'!$C$7:$H$27,Overview!B69,'Design &amp; Fulfillment'!$H$7:$H$27)*'Design &amp; Fulfillment'!$C$4))+IF(Workplace!$C$3="Project",SUMIF(Workplace!$C$7:$H$27,Overview!B69,Workplace!$H$7:$H$27),(SUMIF(Workplace!$C$7:$H$27,Overview!B69,Workplace!$H$7:$H$27)*Workplace!$C$4))+IF(Integration!$C$3="Project",SUMIF(Integration!$C$7:$H$27,Overview!B69,Integration!$H$7:$H$27),(SUMIF(Integration!$C$7:$H$27,Overview!B69,Integration!$H$7:$H$27)*Integration!$C$4))+IF(Logistics!$C$3="Project",SUMIF(Logistics!$C$7:$H$27,Overview!B69,Logistics!$H$7:$H$27),(SUMIF(Logistics!$C$7:$H$27,Overview!B69,Logistics!$H$7:$H$27)*Logistics!$C$4))+IF('Service Desk'!$C$3="Project",SUMIF('Service Desk'!$C$7:$H$27,Overview!B69,'Service Desk'!$H$7:$H$27),(SUMIF('Service Desk'!$C$7:$H$27,Overview!B69,'Service Desk'!$H$7:$H$27)*'Service Desk'!$C$4))+IF('Pro Services'!$C$3="Project",SUMIF('Pro Services'!$C$7:$H$27,Overview!B69,'Pro Services'!$H$7:$H$27),(SUMIF('Pro Services'!$C$7:$H$27,Overview!B69,'Pro Services'!$H$7:$H$27)*'Pro Services'!$C$4))</f>
        <v>0</v>
      </c>
      <c r="E69" s="52">
        <f t="shared" ca="1" si="120"/>
        <v>0</v>
      </c>
      <c r="F69" s="52">
        <f t="shared" ref="F69:AK69" si="202">IFERROR(IF(F$28="FALSE",0,$C$69/$C$8),0)</f>
        <v>0</v>
      </c>
      <c r="G69" s="52">
        <f t="shared" si="202"/>
        <v>0</v>
      </c>
      <c r="H69" s="52">
        <f t="shared" si="202"/>
        <v>0</v>
      </c>
      <c r="I69" s="52">
        <f t="shared" si="202"/>
        <v>0</v>
      </c>
      <c r="J69" s="52">
        <f t="shared" si="202"/>
        <v>0</v>
      </c>
      <c r="K69" s="52">
        <f t="shared" si="202"/>
        <v>0</v>
      </c>
      <c r="L69" s="52">
        <f t="shared" si="202"/>
        <v>0</v>
      </c>
      <c r="M69" s="52">
        <f t="shared" si="202"/>
        <v>0</v>
      </c>
      <c r="N69" s="52">
        <f t="shared" si="202"/>
        <v>0</v>
      </c>
      <c r="O69" s="52">
        <f t="shared" si="202"/>
        <v>0</v>
      </c>
      <c r="P69" s="52">
        <f t="shared" si="202"/>
        <v>0</v>
      </c>
      <c r="Q69" s="52">
        <f t="shared" si="202"/>
        <v>0</v>
      </c>
      <c r="R69" s="52">
        <f t="shared" si="202"/>
        <v>0</v>
      </c>
      <c r="S69" s="52">
        <f t="shared" si="202"/>
        <v>0</v>
      </c>
      <c r="T69" s="52">
        <f t="shared" si="202"/>
        <v>0</v>
      </c>
      <c r="U69" s="52">
        <f t="shared" si="202"/>
        <v>0</v>
      </c>
      <c r="V69" s="52">
        <f t="shared" si="202"/>
        <v>0</v>
      </c>
      <c r="W69" s="52">
        <f t="shared" si="202"/>
        <v>0</v>
      </c>
      <c r="X69" s="52">
        <f t="shared" si="202"/>
        <v>0</v>
      </c>
      <c r="Y69" s="52">
        <f t="shared" si="202"/>
        <v>0</v>
      </c>
      <c r="Z69" s="52">
        <f t="shared" si="202"/>
        <v>0</v>
      </c>
      <c r="AA69" s="52">
        <f t="shared" si="202"/>
        <v>0</v>
      </c>
      <c r="AB69" s="52">
        <f t="shared" si="202"/>
        <v>0</v>
      </c>
      <c r="AC69" s="52">
        <f t="shared" si="202"/>
        <v>0</v>
      </c>
      <c r="AD69" s="52">
        <f t="shared" si="202"/>
        <v>0</v>
      </c>
      <c r="AE69" s="52">
        <f t="shared" si="202"/>
        <v>0</v>
      </c>
      <c r="AF69" s="52">
        <f t="shared" si="202"/>
        <v>0</v>
      </c>
      <c r="AG69" s="52">
        <f t="shared" si="202"/>
        <v>0</v>
      </c>
      <c r="AH69" s="52">
        <f t="shared" si="202"/>
        <v>0</v>
      </c>
      <c r="AI69" s="52">
        <f t="shared" si="202"/>
        <v>0</v>
      </c>
      <c r="AJ69" s="52">
        <f t="shared" si="202"/>
        <v>0</v>
      </c>
      <c r="AK69" s="52">
        <f t="shared" si="202"/>
        <v>0</v>
      </c>
      <c r="AL69" s="52">
        <f t="shared" ref="AL69:BQ69" si="203">IFERROR(IF(AL$28="FALSE",0,$C$69/$C$8),0)</f>
        <v>0</v>
      </c>
      <c r="AM69" s="52">
        <f t="shared" si="203"/>
        <v>0</v>
      </c>
      <c r="AN69" s="52">
        <f t="shared" si="203"/>
        <v>0</v>
      </c>
      <c r="AO69" s="52">
        <f t="shared" si="203"/>
        <v>0</v>
      </c>
      <c r="AP69" s="52">
        <f t="shared" si="203"/>
        <v>0</v>
      </c>
      <c r="AQ69" s="52">
        <f t="shared" si="203"/>
        <v>0</v>
      </c>
      <c r="AR69" s="52">
        <f t="shared" si="203"/>
        <v>0</v>
      </c>
      <c r="AS69" s="52">
        <f t="shared" si="203"/>
        <v>0</v>
      </c>
      <c r="AT69" s="52">
        <f t="shared" si="203"/>
        <v>0</v>
      </c>
      <c r="AU69" s="52">
        <f t="shared" si="203"/>
        <v>0</v>
      </c>
      <c r="AV69" s="52">
        <f t="shared" si="203"/>
        <v>0</v>
      </c>
      <c r="AW69" s="52">
        <f t="shared" si="203"/>
        <v>0</v>
      </c>
      <c r="AX69" s="52">
        <f t="shared" si="203"/>
        <v>0</v>
      </c>
      <c r="AY69" s="52">
        <f t="shared" si="203"/>
        <v>0</v>
      </c>
      <c r="AZ69" s="52">
        <f t="shared" si="203"/>
        <v>0</v>
      </c>
      <c r="BA69" s="52">
        <f t="shared" si="203"/>
        <v>0</v>
      </c>
      <c r="BB69" s="52">
        <f t="shared" si="203"/>
        <v>0</v>
      </c>
      <c r="BC69" s="52">
        <f t="shared" si="203"/>
        <v>0</v>
      </c>
      <c r="BD69" s="52">
        <f t="shared" si="203"/>
        <v>0</v>
      </c>
      <c r="BE69" s="52">
        <f t="shared" si="203"/>
        <v>0</v>
      </c>
      <c r="BF69" s="52">
        <f t="shared" si="203"/>
        <v>0</v>
      </c>
      <c r="BG69" s="52">
        <f t="shared" si="203"/>
        <v>0</v>
      </c>
      <c r="BH69" s="52">
        <f t="shared" si="203"/>
        <v>0</v>
      </c>
      <c r="BI69" s="52">
        <f t="shared" si="203"/>
        <v>0</v>
      </c>
      <c r="BJ69" s="52">
        <f t="shared" si="203"/>
        <v>0</v>
      </c>
      <c r="BK69" s="52">
        <f t="shared" si="203"/>
        <v>0</v>
      </c>
      <c r="BL69" s="52">
        <f t="shared" si="203"/>
        <v>0</v>
      </c>
      <c r="BM69" s="52">
        <f t="shared" si="203"/>
        <v>0</v>
      </c>
      <c r="BN69" s="52">
        <f t="shared" si="203"/>
        <v>0</v>
      </c>
      <c r="BO69" s="52">
        <f t="shared" si="203"/>
        <v>0</v>
      </c>
      <c r="BP69" s="52">
        <f t="shared" si="203"/>
        <v>0</v>
      </c>
      <c r="BQ69" s="52">
        <f t="shared" si="203"/>
        <v>0</v>
      </c>
      <c r="BR69" s="52">
        <f t="shared" ref="BR69:CW69" si="204">IFERROR(IF(BR$28="FALSE",0,$C$69/$C$8),0)</f>
        <v>0</v>
      </c>
      <c r="BS69" s="52">
        <f t="shared" si="204"/>
        <v>0</v>
      </c>
      <c r="BT69" s="52">
        <f t="shared" si="204"/>
        <v>0</v>
      </c>
      <c r="BU69" s="52">
        <f t="shared" si="204"/>
        <v>0</v>
      </c>
      <c r="BV69" s="52">
        <f t="shared" si="204"/>
        <v>0</v>
      </c>
      <c r="BW69" s="52">
        <f t="shared" si="204"/>
        <v>0</v>
      </c>
      <c r="BX69" s="52">
        <f t="shared" si="204"/>
        <v>0</v>
      </c>
      <c r="BY69" s="52">
        <f t="shared" si="204"/>
        <v>0</v>
      </c>
      <c r="BZ69" s="52">
        <f t="shared" si="204"/>
        <v>0</v>
      </c>
      <c r="CA69" s="52">
        <f t="shared" si="204"/>
        <v>0</v>
      </c>
      <c r="CB69" s="52">
        <f t="shared" si="204"/>
        <v>0</v>
      </c>
      <c r="CC69" s="52">
        <f t="shared" si="204"/>
        <v>0</v>
      </c>
      <c r="CD69" s="52">
        <f t="shared" si="204"/>
        <v>0</v>
      </c>
      <c r="CE69" s="52">
        <f t="shared" si="204"/>
        <v>0</v>
      </c>
      <c r="CF69" s="52">
        <f t="shared" si="204"/>
        <v>0</v>
      </c>
      <c r="CG69" s="52">
        <f t="shared" si="204"/>
        <v>0</v>
      </c>
      <c r="CH69" s="52">
        <f t="shared" si="204"/>
        <v>0</v>
      </c>
      <c r="CI69" s="52">
        <f t="shared" si="204"/>
        <v>0</v>
      </c>
      <c r="CJ69" s="52">
        <f t="shared" si="204"/>
        <v>0</v>
      </c>
      <c r="CK69" s="52">
        <f t="shared" si="204"/>
        <v>0</v>
      </c>
      <c r="CL69" s="52">
        <f t="shared" si="204"/>
        <v>0</v>
      </c>
      <c r="CM69" s="52">
        <f t="shared" si="204"/>
        <v>0</v>
      </c>
      <c r="CN69" s="52">
        <f t="shared" si="204"/>
        <v>0</v>
      </c>
      <c r="CO69" s="52">
        <f t="shared" si="204"/>
        <v>0</v>
      </c>
      <c r="CP69" s="52">
        <f t="shared" si="204"/>
        <v>0</v>
      </c>
      <c r="CQ69" s="52">
        <f t="shared" si="204"/>
        <v>0</v>
      </c>
      <c r="CR69" s="52">
        <f t="shared" si="204"/>
        <v>0</v>
      </c>
      <c r="CS69" s="52">
        <f t="shared" si="204"/>
        <v>0</v>
      </c>
      <c r="CT69" s="52">
        <f t="shared" si="204"/>
        <v>0</v>
      </c>
      <c r="CU69" s="52">
        <f t="shared" si="204"/>
        <v>0</v>
      </c>
      <c r="CV69" s="52">
        <f t="shared" si="204"/>
        <v>0</v>
      </c>
      <c r="CW69" s="52">
        <f t="shared" si="204"/>
        <v>0</v>
      </c>
      <c r="CX69" s="52">
        <f t="shared" ref="CX69:EC69" si="205">IFERROR(IF(CX$28="FALSE",0,$C$69/$C$8),0)</f>
        <v>0</v>
      </c>
      <c r="CY69" s="52">
        <f t="shared" si="205"/>
        <v>0</v>
      </c>
      <c r="CZ69" s="52">
        <f t="shared" si="205"/>
        <v>0</v>
      </c>
      <c r="DA69" s="52">
        <f t="shared" si="205"/>
        <v>0</v>
      </c>
      <c r="DB69" s="52">
        <f t="shared" si="205"/>
        <v>0</v>
      </c>
      <c r="DC69" s="52">
        <f t="shared" si="205"/>
        <v>0</v>
      </c>
      <c r="DD69" s="52">
        <f t="shared" si="205"/>
        <v>0</v>
      </c>
      <c r="DE69" s="52">
        <f t="shared" si="205"/>
        <v>0</v>
      </c>
      <c r="DF69" s="52">
        <f t="shared" si="205"/>
        <v>0</v>
      </c>
      <c r="DG69" s="52">
        <f t="shared" si="205"/>
        <v>0</v>
      </c>
      <c r="DH69" s="52">
        <f t="shared" si="205"/>
        <v>0</v>
      </c>
      <c r="DI69" s="52">
        <f t="shared" si="205"/>
        <v>0</v>
      </c>
      <c r="DJ69" s="52">
        <f t="shared" si="205"/>
        <v>0</v>
      </c>
      <c r="DK69" s="52">
        <f t="shared" si="205"/>
        <v>0</v>
      </c>
      <c r="DL69" s="52">
        <f t="shared" si="205"/>
        <v>0</v>
      </c>
      <c r="DM69" s="52">
        <f t="shared" si="205"/>
        <v>0</v>
      </c>
      <c r="DN69" s="52">
        <f t="shared" si="205"/>
        <v>0</v>
      </c>
      <c r="DO69" s="52">
        <f t="shared" si="205"/>
        <v>0</v>
      </c>
      <c r="DP69" s="52">
        <f t="shared" si="205"/>
        <v>0</v>
      </c>
      <c r="DQ69" s="52">
        <f t="shared" si="205"/>
        <v>0</v>
      </c>
      <c r="DR69" s="52">
        <f t="shared" si="205"/>
        <v>0</v>
      </c>
      <c r="DS69" s="52">
        <f t="shared" si="205"/>
        <v>0</v>
      </c>
      <c r="DT69" s="52">
        <f t="shared" si="205"/>
        <v>0</v>
      </c>
      <c r="DU69" s="52">
        <f t="shared" si="205"/>
        <v>0</v>
      </c>
      <c r="DV69" s="52">
        <f t="shared" si="205"/>
        <v>0</v>
      </c>
      <c r="DW69" s="52">
        <f t="shared" si="205"/>
        <v>0</v>
      </c>
      <c r="DX69" s="52">
        <f t="shared" si="205"/>
        <v>0</v>
      </c>
      <c r="DY69" s="52">
        <f t="shared" si="205"/>
        <v>0</v>
      </c>
      <c r="DZ69" s="52">
        <f t="shared" si="205"/>
        <v>0</v>
      </c>
      <c r="EA69" s="52">
        <f t="shared" si="205"/>
        <v>0</v>
      </c>
      <c r="EB69" s="52">
        <f t="shared" si="205"/>
        <v>0</v>
      </c>
      <c r="EC69" s="52">
        <f t="shared" si="205"/>
        <v>0</v>
      </c>
      <c r="ED69" s="52">
        <f t="shared" ref="ED69:FD69" si="206">IFERROR(IF(ED$28="FALSE",0,$C$69/$C$8),0)</f>
        <v>0</v>
      </c>
      <c r="EE69" s="52">
        <f t="shared" si="206"/>
        <v>0</v>
      </c>
      <c r="EF69" s="52">
        <f t="shared" si="206"/>
        <v>0</v>
      </c>
      <c r="EG69" s="52">
        <f t="shared" si="206"/>
        <v>0</v>
      </c>
      <c r="EH69" s="52">
        <f t="shared" si="206"/>
        <v>0</v>
      </c>
      <c r="EI69" s="52">
        <f t="shared" si="206"/>
        <v>0</v>
      </c>
      <c r="EJ69" s="52">
        <f t="shared" si="206"/>
        <v>0</v>
      </c>
      <c r="EK69" s="52">
        <f t="shared" si="206"/>
        <v>0</v>
      </c>
      <c r="EL69" s="52">
        <f t="shared" si="206"/>
        <v>0</v>
      </c>
      <c r="EM69" s="52">
        <f t="shared" si="206"/>
        <v>0</v>
      </c>
      <c r="EN69" s="52">
        <f t="shared" si="206"/>
        <v>0</v>
      </c>
      <c r="EO69" s="52">
        <f t="shared" si="206"/>
        <v>0</v>
      </c>
      <c r="EP69" s="52">
        <f t="shared" si="206"/>
        <v>0</v>
      </c>
      <c r="EQ69" s="52">
        <f t="shared" si="206"/>
        <v>0</v>
      </c>
      <c r="ER69" s="52">
        <f t="shared" si="206"/>
        <v>0</v>
      </c>
      <c r="ES69" s="52">
        <f t="shared" si="206"/>
        <v>0</v>
      </c>
      <c r="ET69" s="52">
        <f t="shared" si="206"/>
        <v>0</v>
      </c>
      <c r="EU69" s="52">
        <f t="shared" si="206"/>
        <v>0</v>
      </c>
      <c r="EV69" s="52">
        <f t="shared" si="206"/>
        <v>0</v>
      </c>
      <c r="EW69" s="52">
        <f t="shared" si="206"/>
        <v>0</v>
      </c>
      <c r="EX69" s="52">
        <f t="shared" si="206"/>
        <v>0</v>
      </c>
      <c r="EY69" s="52">
        <f t="shared" si="206"/>
        <v>0</v>
      </c>
      <c r="EZ69" s="52">
        <f t="shared" si="206"/>
        <v>0</v>
      </c>
      <c r="FA69" s="52">
        <f t="shared" si="206"/>
        <v>0</v>
      </c>
      <c r="FB69" s="52">
        <f t="shared" si="206"/>
        <v>0</v>
      </c>
      <c r="FC69" s="52">
        <f t="shared" si="206"/>
        <v>0</v>
      </c>
      <c r="FD69" s="52">
        <f t="shared" si="206"/>
        <v>0</v>
      </c>
    </row>
    <row r="70" spans="2:160">
      <c r="B70" s="51" t="s">
        <v>149</v>
      </c>
      <c r="C70" s="52">
        <f ca="1">IF(Startup!$C$3="Project",SUMIF(Startup!$C$7:$D$27,Overview!B70,Startup!$D$7:$D$27),(SUMIF(Startup!$C$7:$D$27,Overview!B70,Startup!$D$7:$D$27)*Startup!$C$4))+IF(Pilot!$C$3="Project",SUMIF(Pilot!$C$7:$D$27,Overview!B70,Pilot!$D$7:$D$27),(SUMIF(Pilot!$C$7:$D$27,Overview!B70,Pilot!$D$7:$D$27)*Pilot!$C$4))+IF(PMO!$C$3="Project",SUMIF(PMO!$C$7:$D$27,Overview!B70,PMO!$D$7:$D$27),(SUMIF(PMO!$C$7:$D$27,Overview!B70,PMO!$D$7:$D$27)*PMO!$C$4))+IF('Design &amp; Fulfillment'!$C$3="Project",SUMIF('Design &amp; Fulfillment'!$C$7:$D$27,Overview!B70,'Design &amp; Fulfillment'!$D$7:$D$27),(SUMIF('Design &amp; Fulfillment'!$C$7:$D$27,Overview!B70,'Design &amp; Fulfillment'!$D$7:$D$27)*'Design &amp; Fulfillment'!$C$4))+IF(Workplace!$C$3="Project",SUMIF(Workplace!$C$7:$D$27,Overview!B70,Workplace!$D$7:$D$27),(SUMIF(Workplace!$C$7:$D$27,Overview!B70,Workplace!$D$7:$D$27)*Workplace!$C$4))+IF(Integration!$C$3="Project",SUMIF(Integration!$C$7:$D$27,Overview!B70,Integration!$D$7:$D$27),(SUMIF(Integration!$C$7:$D$27,Overview!B70,Integration!$D$7:$D$27)*Integration!$C$4))+IF(Logistics!$C$3="Project",SUMIF(Logistics!$C$7:$D$27,Overview!B70,Logistics!$D$7:$D$27),(SUMIF(Logistics!$C$7:$D$27,Overview!B70,Logistics!$D$7:$D$27)*Logistics!$C$4))+IF('Service Desk'!$C$3="Project",SUMIF('Service Desk'!$C$7:$D$27,Overview!B70,'Service Desk'!$D$7:$D$27),(SUMIF('Service Desk'!$C$7:$D$27,Overview!B70,'Service Desk'!$D$7:$D$27)*'Service Desk'!$C$4))+IF('Pro Services'!$C$3="Project",SUMIF('Pro Services'!$C$7:$D$27,Overview!B70,'Pro Services'!$D$7:$D$27),(SUMIF('Pro Services'!$C$7:$D$27,Overview!B70,'Pro Services'!$D$7:$D$27)*'Pro Services'!$C$4))</f>
        <v>0</v>
      </c>
      <c r="D70" s="53">
        <f ca="1">IF(Startup!$C$3="Project",SUMIF(Startup!$C$7:$H$27,Overview!B70,Startup!$H$7:$H$27),(SUMIF(Startup!$C$7:$H$27,Overview!B70,Startup!$H$7:$H$27)*Startup!$C$4))+IF(Pilot!$C$3="Project",SUMIF(Pilot!$C$7:$H$27,Overview!B70,Pilot!$H$7:$H$27),(SUMIF(Pilot!$C$7:$H$27,Overview!B70,Pilot!$H$7:$H$27)*Pilot!$C$4))+IF(PMO!$C$3="Project",SUMIF(PMO!$C$7:$H$27,Overview!B70,PMO!$H$7:$H$27),(SUMIF(PMO!$C$7:$H$27,Overview!B70,PMO!$H$7:$H$27)*PMO!$C$4))+IF('Design &amp; Fulfillment'!$C$3="Project",SUMIF('Design &amp; Fulfillment'!$C$7:$H$27,Overview!B70,'Design &amp; Fulfillment'!$H$7:$H$27),(SUMIF('Design &amp; Fulfillment'!$C$7:$H$27,Overview!B70,'Design &amp; Fulfillment'!$H$7:$H$27)*'Design &amp; Fulfillment'!$C$4))+IF(Workplace!$C$3="Project",SUMIF(Workplace!$C$7:$H$27,Overview!B70,Workplace!$H$7:$H$27),(SUMIF(Workplace!$C$7:$H$27,Overview!B70,Workplace!$H$7:$H$27)*Workplace!$C$4))+IF(Integration!$C$3="Project",SUMIF(Integration!$C$7:$H$27,Overview!B70,Integration!$H$7:$H$27),(SUMIF(Integration!$C$7:$H$27,Overview!B70,Integration!$H$7:$H$27)*Integration!$C$4))+IF(Logistics!$C$3="Project",SUMIF(Logistics!$C$7:$H$27,Overview!B70,Logistics!$H$7:$H$27),(SUMIF(Logistics!$C$7:$H$27,Overview!B70,Logistics!$H$7:$H$27)*Logistics!$C$4))+IF('Service Desk'!$C$3="Project",SUMIF('Service Desk'!$C$7:$H$27,Overview!B70,'Service Desk'!$H$7:$H$27),(SUMIF('Service Desk'!$C$7:$H$27,Overview!B70,'Service Desk'!$H$7:$H$27)*'Service Desk'!$C$4))+IF('Pro Services'!$C$3="Project",SUMIF('Pro Services'!$C$7:$H$27,Overview!B70,'Pro Services'!$H$7:$H$27),(SUMIF('Pro Services'!$C$7:$H$27,Overview!B70,'Pro Services'!$H$7:$H$27)*'Pro Services'!$C$4))</f>
        <v>0</v>
      </c>
      <c r="E70" s="52">
        <f t="shared" ca="1" si="120"/>
        <v>0</v>
      </c>
      <c r="F70" s="52">
        <f t="shared" ref="F70:AK70" si="207">IFERROR(IF(F$28="FALSE",0,$C$70/$C$8),0)</f>
        <v>0</v>
      </c>
      <c r="G70" s="52">
        <f t="shared" si="207"/>
        <v>0</v>
      </c>
      <c r="H70" s="52">
        <f t="shared" si="207"/>
        <v>0</v>
      </c>
      <c r="I70" s="52">
        <f t="shared" si="207"/>
        <v>0</v>
      </c>
      <c r="J70" s="52">
        <f t="shared" si="207"/>
        <v>0</v>
      </c>
      <c r="K70" s="52">
        <f t="shared" si="207"/>
        <v>0</v>
      </c>
      <c r="L70" s="52">
        <f t="shared" si="207"/>
        <v>0</v>
      </c>
      <c r="M70" s="52">
        <f t="shared" si="207"/>
        <v>0</v>
      </c>
      <c r="N70" s="52">
        <f t="shared" si="207"/>
        <v>0</v>
      </c>
      <c r="O70" s="52">
        <f t="shared" si="207"/>
        <v>0</v>
      </c>
      <c r="P70" s="52">
        <f t="shared" si="207"/>
        <v>0</v>
      </c>
      <c r="Q70" s="52">
        <f t="shared" si="207"/>
        <v>0</v>
      </c>
      <c r="R70" s="52">
        <f t="shared" si="207"/>
        <v>0</v>
      </c>
      <c r="S70" s="52">
        <f t="shared" si="207"/>
        <v>0</v>
      </c>
      <c r="T70" s="52">
        <f t="shared" si="207"/>
        <v>0</v>
      </c>
      <c r="U70" s="52">
        <f t="shared" si="207"/>
        <v>0</v>
      </c>
      <c r="V70" s="52">
        <f t="shared" si="207"/>
        <v>0</v>
      </c>
      <c r="W70" s="52">
        <f t="shared" si="207"/>
        <v>0</v>
      </c>
      <c r="X70" s="52">
        <f t="shared" si="207"/>
        <v>0</v>
      </c>
      <c r="Y70" s="52">
        <f t="shared" si="207"/>
        <v>0</v>
      </c>
      <c r="Z70" s="52">
        <f t="shared" si="207"/>
        <v>0</v>
      </c>
      <c r="AA70" s="52">
        <f t="shared" si="207"/>
        <v>0</v>
      </c>
      <c r="AB70" s="52">
        <f t="shared" si="207"/>
        <v>0</v>
      </c>
      <c r="AC70" s="52">
        <f t="shared" si="207"/>
        <v>0</v>
      </c>
      <c r="AD70" s="52">
        <f t="shared" si="207"/>
        <v>0</v>
      </c>
      <c r="AE70" s="52">
        <f t="shared" si="207"/>
        <v>0</v>
      </c>
      <c r="AF70" s="52">
        <f t="shared" si="207"/>
        <v>0</v>
      </c>
      <c r="AG70" s="52">
        <f t="shared" si="207"/>
        <v>0</v>
      </c>
      <c r="AH70" s="52">
        <f t="shared" si="207"/>
        <v>0</v>
      </c>
      <c r="AI70" s="52">
        <f t="shared" si="207"/>
        <v>0</v>
      </c>
      <c r="AJ70" s="52">
        <f t="shared" si="207"/>
        <v>0</v>
      </c>
      <c r="AK70" s="52">
        <f t="shared" si="207"/>
        <v>0</v>
      </c>
      <c r="AL70" s="52">
        <f t="shared" ref="AL70:BQ70" si="208">IFERROR(IF(AL$28="FALSE",0,$C$70/$C$8),0)</f>
        <v>0</v>
      </c>
      <c r="AM70" s="52">
        <f t="shared" si="208"/>
        <v>0</v>
      </c>
      <c r="AN70" s="52">
        <f t="shared" si="208"/>
        <v>0</v>
      </c>
      <c r="AO70" s="52">
        <f t="shared" si="208"/>
        <v>0</v>
      </c>
      <c r="AP70" s="52">
        <f t="shared" si="208"/>
        <v>0</v>
      </c>
      <c r="AQ70" s="52">
        <f t="shared" si="208"/>
        <v>0</v>
      </c>
      <c r="AR70" s="52">
        <f t="shared" si="208"/>
        <v>0</v>
      </c>
      <c r="AS70" s="52">
        <f t="shared" si="208"/>
        <v>0</v>
      </c>
      <c r="AT70" s="52">
        <f t="shared" si="208"/>
        <v>0</v>
      </c>
      <c r="AU70" s="52">
        <f t="shared" si="208"/>
        <v>0</v>
      </c>
      <c r="AV70" s="52">
        <f t="shared" si="208"/>
        <v>0</v>
      </c>
      <c r="AW70" s="52">
        <f t="shared" si="208"/>
        <v>0</v>
      </c>
      <c r="AX70" s="52">
        <f t="shared" si="208"/>
        <v>0</v>
      </c>
      <c r="AY70" s="52">
        <f t="shared" si="208"/>
        <v>0</v>
      </c>
      <c r="AZ70" s="52">
        <f t="shared" si="208"/>
        <v>0</v>
      </c>
      <c r="BA70" s="52">
        <f t="shared" si="208"/>
        <v>0</v>
      </c>
      <c r="BB70" s="52">
        <f t="shared" si="208"/>
        <v>0</v>
      </c>
      <c r="BC70" s="52">
        <f t="shared" si="208"/>
        <v>0</v>
      </c>
      <c r="BD70" s="52">
        <f t="shared" si="208"/>
        <v>0</v>
      </c>
      <c r="BE70" s="52">
        <f t="shared" si="208"/>
        <v>0</v>
      </c>
      <c r="BF70" s="52">
        <f t="shared" si="208"/>
        <v>0</v>
      </c>
      <c r="BG70" s="52">
        <f t="shared" si="208"/>
        <v>0</v>
      </c>
      <c r="BH70" s="52">
        <f t="shared" si="208"/>
        <v>0</v>
      </c>
      <c r="BI70" s="52">
        <f t="shared" si="208"/>
        <v>0</v>
      </c>
      <c r="BJ70" s="52">
        <f t="shared" si="208"/>
        <v>0</v>
      </c>
      <c r="BK70" s="52">
        <f t="shared" si="208"/>
        <v>0</v>
      </c>
      <c r="BL70" s="52">
        <f t="shared" si="208"/>
        <v>0</v>
      </c>
      <c r="BM70" s="52">
        <f t="shared" si="208"/>
        <v>0</v>
      </c>
      <c r="BN70" s="52">
        <f t="shared" si="208"/>
        <v>0</v>
      </c>
      <c r="BO70" s="52">
        <f t="shared" si="208"/>
        <v>0</v>
      </c>
      <c r="BP70" s="52">
        <f t="shared" si="208"/>
        <v>0</v>
      </c>
      <c r="BQ70" s="52">
        <f t="shared" si="208"/>
        <v>0</v>
      </c>
      <c r="BR70" s="52">
        <f t="shared" ref="BR70:CW70" si="209">IFERROR(IF(BR$28="FALSE",0,$C$70/$C$8),0)</f>
        <v>0</v>
      </c>
      <c r="BS70" s="52">
        <f t="shared" si="209"/>
        <v>0</v>
      </c>
      <c r="BT70" s="52">
        <f t="shared" si="209"/>
        <v>0</v>
      </c>
      <c r="BU70" s="52">
        <f t="shared" si="209"/>
        <v>0</v>
      </c>
      <c r="BV70" s="52">
        <f t="shared" si="209"/>
        <v>0</v>
      </c>
      <c r="BW70" s="52">
        <f t="shared" si="209"/>
        <v>0</v>
      </c>
      <c r="BX70" s="52">
        <f t="shared" si="209"/>
        <v>0</v>
      </c>
      <c r="BY70" s="52">
        <f t="shared" si="209"/>
        <v>0</v>
      </c>
      <c r="BZ70" s="52">
        <f t="shared" si="209"/>
        <v>0</v>
      </c>
      <c r="CA70" s="52">
        <f t="shared" si="209"/>
        <v>0</v>
      </c>
      <c r="CB70" s="52">
        <f t="shared" si="209"/>
        <v>0</v>
      </c>
      <c r="CC70" s="52">
        <f t="shared" si="209"/>
        <v>0</v>
      </c>
      <c r="CD70" s="52">
        <f t="shared" si="209"/>
        <v>0</v>
      </c>
      <c r="CE70" s="52">
        <f t="shared" si="209"/>
        <v>0</v>
      </c>
      <c r="CF70" s="52">
        <f t="shared" si="209"/>
        <v>0</v>
      </c>
      <c r="CG70" s="52">
        <f t="shared" si="209"/>
        <v>0</v>
      </c>
      <c r="CH70" s="52">
        <f t="shared" si="209"/>
        <v>0</v>
      </c>
      <c r="CI70" s="52">
        <f t="shared" si="209"/>
        <v>0</v>
      </c>
      <c r="CJ70" s="52">
        <f t="shared" si="209"/>
        <v>0</v>
      </c>
      <c r="CK70" s="52">
        <f t="shared" si="209"/>
        <v>0</v>
      </c>
      <c r="CL70" s="52">
        <f t="shared" si="209"/>
        <v>0</v>
      </c>
      <c r="CM70" s="52">
        <f t="shared" si="209"/>
        <v>0</v>
      </c>
      <c r="CN70" s="52">
        <f t="shared" si="209"/>
        <v>0</v>
      </c>
      <c r="CO70" s="52">
        <f t="shared" si="209"/>
        <v>0</v>
      </c>
      <c r="CP70" s="52">
        <f t="shared" si="209"/>
        <v>0</v>
      </c>
      <c r="CQ70" s="52">
        <f t="shared" si="209"/>
        <v>0</v>
      </c>
      <c r="CR70" s="52">
        <f t="shared" si="209"/>
        <v>0</v>
      </c>
      <c r="CS70" s="52">
        <f t="shared" si="209"/>
        <v>0</v>
      </c>
      <c r="CT70" s="52">
        <f t="shared" si="209"/>
        <v>0</v>
      </c>
      <c r="CU70" s="52">
        <f t="shared" si="209"/>
        <v>0</v>
      </c>
      <c r="CV70" s="52">
        <f t="shared" si="209"/>
        <v>0</v>
      </c>
      <c r="CW70" s="52">
        <f t="shared" si="209"/>
        <v>0</v>
      </c>
      <c r="CX70" s="52">
        <f t="shared" ref="CX70:EC70" si="210">IFERROR(IF(CX$28="FALSE",0,$C$70/$C$8),0)</f>
        <v>0</v>
      </c>
      <c r="CY70" s="52">
        <f t="shared" si="210"/>
        <v>0</v>
      </c>
      <c r="CZ70" s="52">
        <f t="shared" si="210"/>
        <v>0</v>
      </c>
      <c r="DA70" s="52">
        <f t="shared" si="210"/>
        <v>0</v>
      </c>
      <c r="DB70" s="52">
        <f t="shared" si="210"/>
        <v>0</v>
      </c>
      <c r="DC70" s="52">
        <f t="shared" si="210"/>
        <v>0</v>
      </c>
      <c r="DD70" s="52">
        <f t="shared" si="210"/>
        <v>0</v>
      </c>
      <c r="DE70" s="52">
        <f t="shared" si="210"/>
        <v>0</v>
      </c>
      <c r="DF70" s="52">
        <f t="shared" si="210"/>
        <v>0</v>
      </c>
      <c r="DG70" s="52">
        <f t="shared" si="210"/>
        <v>0</v>
      </c>
      <c r="DH70" s="52">
        <f t="shared" si="210"/>
        <v>0</v>
      </c>
      <c r="DI70" s="52">
        <f t="shared" si="210"/>
        <v>0</v>
      </c>
      <c r="DJ70" s="52">
        <f t="shared" si="210"/>
        <v>0</v>
      </c>
      <c r="DK70" s="52">
        <f t="shared" si="210"/>
        <v>0</v>
      </c>
      <c r="DL70" s="52">
        <f t="shared" si="210"/>
        <v>0</v>
      </c>
      <c r="DM70" s="52">
        <f t="shared" si="210"/>
        <v>0</v>
      </c>
      <c r="DN70" s="52">
        <f t="shared" si="210"/>
        <v>0</v>
      </c>
      <c r="DO70" s="52">
        <f t="shared" si="210"/>
        <v>0</v>
      </c>
      <c r="DP70" s="52">
        <f t="shared" si="210"/>
        <v>0</v>
      </c>
      <c r="DQ70" s="52">
        <f t="shared" si="210"/>
        <v>0</v>
      </c>
      <c r="DR70" s="52">
        <f t="shared" si="210"/>
        <v>0</v>
      </c>
      <c r="DS70" s="52">
        <f t="shared" si="210"/>
        <v>0</v>
      </c>
      <c r="DT70" s="52">
        <f t="shared" si="210"/>
        <v>0</v>
      </c>
      <c r="DU70" s="52">
        <f t="shared" si="210"/>
        <v>0</v>
      </c>
      <c r="DV70" s="52">
        <f t="shared" si="210"/>
        <v>0</v>
      </c>
      <c r="DW70" s="52">
        <f t="shared" si="210"/>
        <v>0</v>
      </c>
      <c r="DX70" s="52">
        <f t="shared" si="210"/>
        <v>0</v>
      </c>
      <c r="DY70" s="52">
        <f t="shared" si="210"/>
        <v>0</v>
      </c>
      <c r="DZ70" s="52">
        <f t="shared" si="210"/>
        <v>0</v>
      </c>
      <c r="EA70" s="52">
        <f t="shared" si="210"/>
        <v>0</v>
      </c>
      <c r="EB70" s="52">
        <f t="shared" si="210"/>
        <v>0</v>
      </c>
      <c r="EC70" s="52">
        <f t="shared" si="210"/>
        <v>0</v>
      </c>
      <c r="ED70" s="52">
        <f t="shared" ref="ED70:FD70" si="211">IFERROR(IF(ED$28="FALSE",0,$C$70/$C$8),0)</f>
        <v>0</v>
      </c>
      <c r="EE70" s="52">
        <f t="shared" si="211"/>
        <v>0</v>
      </c>
      <c r="EF70" s="52">
        <f t="shared" si="211"/>
        <v>0</v>
      </c>
      <c r="EG70" s="52">
        <f t="shared" si="211"/>
        <v>0</v>
      </c>
      <c r="EH70" s="52">
        <f t="shared" si="211"/>
        <v>0</v>
      </c>
      <c r="EI70" s="52">
        <f t="shared" si="211"/>
        <v>0</v>
      </c>
      <c r="EJ70" s="52">
        <f t="shared" si="211"/>
        <v>0</v>
      </c>
      <c r="EK70" s="52">
        <f t="shared" si="211"/>
        <v>0</v>
      </c>
      <c r="EL70" s="52">
        <f t="shared" si="211"/>
        <v>0</v>
      </c>
      <c r="EM70" s="52">
        <f t="shared" si="211"/>
        <v>0</v>
      </c>
      <c r="EN70" s="52">
        <f t="shared" si="211"/>
        <v>0</v>
      </c>
      <c r="EO70" s="52">
        <f t="shared" si="211"/>
        <v>0</v>
      </c>
      <c r="EP70" s="52">
        <f t="shared" si="211"/>
        <v>0</v>
      </c>
      <c r="EQ70" s="52">
        <f t="shared" si="211"/>
        <v>0</v>
      </c>
      <c r="ER70" s="52">
        <f t="shared" si="211"/>
        <v>0</v>
      </c>
      <c r="ES70" s="52">
        <f t="shared" si="211"/>
        <v>0</v>
      </c>
      <c r="ET70" s="52">
        <f t="shared" si="211"/>
        <v>0</v>
      </c>
      <c r="EU70" s="52">
        <f t="shared" si="211"/>
        <v>0</v>
      </c>
      <c r="EV70" s="52">
        <f t="shared" si="211"/>
        <v>0</v>
      </c>
      <c r="EW70" s="52">
        <f t="shared" si="211"/>
        <v>0</v>
      </c>
      <c r="EX70" s="52">
        <f t="shared" si="211"/>
        <v>0</v>
      </c>
      <c r="EY70" s="52">
        <f t="shared" si="211"/>
        <v>0</v>
      </c>
      <c r="EZ70" s="52">
        <f t="shared" si="211"/>
        <v>0</v>
      </c>
      <c r="FA70" s="52">
        <f t="shared" si="211"/>
        <v>0</v>
      </c>
      <c r="FB70" s="52">
        <f t="shared" si="211"/>
        <v>0</v>
      </c>
      <c r="FC70" s="52">
        <f t="shared" si="211"/>
        <v>0</v>
      </c>
      <c r="FD70" s="52">
        <f t="shared" si="211"/>
        <v>0</v>
      </c>
    </row>
    <row r="71" spans="2:160">
      <c r="B71" s="51" t="s">
        <v>150</v>
      </c>
      <c r="C71" s="52">
        <f ca="1">IF(Startup!$C$3="Project",SUMIF(Startup!$C$7:$D$27,Overview!B71,Startup!$D$7:$D$27),(SUMIF(Startup!$C$7:$D$27,Overview!B71,Startup!$D$7:$D$27)*Startup!$C$4))+IF(Pilot!$C$3="Project",SUMIF(Pilot!$C$7:$D$27,Overview!B71,Pilot!$D$7:$D$27),(SUMIF(Pilot!$C$7:$D$27,Overview!B71,Pilot!$D$7:$D$27)*Pilot!$C$4))+IF(PMO!$C$3="Project",SUMIF(PMO!$C$7:$D$27,Overview!B71,PMO!$D$7:$D$27),(SUMIF(PMO!$C$7:$D$27,Overview!B71,PMO!$D$7:$D$27)*PMO!$C$4))+IF('Design &amp; Fulfillment'!$C$3="Project",SUMIF('Design &amp; Fulfillment'!$C$7:$D$27,Overview!B71,'Design &amp; Fulfillment'!$D$7:$D$27),(SUMIF('Design &amp; Fulfillment'!$C$7:$D$27,Overview!B71,'Design &amp; Fulfillment'!$D$7:$D$27)*'Design &amp; Fulfillment'!$C$4))+IF(Workplace!$C$3="Project",SUMIF(Workplace!$C$7:$D$27,Overview!B71,Workplace!$D$7:$D$27),(SUMIF(Workplace!$C$7:$D$27,Overview!B71,Workplace!$D$7:$D$27)*Workplace!$C$4))+IF(Integration!$C$3="Project",SUMIF(Integration!$C$7:$D$27,Overview!B71,Integration!$D$7:$D$27),(SUMIF(Integration!$C$7:$D$27,Overview!B71,Integration!$D$7:$D$27)*Integration!$C$4))+IF(Logistics!$C$3="Project",SUMIF(Logistics!$C$7:$D$27,Overview!B71,Logistics!$D$7:$D$27),(SUMIF(Logistics!$C$7:$D$27,Overview!B71,Logistics!$D$7:$D$27)*Logistics!$C$4))+IF('Service Desk'!$C$3="Project",SUMIF('Service Desk'!$C$7:$D$27,Overview!B71,'Service Desk'!$D$7:$D$27),(SUMIF('Service Desk'!$C$7:$D$27,Overview!B71,'Service Desk'!$D$7:$D$27)*'Service Desk'!$C$4))+IF('Pro Services'!$C$3="Project",SUMIF('Pro Services'!$C$7:$D$27,Overview!B71,'Pro Services'!$D$7:$D$27),(SUMIF('Pro Services'!$C$7:$D$27,Overview!B71,'Pro Services'!$D$7:$D$27)*'Pro Services'!$C$4))</f>
        <v>0</v>
      </c>
      <c r="D71" s="53">
        <f ca="1">IF(Startup!$C$3="Project",SUMIF(Startup!$C$7:$H$27,Overview!B71,Startup!$H$7:$H$27),(SUMIF(Startup!$C$7:$H$27,Overview!B71,Startup!$H$7:$H$27)*Startup!$C$4))+IF(Pilot!$C$3="Project",SUMIF(Pilot!$C$7:$H$27,Overview!B71,Pilot!$H$7:$H$27),(SUMIF(Pilot!$C$7:$H$27,Overview!B71,Pilot!$H$7:$H$27)*Pilot!$C$4))+IF(PMO!$C$3="Project",SUMIF(PMO!$C$7:$H$27,Overview!B71,PMO!$H$7:$H$27),(SUMIF(PMO!$C$7:$H$27,Overview!B71,PMO!$H$7:$H$27)*PMO!$C$4))+IF('Design &amp; Fulfillment'!$C$3="Project",SUMIF('Design &amp; Fulfillment'!$C$7:$H$27,Overview!B71,'Design &amp; Fulfillment'!$H$7:$H$27),(SUMIF('Design &amp; Fulfillment'!$C$7:$H$27,Overview!B71,'Design &amp; Fulfillment'!$H$7:$H$27)*'Design &amp; Fulfillment'!$C$4))+IF(Workplace!$C$3="Project",SUMIF(Workplace!$C$7:$H$27,Overview!B71,Workplace!$H$7:$H$27),(SUMIF(Workplace!$C$7:$H$27,Overview!B71,Workplace!$H$7:$H$27)*Workplace!$C$4))+IF(Integration!$C$3="Project",SUMIF(Integration!$C$7:$H$27,Overview!B71,Integration!$H$7:$H$27),(SUMIF(Integration!$C$7:$H$27,Overview!B71,Integration!$H$7:$H$27)*Integration!$C$4))+IF(Logistics!$C$3="Project",SUMIF(Logistics!$C$7:$H$27,Overview!B71,Logistics!$H$7:$H$27),(SUMIF(Logistics!$C$7:$H$27,Overview!B71,Logistics!$H$7:$H$27)*Logistics!$C$4))+IF('Service Desk'!$C$3="Project",SUMIF('Service Desk'!$C$7:$H$27,Overview!B71,'Service Desk'!$H$7:$H$27),(SUMIF('Service Desk'!$C$7:$H$27,Overview!B71,'Service Desk'!$H$7:$H$27)*'Service Desk'!$C$4))+IF('Pro Services'!$C$3="Project",SUMIF('Pro Services'!$C$7:$H$27,Overview!B71,'Pro Services'!$H$7:$H$27),(SUMIF('Pro Services'!$C$7:$H$27,Overview!B71,'Pro Services'!$H$7:$H$27)*'Pro Services'!$C$4))</f>
        <v>0</v>
      </c>
      <c r="E71" s="52">
        <f t="shared" ca="1" si="120"/>
        <v>0</v>
      </c>
      <c r="F71" s="52">
        <f t="shared" ref="F71:AK71" si="212">IFERROR(IF(F$28="FALSE",0,$C$71/$C$8),0)</f>
        <v>0</v>
      </c>
      <c r="G71" s="52">
        <f t="shared" si="212"/>
        <v>0</v>
      </c>
      <c r="H71" s="52">
        <f t="shared" si="212"/>
        <v>0</v>
      </c>
      <c r="I71" s="52">
        <f t="shared" si="212"/>
        <v>0</v>
      </c>
      <c r="J71" s="52">
        <f t="shared" si="212"/>
        <v>0</v>
      </c>
      <c r="K71" s="52">
        <f t="shared" si="212"/>
        <v>0</v>
      </c>
      <c r="L71" s="52">
        <f t="shared" si="212"/>
        <v>0</v>
      </c>
      <c r="M71" s="52">
        <f t="shared" si="212"/>
        <v>0</v>
      </c>
      <c r="N71" s="52">
        <f t="shared" si="212"/>
        <v>0</v>
      </c>
      <c r="O71" s="52">
        <f t="shared" si="212"/>
        <v>0</v>
      </c>
      <c r="P71" s="52">
        <f t="shared" si="212"/>
        <v>0</v>
      </c>
      <c r="Q71" s="52">
        <f t="shared" si="212"/>
        <v>0</v>
      </c>
      <c r="R71" s="52">
        <f t="shared" si="212"/>
        <v>0</v>
      </c>
      <c r="S71" s="52">
        <f t="shared" si="212"/>
        <v>0</v>
      </c>
      <c r="T71" s="52">
        <f t="shared" si="212"/>
        <v>0</v>
      </c>
      <c r="U71" s="52">
        <f t="shared" si="212"/>
        <v>0</v>
      </c>
      <c r="V71" s="52">
        <f t="shared" si="212"/>
        <v>0</v>
      </c>
      <c r="W71" s="52">
        <f t="shared" si="212"/>
        <v>0</v>
      </c>
      <c r="X71" s="52">
        <f t="shared" si="212"/>
        <v>0</v>
      </c>
      <c r="Y71" s="52">
        <f t="shared" si="212"/>
        <v>0</v>
      </c>
      <c r="Z71" s="52">
        <f t="shared" si="212"/>
        <v>0</v>
      </c>
      <c r="AA71" s="52">
        <f t="shared" si="212"/>
        <v>0</v>
      </c>
      <c r="AB71" s="52">
        <f t="shared" si="212"/>
        <v>0</v>
      </c>
      <c r="AC71" s="52">
        <f t="shared" si="212"/>
        <v>0</v>
      </c>
      <c r="AD71" s="52">
        <f t="shared" si="212"/>
        <v>0</v>
      </c>
      <c r="AE71" s="52">
        <f t="shared" si="212"/>
        <v>0</v>
      </c>
      <c r="AF71" s="52">
        <f t="shared" si="212"/>
        <v>0</v>
      </c>
      <c r="AG71" s="52">
        <f t="shared" si="212"/>
        <v>0</v>
      </c>
      <c r="AH71" s="52">
        <f t="shared" si="212"/>
        <v>0</v>
      </c>
      <c r="AI71" s="52">
        <f t="shared" si="212"/>
        <v>0</v>
      </c>
      <c r="AJ71" s="52">
        <f t="shared" si="212"/>
        <v>0</v>
      </c>
      <c r="AK71" s="52">
        <f t="shared" si="212"/>
        <v>0</v>
      </c>
      <c r="AL71" s="52">
        <f t="shared" ref="AL71:BQ71" si="213">IFERROR(IF(AL$28="FALSE",0,$C$71/$C$8),0)</f>
        <v>0</v>
      </c>
      <c r="AM71" s="52">
        <f t="shared" si="213"/>
        <v>0</v>
      </c>
      <c r="AN71" s="52">
        <f t="shared" si="213"/>
        <v>0</v>
      </c>
      <c r="AO71" s="52">
        <f t="shared" si="213"/>
        <v>0</v>
      </c>
      <c r="AP71" s="52">
        <f t="shared" si="213"/>
        <v>0</v>
      </c>
      <c r="AQ71" s="52">
        <f t="shared" si="213"/>
        <v>0</v>
      </c>
      <c r="AR71" s="52">
        <f t="shared" si="213"/>
        <v>0</v>
      </c>
      <c r="AS71" s="52">
        <f t="shared" si="213"/>
        <v>0</v>
      </c>
      <c r="AT71" s="52">
        <f t="shared" si="213"/>
        <v>0</v>
      </c>
      <c r="AU71" s="52">
        <f t="shared" si="213"/>
        <v>0</v>
      </c>
      <c r="AV71" s="52">
        <f t="shared" si="213"/>
        <v>0</v>
      </c>
      <c r="AW71" s="52">
        <f t="shared" si="213"/>
        <v>0</v>
      </c>
      <c r="AX71" s="52">
        <f t="shared" si="213"/>
        <v>0</v>
      </c>
      <c r="AY71" s="52">
        <f t="shared" si="213"/>
        <v>0</v>
      </c>
      <c r="AZ71" s="52">
        <f t="shared" si="213"/>
        <v>0</v>
      </c>
      <c r="BA71" s="52">
        <f t="shared" si="213"/>
        <v>0</v>
      </c>
      <c r="BB71" s="52">
        <f t="shared" si="213"/>
        <v>0</v>
      </c>
      <c r="BC71" s="52">
        <f t="shared" si="213"/>
        <v>0</v>
      </c>
      <c r="BD71" s="52">
        <f t="shared" si="213"/>
        <v>0</v>
      </c>
      <c r="BE71" s="52">
        <f t="shared" si="213"/>
        <v>0</v>
      </c>
      <c r="BF71" s="52">
        <f t="shared" si="213"/>
        <v>0</v>
      </c>
      <c r="BG71" s="52">
        <f t="shared" si="213"/>
        <v>0</v>
      </c>
      <c r="BH71" s="52">
        <f t="shared" si="213"/>
        <v>0</v>
      </c>
      <c r="BI71" s="52">
        <f t="shared" si="213"/>
        <v>0</v>
      </c>
      <c r="BJ71" s="52">
        <f t="shared" si="213"/>
        <v>0</v>
      </c>
      <c r="BK71" s="52">
        <f t="shared" si="213"/>
        <v>0</v>
      </c>
      <c r="BL71" s="52">
        <f t="shared" si="213"/>
        <v>0</v>
      </c>
      <c r="BM71" s="52">
        <f t="shared" si="213"/>
        <v>0</v>
      </c>
      <c r="BN71" s="52">
        <f t="shared" si="213"/>
        <v>0</v>
      </c>
      <c r="BO71" s="52">
        <f t="shared" si="213"/>
        <v>0</v>
      </c>
      <c r="BP71" s="52">
        <f t="shared" si="213"/>
        <v>0</v>
      </c>
      <c r="BQ71" s="52">
        <f t="shared" si="213"/>
        <v>0</v>
      </c>
      <c r="BR71" s="52">
        <f t="shared" ref="BR71:CW71" si="214">IFERROR(IF(BR$28="FALSE",0,$C$71/$C$8),0)</f>
        <v>0</v>
      </c>
      <c r="BS71" s="52">
        <f t="shared" si="214"/>
        <v>0</v>
      </c>
      <c r="BT71" s="52">
        <f t="shared" si="214"/>
        <v>0</v>
      </c>
      <c r="BU71" s="52">
        <f t="shared" si="214"/>
        <v>0</v>
      </c>
      <c r="BV71" s="52">
        <f t="shared" si="214"/>
        <v>0</v>
      </c>
      <c r="BW71" s="52">
        <f t="shared" si="214"/>
        <v>0</v>
      </c>
      <c r="BX71" s="52">
        <f t="shared" si="214"/>
        <v>0</v>
      </c>
      <c r="BY71" s="52">
        <f t="shared" si="214"/>
        <v>0</v>
      </c>
      <c r="BZ71" s="52">
        <f t="shared" si="214"/>
        <v>0</v>
      </c>
      <c r="CA71" s="52">
        <f t="shared" si="214"/>
        <v>0</v>
      </c>
      <c r="CB71" s="52">
        <f t="shared" si="214"/>
        <v>0</v>
      </c>
      <c r="CC71" s="52">
        <f t="shared" si="214"/>
        <v>0</v>
      </c>
      <c r="CD71" s="52">
        <f t="shared" si="214"/>
        <v>0</v>
      </c>
      <c r="CE71" s="52">
        <f t="shared" si="214"/>
        <v>0</v>
      </c>
      <c r="CF71" s="52">
        <f t="shared" si="214"/>
        <v>0</v>
      </c>
      <c r="CG71" s="52">
        <f t="shared" si="214"/>
        <v>0</v>
      </c>
      <c r="CH71" s="52">
        <f t="shared" si="214"/>
        <v>0</v>
      </c>
      <c r="CI71" s="52">
        <f t="shared" si="214"/>
        <v>0</v>
      </c>
      <c r="CJ71" s="52">
        <f t="shared" si="214"/>
        <v>0</v>
      </c>
      <c r="CK71" s="52">
        <f t="shared" si="214"/>
        <v>0</v>
      </c>
      <c r="CL71" s="52">
        <f t="shared" si="214"/>
        <v>0</v>
      </c>
      <c r="CM71" s="52">
        <f t="shared" si="214"/>
        <v>0</v>
      </c>
      <c r="CN71" s="52">
        <f t="shared" si="214"/>
        <v>0</v>
      </c>
      <c r="CO71" s="52">
        <f t="shared" si="214"/>
        <v>0</v>
      </c>
      <c r="CP71" s="52">
        <f t="shared" si="214"/>
        <v>0</v>
      </c>
      <c r="CQ71" s="52">
        <f t="shared" si="214"/>
        <v>0</v>
      </c>
      <c r="CR71" s="52">
        <f t="shared" si="214"/>
        <v>0</v>
      </c>
      <c r="CS71" s="52">
        <f t="shared" si="214"/>
        <v>0</v>
      </c>
      <c r="CT71" s="52">
        <f t="shared" si="214"/>
        <v>0</v>
      </c>
      <c r="CU71" s="52">
        <f t="shared" si="214"/>
        <v>0</v>
      </c>
      <c r="CV71" s="52">
        <f t="shared" si="214"/>
        <v>0</v>
      </c>
      <c r="CW71" s="52">
        <f t="shared" si="214"/>
        <v>0</v>
      </c>
      <c r="CX71" s="52">
        <f t="shared" ref="CX71:EC71" si="215">IFERROR(IF(CX$28="FALSE",0,$C$71/$C$8),0)</f>
        <v>0</v>
      </c>
      <c r="CY71" s="52">
        <f t="shared" si="215"/>
        <v>0</v>
      </c>
      <c r="CZ71" s="52">
        <f t="shared" si="215"/>
        <v>0</v>
      </c>
      <c r="DA71" s="52">
        <f t="shared" si="215"/>
        <v>0</v>
      </c>
      <c r="DB71" s="52">
        <f t="shared" si="215"/>
        <v>0</v>
      </c>
      <c r="DC71" s="52">
        <f t="shared" si="215"/>
        <v>0</v>
      </c>
      <c r="DD71" s="52">
        <f t="shared" si="215"/>
        <v>0</v>
      </c>
      <c r="DE71" s="52">
        <f t="shared" si="215"/>
        <v>0</v>
      </c>
      <c r="DF71" s="52">
        <f t="shared" si="215"/>
        <v>0</v>
      </c>
      <c r="DG71" s="52">
        <f t="shared" si="215"/>
        <v>0</v>
      </c>
      <c r="DH71" s="52">
        <f t="shared" si="215"/>
        <v>0</v>
      </c>
      <c r="DI71" s="52">
        <f t="shared" si="215"/>
        <v>0</v>
      </c>
      <c r="DJ71" s="52">
        <f t="shared" si="215"/>
        <v>0</v>
      </c>
      <c r="DK71" s="52">
        <f t="shared" si="215"/>
        <v>0</v>
      </c>
      <c r="DL71" s="52">
        <f t="shared" si="215"/>
        <v>0</v>
      </c>
      <c r="DM71" s="52">
        <f t="shared" si="215"/>
        <v>0</v>
      </c>
      <c r="DN71" s="52">
        <f t="shared" si="215"/>
        <v>0</v>
      </c>
      <c r="DO71" s="52">
        <f t="shared" si="215"/>
        <v>0</v>
      </c>
      <c r="DP71" s="52">
        <f t="shared" si="215"/>
        <v>0</v>
      </c>
      <c r="DQ71" s="52">
        <f t="shared" si="215"/>
        <v>0</v>
      </c>
      <c r="DR71" s="52">
        <f t="shared" si="215"/>
        <v>0</v>
      </c>
      <c r="DS71" s="52">
        <f t="shared" si="215"/>
        <v>0</v>
      </c>
      <c r="DT71" s="52">
        <f t="shared" si="215"/>
        <v>0</v>
      </c>
      <c r="DU71" s="52">
        <f t="shared" si="215"/>
        <v>0</v>
      </c>
      <c r="DV71" s="52">
        <f t="shared" si="215"/>
        <v>0</v>
      </c>
      <c r="DW71" s="52">
        <f t="shared" si="215"/>
        <v>0</v>
      </c>
      <c r="DX71" s="52">
        <f t="shared" si="215"/>
        <v>0</v>
      </c>
      <c r="DY71" s="52">
        <f t="shared" si="215"/>
        <v>0</v>
      </c>
      <c r="DZ71" s="52">
        <f t="shared" si="215"/>
        <v>0</v>
      </c>
      <c r="EA71" s="52">
        <f t="shared" si="215"/>
        <v>0</v>
      </c>
      <c r="EB71" s="52">
        <f t="shared" si="215"/>
        <v>0</v>
      </c>
      <c r="EC71" s="52">
        <f t="shared" si="215"/>
        <v>0</v>
      </c>
      <c r="ED71" s="52">
        <f t="shared" ref="ED71:FD71" si="216">IFERROR(IF(ED$28="FALSE",0,$C$71/$C$8),0)</f>
        <v>0</v>
      </c>
      <c r="EE71" s="52">
        <f t="shared" si="216"/>
        <v>0</v>
      </c>
      <c r="EF71" s="52">
        <f t="shared" si="216"/>
        <v>0</v>
      </c>
      <c r="EG71" s="52">
        <f t="shared" si="216"/>
        <v>0</v>
      </c>
      <c r="EH71" s="52">
        <f t="shared" si="216"/>
        <v>0</v>
      </c>
      <c r="EI71" s="52">
        <f t="shared" si="216"/>
        <v>0</v>
      </c>
      <c r="EJ71" s="52">
        <f t="shared" si="216"/>
        <v>0</v>
      </c>
      <c r="EK71" s="52">
        <f t="shared" si="216"/>
        <v>0</v>
      </c>
      <c r="EL71" s="52">
        <f t="shared" si="216"/>
        <v>0</v>
      </c>
      <c r="EM71" s="52">
        <f t="shared" si="216"/>
        <v>0</v>
      </c>
      <c r="EN71" s="52">
        <f t="shared" si="216"/>
        <v>0</v>
      </c>
      <c r="EO71" s="52">
        <f t="shared" si="216"/>
        <v>0</v>
      </c>
      <c r="EP71" s="52">
        <f t="shared" si="216"/>
        <v>0</v>
      </c>
      <c r="EQ71" s="52">
        <f t="shared" si="216"/>
        <v>0</v>
      </c>
      <c r="ER71" s="52">
        <f t="shared" si="216"/>
        <v>0</v>
      </c>
      <c r="ES71" s="52">
        <f t="shared" si="216"/>
        <v>0</v>
      </c>
      <c r="ET71" s="52">
        <f t="shared" si="216"/>
        <v>0</v>
      </c>
      <c r="EU71" s="52">
        <f t="shared" si="216"/>
        <v>0</v>
      </c>
      <c r="EV71" s="52">
        <f t="shared" si="216"/>
        <v>0</v>
      </c>
      <c r="EW71" s="52">
        <f t="shared" si="216"/>
        <v>0</v>
      </c>
      <c r="EX71" s="52">
        <f t="shared" si="216"/>
        <v>0</v>
      </c>
      <c r="EY71" s="52">
        <f t="shared" si="216"/>
        <v>0</v>
      </c>
      <c r="EZ71" s="52">
        <f t="shared" si="216"/>
        <v>0</v>
      </c>
      <c r="FA71" s="52">
        <f t="shared" si="216"/>
        <v>0</v>
      </c>
      <c r="FB71" s="52">
        <f t="shared" si="216"/>
        <v>0</v>
      </c>
      <c r="FC71" s="52">
        <f t="shared" si="216"/>
        <v>0</v>
      </c>
      <c r="FD71" s="52">
        <f t="shared" si="216"/>
        <v>0</v>
      </c>
    </row>
    <row r="72" spans="2:160">
      <c r="B72" s="51" t="s">
        <v>152</v>
      </c>
      <c r="C72" s="52">
        <f ca="1">IF(Startup!$C$3="Project",SUMIF(Startup!$C$7:$D$27,Overview!B72,Startup!$D$7:$D$27),(SUMIF(Startup!$C$7:$D$27,Overview!B72,Startup!$D$7:$D$27)*Startup!$C$4))+IF(Pilot!$C$3="Project",SUMIF(Pilot!$C$7:$D$27,Overview!B72,Pilot!$D$7:$D$27),(SUMIF(Pilot!$C$7:$D$27,Overview!B72,Pilot!$D$7:$D$27)*Pilot!$C$4))+IF(PMO!$C$3="Project",SUMIF(PMO!$C$7:$D$27,Overview!B72,PMO!$D$7:$D$27),(SUMIF(PMO!$C$7:$D$27,Overview!B72,PMO!$D$7:$D$27)*PMO!$C$4))+IF('Design &amp; Fulfillment'!$C$3="Project",SUMIF('Design &amp; Fulfillment'!$C$7:$D$27,Overview!B72,'Design &amp; Fulfillment'!$D$7:$D$27),(SUMIF('Design &amp; Fulfillment'!$C$7:$D$27,Overview!B72,'Design &amp; Fulfillment'!$D$7:$D$27)*'Design &amp; Fulfillment'!$C$4))+IF(Workplace!$C$3="Project",SUMIF(Workplace!$C$7:$D$27,Overview!B72,Workplace!$D$7:$D$27),(SUMIF(Workplace!$C$7:$D$27,Overview!B72,Workplace!$D$7:$D$27)*Workplace!$C$4))+IF(Integration!$C$3="Project",SUMIF(Integration!$C$7:$D$27,Overview!B72,Integration!$D$7:$D$27),(SUMIF(Integration!$C$7:$D$27,Overview!B72,Integration!$D$7:$D$27)*Integration!$C$4))+IF(Logistics!$C$3="Project",SUMIF(Logistics!$C$7:$D$27,Overview!B72,Logistics!$D$7:$D$27),(SUMIF(Logistics!$C$7:$D$27,Overview!B72,Logistics!$D$7:$D$27)*Logistics!$C$4))+IF('Service Desk'!$C$3="Project",SUMIF('Service Desk'!$C$7:$D$27,Overview!B72,'Service Desk'!$D$7:$D$27),(SUMIF('Service Desk'!$C$7:$D$27,Overview!B72,'Service Desk'!$D$7:$D$27)*'Service Desk'!$C$4))+IF('Pro Services'!$C$3="Project",SUMIF('Pro Services'!$C$7:$D$27,Overview!B72,'Pro Services'!$D$7:$D$27),(SUMIF('Pro Services'!$C$7:$D$27,Overview!B72,'Pro Services'!$D$7:$D$27)*'Pro Services'!$C$4))</f>
        <v>0</v>
      </c>
      <c r="D72" s="53">
        <f ca="1">IF(Startup!$C$3="Project",SUMIF(Startup!$C$7:$H$27,Overview!B72,Startup!$H$7:$H$27),(SUMIF(Startup!$C$7:$H$27,Overview!B72,Startup!$H$7:$H$27)*Startup!$C$4))+IF(Pilot!$C$3="Project",SUMIF(Pilot!$C$7:$H$27,Overview!B72,Pilot!$H$7:$H$27),(SUMIF(Pilot!$C$7:$H$27,Overview!B72,Pilot!$H$7:$H$27)*Pilot!$C$4))+IF(PMO!$C$3="Project",SUMIF(PMO!$C$7:$H$27,Overview!B72,PMO!$H$7:$H$27),(SUMIF(PMO!$C$7:$H$27,Overview!B72,PMO!$H$7:$H$27)*PMO!$C$4))+IF('Design &amp; Fulfillment'!$C$3="Project",SUMIF('Design &amp; Fulfillment'!$C$7:$H$27,Overview!B72,'Design &amp; Fulfillment'!$H$7:$H$27),(SUMIF('Design &amp; Fulfillment'!$C$7:$H$27,Overview!B72,'Design &amp; Fulfillment'!$H$7:$H$27)*'Design &amp; Fulfillment'!$C$4))+IF(Workplace!$C$3="Project",SUMIF(Workplace!$C$7:$H$27,Overview!B72,Workplace!$H$7:$H$27),(SUMIF(Workplace!$C$7:$H$27,Overview!B72,Workplace!$H$7:$H$27)*Workplace!$C$4))+IF(Integration!$C$3="Project",SUMIF(Integration!$C$7:$H$27,Overview!B72,Integration!$H$7:$H$27),(SUMIF(Integration!$C$7:$H$27,Overview!B72,Integration!$H$7:$H$27)*Integration!$C$4))+IF(Logistics!$C$3="Project",SUMIF(Logistics!$C$7:$H$27,Overview!B72,Logistics!$H$7:$H$27),(SUMIF(Logistics!$C$7:$H$27,Overview!B72,Logistics!$H$7:$H$27)*Logistics!$C$4))+IF('Service Desk'!$C$3="Project",SUMIF('Service Desk'!$C$7:$H$27,Overview!B72,'Service Desk'!$H$7:$H$27),(SUMIF('Service Desk'!$C$7:$H$27,Overview!B72,'Service Desk'!$H$7:$H$27)*'Service Desk'!$C$4))+IF('Pro Services'!$C$3="Project",SUMIF('Pro Services'!$C$7:$H$27,Overview!B72,'Pro Services'!$H$7:$H$27),(SUMIF('Pro Services'!$C$7:$H$27,Overview!B72,'Pro Services'!$H$7:$H$27)*'Pro Services'!$C$4))</f>
        <v>0</v>
      </c>
      <c r="E72" s="52">
        <f t="shared" ca="1" si="120"/>
        <v>0</v>
      </c>
      <c r="F72" s="52">
        <f t="shared" ref="F72:AK72" si="217">IFERROR(IF(F$28="FALSE",0,$C$72/$C$8),0)</f>
        <v>0</v>
      </c>
      <c r="G72" s="52">
        <f t="shared" si="217"/>
        <v>0</v>
      </c>
      <c r="H72" s="52">
        <f t="shared" si="217"/>
        <v>0</v>
      </c>
      <c r="I72" s="52">
        <f t="shared" si="217"/>
        <v>0</v>
      </c>
      <c r="J72" s="52">
        <f t="shared" si="217"/>
        <v>0</v>
      </c>
      <c r="K72" s="52">
        <f t="shared" si="217"/>
        <v>0</v>
      </c>
      <c r="L72" s="52">
        <f t="shared" si="217"/>
        <v>0</v>
      </c>
      <c r="M72" s="52">
        <f t="shared" si="217"/>
        <v>0</v>
      </c>
      <c r="N72" s="52">
        <f t="shared" si="217"/>
        <v>0</v>
      </c>
      <c r="O72" s="52">
        <f t="shared" si="217"/>
        <v>0</v>
      </c>
      <c r="P72" s="52">
        <f t="shared" si="217"/>
        <v>0</v>
      </c>
      <c r="Q72" s="52">
        <f t="shared" si="217"/>
        <v>0</v>
      </c>
      <c r="R72" s="52">
        <f t="shared" si="217"/>
        <v>0</v>
      </c>
      <c r="S72" s="52">
        <f t="shared" si="217"/>
        <v>0</v>
      </c>
      <c r="T72" s="52">
        <f t="shared" si="217"/>
        <v>0</v>
      </c>
      <c r="U72" s="52">
        <f t="shared" si="217"/>
        <v>0</v>
      </c>
      <c r="V72" s="52">
        <f t="shared" si="217"/>
        <v>0</v>
      </c>
      <c r="W72" s="52">
        <f t="shared" si="217"/>
        <v>0</v>
      </c>
      <c r="X72" s="52">
        <f t="shared" si="217"/>
        <v>0</v>
      </c>
      <c r="Y72" s="52">
        <f t="shared" si="217"/>
        <v>0</v>
      </c>
      <c r="Z72" s="52">
        <f t="shared" si="217"/>
        <v>0</v>
      </c>
      <c r="AA72" s="52">
        <f t="shared" si="217"/>
        <v>0</v>
      </c>
      <c r="AB72" s="52">
        <f t="shared" si="217"/>
        <v>0</v>
      </c>
      <c r="AC72" s="52">
        <f t="shared" si="217"/>
        <v>0</v>
      </c>
      <c r="AD72" s="52">
        <f t="shared" si="217"/>
        <v>0</v>
      </c>
      <c r="AE72" s="52">
        <f t="shared" si="217"/>
        <v>0</v>
      </c>
      <c r="AF72" s="52">
        <f t="shared" si="217"/>
        <v>0</v>
      </c>
      <c r="AG72" s="52">
        <f t="shared" si="217"/>
        <v>0</v>
      </c>
      <c r="AH72" s="52">
        <f t="shared" si="217"/>
        <v>0</v>
      </c>
      <c r="AI72" s="52">
        <f t="shared" si="217"/>
        <v>0</v>
      </c>
      <c r="AJ72" s="52">
        <f t="shared" si="217"/>
        <v>0</v>
      </c>
      <c r="AK72" s="52">
        <f t="shared" si="217"/>
        <v>0</v>
      </c>
      <c r="AL72" s="52">
        <f t="shared" ref="AL72:BQ72" si="218">IFERROR(IF(AL$28="FALSE",0,$C$72/$C$8),0)</f>
        <v>0</v>
      </c>
      <c r="AM72" s="52">
        <f t="shared" si="218"/>
        <v>0</v>
      </c>
      <c r="AN72" s="52">
        <f t="shared" si="218"/>
        <v>0</v>
      </c>
      <c r="AO72" s="52">
        <f t="shared" si="218"/>
        <v>0</v>
      </c>
      <c r="AP72" s="52">
        <f t="shared" si="218"/>
        <v>0</v>
      </c>
      <c r="AQ72" s="52">
        <f t="shared" si="218"/>
        <v>0</v>
      </c>
      <c r="AR72" s="52">
        <f t="shared" si="218"/>
        <v>0</v>
      </c>
      <c r="AS72" s="52">
        <f t="shared" si="218"/>
        <v>0</v>
      </c>
      <c r="AT72" s="52">
        <f t="shared" si="218"/>
        <v>0</v>
      </c>
      <c r="AU72" s="52">
        <f t="shared" si="218"/>
        <v>0</v>
      </c>
      <c r="AV72" s="52">
        <f t="shared" si="218"/>
        <v>0</v>
      </c>
      <c r="AW72" s="52">
        <f t="shared" si="218"/>
        <v>0</v>
      </c>
      <c r="AX72" s="52">
        <f t="shared" si="218"/>
        <v>0</v>
      </c>
      <c r="AY72" s="52">
        <f t="shared" si="218"/>
        <v>0</v>
      </c>
      <c r="AZ72" s="52">
        <f t="shared" si="218"/>
        <v>0</v>
      </c>
      <c r="BA72" s="52">
        <f t="shared" si="218"/>
        <v>0</v>
      </c>
      <c r="BB72" s="52">
        <f t="shared" si="218"/>
        <v>0</v>
      </c>
      <c r="BC72" s="52">
        <f t="shared" si="218"/>
        <v>0</v>
      </c>
      <c r="BD72" s="52">
        <f t="shared" si="218"/>
        <v>0</v>
      </c>
      <c r="BE72" s="52">
        <f t="shared" si="218"/>
        <v>0</v>
      </c>
      <c r="BF72" s="52">
        <f t="shared" si="218"/>
        <v>0</v>
      </c>
      <c r="BG72" s="52">
        <f t="shared" si="218"/>
        <v>0</v>
      </c>
      <c r="BH72" s="52">
        <f t="shared" si="218"/>
        <v>0</v>
      </c>
      <c r="BI72" s="52">
        <f t="shared" si="218"/>
        <v>0</v>
      </c>
      <c r="BJ72" s="52">
        <f t="shared" si="218"/>
        <v>0</v>
      </c>
      <c r="BK72" s="52">
        <f t="shared" si="218"/>
        <v>0</v>
      </c>
      <c r="BL72" s="52">
        <f t="shared" si="218"/>
        <v>0</v>
      </c>
      <c r="BM72" s="52">
        <f t="shared" si="218"/>
        <v>0</v>
      </c>
      <c r="BN72" s="52">
        <f t="shared" si="218"/>
        <v>0</v>
      </c>
      <c r="BO72" s="52">
        <f t="shared" si="218"/>
        <v>0</v>
      </c>
      <c r="BP72" s="52">
        <f t="shared" si="218"/>
        <v>0</v>
      </c>
      <c r="BQ72" s="52">
        <f t="shared" si="218"/>
        <v>0</v>
      </c>
      <c r="BR72" s="52">
        <f t="shared" ref="BR72:CW72" si="219">IFERROR(IF(BR$28="FALSE",0,$C$72/$C$8),0)</f>
        <v>0</v>
      </c>
      <c r="BS72" s="52">
        <f t="shared" si="219"/>
        <v>0</v>
      </c>
      <c r="BT72" s="52">
        <f t="shared" si="219"/>
        <v>0</v>
      </c>
      <c r="BU72" s="52">
        <f t="shared" si="219"/>
        <v>0</v>
      </c>
      <c r="BV72" s="52">
        <f t="shared" si="219"/>
        <v>0</v>
      </c>
      <c r="BW72" s="52">
        <f t="shared" si="219"/>
        <v>0</v>
      </c>
      <c r="BX72" s="52">
        <f t="shared" si="219"/>
        <v>0</v>
      </c>
      <c r="BY72" s="52">
        <f t="shared" si="219"/>
        <v>0</v>
      </c>
      <c r="BZ72" s="52">
        <f t="shared" si="219"/>
        <v>0</v>
      </c>
      <c r="CA72" s="52">
        <f t="shared" si="219"/>
        <v>0</v>
      </c>
      <c r="CB72" s="52">
        <f t="shared" si="219"/>
        <v>0</v>
      </c>
      <c r="CC72" s="52">
        <f t="shared" si="219"/>
        <v>0</v>
      </c>
      <c r="CD72" s="52">
        <f t="shared" si="219"/>
        <v>0</v>
      </c>
      <c r="CE72" s="52">
        <f t="shared" si="219"/>
        <v>0</v>
      </c>
      <c r="CF72" s="52">
        <f t="shared" si="219"/>
        <v>0</v>
      </c>
      <c r="CG72" s="52">
        <f t="shared" si="219"/>
        <v>0</v>
      </c>
      <c r="CH72" s="52">
        <f t="shared" si="219"/>
        <v>0</v>
      </c>
      <c r="CI72" s="52">
        <f t="shared" si="219"/>
        <v>0</v>
      </c>
      <c r="CJ72" s="52">
        <f t="shared" si="219"/>
        <v>0</v>
      </c>
      <c r="CK72" s="52">
        <f t="shared" si="219"/>
        <v>0</v>
      </c>
      <c r="CL72" s="52">
        <f t="shared" si="219"/>
        <v>0</v>
      </c>
      <c r="CM72" s="52">
        <f t="shared" si="219"/>
        <v>0</v>
      </c>
      <c r="CN72" s="52">
        <f t="shared" si="219"/>
        <v>0</v>
      </c>
      <c r="CO72" s="52">
        <f t="shared" si="219"/>
        <v>0</v>
      </c>
      <c r="CP72" s="52">
        <f t="shared" si="219"/>
        <v>0</v>
      </c>
      <c r="CQ72" s="52">
        <f t="shared" si="219"/>
        <v>0</v>
      </c>
      <c r="CR72" s="52">
        <f t="shared" si="219"/>
        <v>0</v>
      </c>
      <c r="CS72" s="52">
        <f t="shared" si="219"/>
        <v>0</v>
      </c>
      <c r="CT72" s="52">
        <f t="shared" si="219"/>
        <v>0</v>
      </c>
      <c r="CU72" s="52">
        <f t="shared" si="219"/>
        <v>0</v>
      </c>
      <c r="CV72" s="52">
        <f t="shared" si="219"/>
        <v>0</v>
      </c>
      <c r="CW72" s="52">
        <f t="shared" si="219"/>
        <v>0</v>
      </c>
      <c r="CX72" s="52">
        <f t="shared" ref="CX72:EC72" si="220">IFERROR(IF(CX$28="FALSE",0,$C$72/$C$8),0)</f>
        <v>0</v>
      </c>
      <c r="CY72" s="52">
        <f t="shared" si="220"/>
        <v>0</v>
      </c>
      <c r="CZ72" s="52">
        <f t="shared" si="220"/>
        <v>0</v>
      </c>
      <c r="DA72" s="52">
        <f t="shared" si="220"/>
        <v>0</v>
      </c>
      <c r="DB72" s="52">
        <f t="shared" si="220"/>
        <v>0</v>
      </c>
      <c r="DC72" s="52">
        <f t="shared" si="220"/>
        <v>0</v>
      </c>
      <c r="DD72" s="52">
        <f t="shared" si="220"/>
        <v>0</v>
      </c>
      <c r="DE72" s="52">
        <f t="shared" si="220"/>
        <v>0</v>
      </c>
      <c r="DF72" s="52">
        <f t="shared" si="220"/>
        <v>0</v>
      </c>
      <c r="DG72" s="52">
        <f t="shared" si="220"/>
        <v>0</v>
      </c>
      <c r="DH72" s="52">
        <f t="shared" si="220"/>
        <v>0</v>
      </c>
      <c r="DI72" s="52">
        <f t="shared" si="220"/>
        <v>0</v>
      </c>
      <c r="DJ72" s="52">
        <f t="shared" si="220"/>
        <v>0</v>
      </c>
      <c r="DK72" s="52">
        <f t="shared" si="220"/>
        <v>0</v>
      </c>
      <c r="DL72" s="52">
        <f t="shared" si="220"/>
        <v>0</v>
      </c>
      <c r="DM72" s="52">
        <f t="shared" si="220"/>
        <v>0</v>
      </c>
      <c r="DN72" s="52">
        <f t="shared" si="220"/>
        <v>0</v>
      </c>
      <c r="DO72" s="52">
        <f t="shared" si="220"/>
        <v>0</v>
      </c>
      <c r="DP72" s="52">
        <f t="shared" si="220"/>
        <v>0</v>
      </c>
      <c r="DQ72" s="52">
        <f t="shared" si="220"/>
        <v>0</v>
      </c>
      <c r="DR72" s="52">
        <f t="shared" si="220"/>
        <v>0</v>
      </c>
      <c r="DS72" s="52">
        <f t="shared" si="220"/>
        <v>0</v>
      </c>
      <c r="DT72" s="52">
        <f t="shared" si="220"/>
        <v>0</v>
      </c>
      <c r="DU72" s="52">
        <f t="shared" si="220"/>
        <v>0</v>
      </c>
      <c r="DV72" s="52">
        <f t="shared" si="220"/>
        <v>0</v>
      </c>
      <c r="DW72" s="52">
        <f t="shared" si="220"/>
        <v>0</v>
      </c>
      <c r="DX72" s="52">
        <f t="shared" si="220"/>
        <v>0</v>
      </c>
      <c r="DY72" s="52">
        <f t="shared" si="220"/>
        <v>0</v>
      </c>
      <c r="DZ72" s="52">
        <f t="shared" si="220"/>
        <v>0</v>
      </c>
      <c r="EA72" s="52">
        <f t="shared" si="220"/>
        <v>0</v>
      </c>
      <c r="EB72" s="52">
        <f t="shared" si="220"/>
        <v>0</v>
      </c>
      <c r="EC72" s="52">
        <f t="shared" si="220"/>
        <v>0</v>
      </c>
      <c r="ED72" s="52">
        <f t="shared" ref="ED72:FD72" si="221">IFERROR(IF(ED$28="FALSE",0,$C$72/$C$8),0)</f>
        <v>0</v>
      </c>
      <c r="EE72" s="52">
        <f t="shared" si="221"/>
        <v>0</v>
      </c>
      <c r="EF72" s="52">
        <f t="shared" si="221"/>
        <v>0</v>
      </c>
      <c r="EG72" s="52">
        <f t="shared" si="221"/>
        <v>0</v>
      </c>
      <c r="EH72" s="52">
        <f t="shared" si="221"/>
        <v>0</v>
      </c>
      <c r="EI72" s="52">
        <f t="shared" si="221"/>
        <v>0</v>
      </c>
      <c r="EJ72" s="52">
        <f t="shared" si="221"/>
        <v>0</v>
      </c>
      <c r="EK72" s="52">
        <f t="shared" si="221"/>
        <v>0</v>
      </c>
      <c r="EL72" s="52">
        <f t="shared" si="221"/>
        <v>0</v>
      </c>
      <c r="EM72" s="52">
        <f t="shared" si="221"/>
        <v>0</v>
      </c>
      <c r="EN72" s="52">
        <f t="shared" si="221"/>
        <v>0</v>
      </c>
      <c r="EO72" s="52">
        <f t="shared" si="221"/>
        <v>0</v>
      </c>
      <c r="EP72" s="52">
        <f t="shared" si="221"/>
        <v>0</v>
      </c>
      <c r="EQ72" s="52">
        <f t="shared" si="221"/>
        <v>0</v>
      </c>
      <c r="ER72" s="52">
        <f t="shared" si="221"/>
        <v>0</v>
      </c>
      <c r="ES72" s="52">
        <f t="shared" si="221"/>
        <v>0</v>
      </c>
      <c r="ET72" s="52">
        <f t="shared" si="221"/>
        <v>0</v>
      </c>
      <c r="EU72" s="52">
        <f t="shared" si="221"/>
        <v>0</v>
      </c>
      <c r="EV72" s="52">
        <f t="shared" si="221"/>
        <v>0</v>
      </c>
      <c r="EW72" s="52">
        <f t="shared" si="221"/>
        <v>0</v>
      </c>
      <c r="EX72" s="52">
        <f t="shared" si="221"/>
        <v>0</v>
      </c>
      <c r="EY72" s="52">
        <f t="shared" si="221"/>
        <v>0</v>
      </c>
      <c r="EZ72" s="52">
        <f t="shared" si="221"/>
        <v>0</v>
      </c>
      <c r="FA72" s="52">
        <f t="shared" si="221"/>
        <v>0</v>
      </c>
      <c r="FB72" s="52">
        <f t="shared" si="221"/>
        <v>0</v>
      </c>
      <c r="FC72" s="52">
        <f t="shared" si="221"/>
        <v>0</v>
      </c>
      <c r="FD72" s="52">
        <f t="shared" si="221"/>
        <v>0</v>
      </c>
    </row>
    <row r="73" spans="2:160">
      <c r="B73" s="51" t="s">
        <v>153</v>
      </c>
      <c r="C73" s="52">
        <f ca="1">IF(Startup!$C$3="Project",SUMIF(Startup!$C$7:$D$27,Overview!B73,Startup!$D$7:$D$27),(SUMIF(Startup!$C$7:$D$27,Overview!B73,Startup!$D$7:$D$27)*Startup!$C$4))+IF(Pilot!$C$3="Project",SUMIF(Pilot!$C$7:$D$27,Overview!B73,Pilot!$D$7:$D$27),(SUMIF(Pilot!$C$7:$D$27,Overview!B73,Pilot!$D$7:$D$27)*Pilot!$C$4))+IF(PMO!$C$3="Project",SUMIF(PMO!$C$7:$D$27,Overview!B73,PMO!$D$7:$D$27),(SUMIF(PMO!$C$7:$D$27,Overview!B73,PMO!$D$7:$D$27)*PMO!$C$4))+IF('Design &amp; Fulfillment'!$C$3="Project",SUMIF('Design &amp; Fulfillment'!$C$7:$D$27,Overview!B73,'Design &amp; Fulfillment'!$D$7:$D$27),(SUMIF('Design &amp; Fulfillment'!$C$7:$D$27,Overview!B73,'Design &amp; Fulfillment'!$D$7:$D$27)*'Design &amp; Fulfillment'!$C$4))+IF(Workplace!$C$3="Project",SUMIF(Workplace!$C$7:$D$27,Overview!B73,Workplace!$D$7:$D$27),(SUMIF(Workplace!$C$7:$D$27,Overview!B73,Workplace!$D$7:$D$27)*Workplace!$C$4))+IF(Integration!$C$3="Project",SUMIF(Integration!$C$7:$D$27,Overview!B73,Integration!$D$7:$D$27),(SUMIF(Integration!$C$7:$D$27,Overview!B73,Integration!$D$7:$D$27)*Integration!$C$4))+IF(Logistics!$C$3="Project",SUMIF(Logistics!$C$7:$D$27,Overview!B73,Logistics!$D$7:$D$27),(SUMIF(Logistics!$C$7:$D$27,Overview!B73,Logistics!$D$7:$D$27)*Logistics!$C$4))+IF('Service Desk'!$C$3="Project",SUMIF('Service Desk'!$C$7:$D$27,Overview!B73,'Service Desk'!$D$7:$D$27),(SUMIF('Service Desk'!$C$7:$D$27,Overview!B73,'Service Desk'!$D$7:$D$27)*'Service Desk'!$C$4))+IF('Pro Services'!$C$3="Project",SUMIF('Pro Services'!$C$7:$D$27,Overview!B73,'Pro Services'!$D$7:$D$27),(SUMIF('Pro Services'!$C$7:$D$27,Overview!B73,'Pro Services'!$D$7:$D$27)*'Pro Services'!$C$4))</f>
        <v>0</v>
      </c>
      <c r="D73" s="53">
        <f ca="1">IF(Startup!$C$3="Project",SUMIF(Startup!$C$7:$H$27,Overview!B73,Startup!$H$7:$H$27),(SUMIF(Startup!$C$7:$H$27,Overview!B73,Startup!$H$7:$H$27)*Startup!$C$4))+IF(Pilot!$C$3="Project",SUMIF(Pilot!$C$7:$H$27,Overview!B73,Pilot!$H$7:$H$27),(SUMIF(Pilot!$C$7:$H$27,Overview!B73,Pilot!$H$7:$H$27)*Pilot!$C$4))+IF(PMO!$C$3="Project",SUMIF(PMO!$C$7:$H$27,Overview!B73,PMO!$H$7:$H$27),(SUMIF(PMO!$C$7:$H$27,Overview!B73,PMO!$H$7:$H$27)*PMO!$C$4))+IF('Design &amp; Fulfillment'!$C$3="Project",SUMIF('Design &amp; Fulfillment'!$C$7:$H$27,Overview!B73,'Design &amp; Fulfillment'!$H$7:$H$27),(SUMIF('Design &amp; Fulfillment'!$C$7:$H$27,Overview!B73,'Design &amp; Fulfillment'!$H$7:$H$27)*'Design &amp; Fulfillment'!$C$4))+IF(Workplace!$C$3="Project",SUMIF(Workplace!$C$7:$H$27,Overview!B73,Workplace!$H$7:$H$27),(SUMIF(Workplace!$C$7:$H$27,Overview!B73,Workplace!$H$7:$H$27)*Workplace!$C$4))+IF(Integration!$C$3="Project",SUMIF(Integration!$C$7:$H$27,Overview!B73,Integration!$H$7:$H$27),(SUMIF(Integration!$C$7:$H$27,Overview!B73,Integration!$H$7:$H$27)*Integration!$C$4))+IF(Logistics!$C$3="Project",SUMIF(Logistics!$C$7:$H$27,Overview!B73,Logistics!$H$7:$H$27),(SUMIF(Logistics!$C$7:$H$27,Overview!B73,Logistics!$H$7:$H$27)*Logistics!$C$4))+IF('Service Desk'!$C$3="Project",SUMIF('Service Desk'!$C$7:$H$27,Overview!B73,'Service Desk'!$H$7:$H$27),(SUMIF('Service Desk'!$C$7:$H$27,Overview!B73,'Service Desk'!$H$7:$H$27)*'Service Desk'!$C$4))+IF('Pro Services'!$C$3="Project",SUMIF('Pro Services'!$C$7:$H$27,Overview!B73,'Pro Services'!$H$7:$H$27),(SUMIF('Pro Services'!$C$7:$H$27,Overview!B73,'Pro Services'!$H$7:$H$27)*'Pro Services'!$C$4))</f>
        <v>0</v>
      </c>
      <c r="E73" s="52">
        <f t="shared" ca="1" si="120"/>
        <v>0</v>
      </c>
      <c r="F73" s="52">
        <f t="shared" ref="F73:AK73" si="222">IFERROR(IF(F$28="FALSE",0,$C$73/$C$8),0)</f>
        <v>0</v>
      </c>
      <c r="G73" s="52">
        <f t="shared" si="222"/>
        <v>0</v>
      </c>
      <c r="H73" s="52">
        <f t="shared" si="222"/>
        <v>0</v>
      </c>
      <c r="I73" s="52">
        <f t="shared" si="222"/>
        <v>0</v>
      </c>
      <c r="J73" s="52">
        <f t="shared" si="222"/>
        <v>0</v>
      </c>
      <c r="K73" s="52">
        <f t="shared" si="222"/>
        <v>0</v>
      </c>
      <c r="L73" s="52">
        <f t="shared" si="222"/>
        <v>0</v>
      </c>
      <c r="M73" s="52">
        <f t="shared" si="222"/>
        <v>0</v>
      </c>
      <c r="N73" s="52">
        <f t="shared" si="222"/>
        <v>0</v>
      </c>
      <c r="O73" s="52">
        <f t="shared" si="222"/>
        <v>0</v>
      </c>
      <c r="P73" s="52">
        <f t="shared" si="222"/>
        <v>0</v>
      </c>
      <c r="Q73" s="52">
        <f t="shared" si="222"/>
        <v>0</v>
      </c>
      <c r="R73" s="52">
        <f t="shared" si="222"/>
        <v>0</v>
      </c>
      <c r="S73" s="52">
        <f t="shared" si="222"/>
        <v>0</v>
      </c>
      <c r="T73" s="52">
        <f t="shared" si="222"/>
        <v>0</v>
      </c>
      <c r="U73" s="52">
        <f t="shared" si="222"/>
        <v>0</v>
      </c>
      <c r="V73" s="52">
        <f t="shared" si="222"/>
        <v>0</v>
      </c>
      <c r="W73" s="52">
        <f t="shared" si="222"/>
        <v>0</v>
      </c>
      <c r="X73" s="52">
        <f t="shared" si="222"/>
        <v>0</v>
      </c>
      <c r="Y73" s="52">
        <f t="shared" si="222"/>
        <v>0</v>
      </c>
      <c r="Z73" s="52">
        <f t="shared" si="222"/>
        <v>0</v>
      </c>
      <c r="AA73" s="52">
        <f t="shared" si="222"/>
        <v>0</v>
      </c>
      <c r="AB73" s="52">
        <f t="shared" si="222"/>
        <v>0</v>
      </c>
      <c r="AC73" s="52">
        <f t="shared" si="222"/>
        <v>0</v>
      </c>
      <c r="AD73" s="52">
        <f t="shared" si="222"/>
        <v>0</v>
      </c>
      <c r="AE73" s="52">
        <f t="shared" si="222"/>
        <v>0</v>
      </c>
      <c r="AF73" s="52">
        <f t="shared" si="222"/>
        <v>0</v>
      </c>
      <c r="AG73" s="52">
        <f t="shared" si="222"/>
        <v>0</v>
      </c>
      <c r="AH73" s="52">
        <f t="shared" si="222"/>
        <v>0</v>
      </c>
      <c r="AI73" s="52">
        <f t="shared" si="222"/>
        <v>0</v>
      </c>
      <c r="AJ73" s="52">
        <f t="shared" si="222"/>
        <v>0</v>
      </c>
      <c r="AK73" s="52">
        <f t="shared" si="222"/>
        <v>0</v>
      </c>
      <c r="AL73" s="52">
        <f t="shared" ref="AL73:BQ73" si="223">IFERROR(IF(AL$28="FALSE",0,$C$73/$C$8),0)</f>
        <v>0</v>
      </c>
      <c r="AM73" s="52">
        <f t="shared" si="223"/>
        <v>0</v>
      </c>
      <c r="AN73" s="52">
        <f t="shared" si="223"/>
        <v>0</v>
      </c>
      <c r="AO73" s="52">
        <f t="shared" si="223"/>
        <v>0</v>
      </c>
      <c r="AP73" s="52">
        <f t="shared" si="223"/>
        <v>0</v>
      </c>
      <c r="AQ73" s="52">
        <f t="shared" si="223"/>
        <v>0</v>
      </c>
      <c r="AR73" s="52">
        <f t="shared" si="223"/>
        <v>0</v>
      </c>
      <c r="AS73" s="52">
        <f t="shared" si="223"/>
        <v>0</v>
      </c>
      <c r="AT73" s="52">
        <f t="shared" si="223"/>
        <v>0</v>
      </c>
      <c r="AU73" s="52">
        <f t="shared" si="223"/>
        <v>0</v>
      </c>
      <c r="AV73" s="52">
        <f t="shared" si="223"/>
        <v>0</v>
      </c>
      <c r="AW73" s="52">
        <f t="shared" si="223"/>
        <v>0</v>
      </c>
      <c r="AX73" s="52">
        <f t="shared" si="223"/>
        <v>0</v>
      </c>
      <c r="AY73" s="52">
        <f t="shared" si="223"/>
        <v>0</v>
      </c>
      <c r="AZ73" s="52">
        <f t="shared" si="223"/>
        <v>0</v>
      </c>
      <c r="BA73" s="52">
        <f t="shared" si="223"/>
        <v>0</v>
      </c>
      <c r="BB73" s="52">
        <f t="shared" si="223"/>
        <v>0</v>
      </c>
      <c r="BC73" s="52">
        <f t="shared" si="223"/>
        <v>0</v>
      </c>
      <c r="BD73" s="52">
        <f t="shared" si="223"/>
        <v>0</v>
      </c>
      <c r="BE73" s="52">
        <f t="shared" si="223"/>
        <v>0</v>
      </c>
      <c r="BF73" s="52">
        <f t="shared" si="223"/>
        <v>0</v>
      </c>
      <c r="BG73" s="52">
        <f t="shared" si="223"/>
        <v>0</v>
      </c>
      <c r="BH73" s="52">
        <f t="shared" si="223"/>
        <v>0</v>
      </c>
      <c r="BI73" s="52">
        <f t="shared" si="223"/>
        <v>0</v>
      </c>
      <c r="BJ73" s="52">
        <f t="shared" si="223"/>
        <v>0</v>
      </c>
      <c r="BK73" s="52">
        <f t="shared" si="223"/>
        <v>0</v>
      </c>
      <c r="BL73" s="52">
        <f t="shared" si="223"/>
        <v>0</v>
      </c>
      <c r="BM73" s="52">
        <f t="shared" si="223"/>
        <v>0</v>
      </c>
      <c r="BN73" s="52">
        <f t="shared" si="223"/>
        <v>0</v>
      </c>
      <c r="BO73" s="52">
        <f t="shared" si="223"/>
        <v>0</v>
      </c>
      <c r="BP73" s="52">
        <f t="shared" si="223"/>
        <v>0</v>
      </c>
      <c r="BQ73" s="52">
        <f t="shared" si="223"/>
        <v>0</v>
      </c>
      <c r="BR73" s="52">
        <f t="shared" ref="BR73:CW73" si="224">IFERROR(IF(BR$28="FALSE",0,$C$73/$C$8),0)</f>
        <v>0</v>
      </c>
      <c r="BS73" s="52">
        <f t="shared" si="224"/>
        <v>0</v>
      </c>
      <c r="BT73" s="52">
        <f t="shared" si="224"/>
        <v>0</v>
      </c>
      <c r="BU73" s="52">
        <f t="shared" si="224"/>
        <v>0</v>
      </c>
      <c r="BV73" s="52">
        <f t="shared" si="224"/>
        <v>0</v>
      </c>
      <c r="BW73" s="52">
        <f t="shared" si="224"/>
        <v>0</v>
      </c>
      <c r="BX73" s="52">
        <f t="shared" si="224"/>
        <v>0</v>
      </c>
      <c r="BY73" s="52">
        <f t="shared" si="224"/>
        <v>0</v>
      </c>
      <c r="BZ73" s="52">
        <f t="shared" si="224"/>
        <v>0</v>
      </c>
      <c r="CA73" s="52">
        <f t="shared" si="224"/>
        <v>0</v>
      </c>
      <c r="CB73" s="52">
        <f t="shared" si="224"/>
        <v>0</v>
      </c>
      <c r="CC73" s="52">
        <f t="shared" si="224"/>
        <v>0</v>
      </c>
      <c r="CD73" s="52">
        <f t="shared" si="224"/>
        <v>0</v>
      </c>
      <c r="CE73" s="52">
        <f t="shared" si="224"/>
        <v>0</v>
      </c>
      <c r="CF73" s="52">
        <f t="shared" si="224"/>
        <v>0</v>
      </c>
      <c r="CG73" s="52">
        <f t="shared" si="224"/>
        <v>0</v>
      </c>
      <c r="CH73" s="52">
        <f t="shared" si="224"/>
        <v>0</v>
      </c>
      <c r="CI73" s="52">
        <f t="shared" si="224"/>
        <v>0</v>
      </c>
      <c r="CJ73" s="52">
        <f t="shared" si="224"/>
        <v>0</v>
      </c>
      <c r="CK73" s="52">
        <f t="shared" si="224"/>
        <v>0</v>
      </c>
      <c r="CL73" s="52">
        <f t="shared" si="224"/>
        <v>0</v>
      </c>
      <c r="CM73" s="52">
        <f t="shared" si="224"/>
        <v>0</v>
      </c>
      <c r="CN73" s="52">
        <f t="shared" si="224"/>
        <v>0</v>
      </c>
      <c r="CO73" s="52">
        <f t="shared" si="224"/>
        <v>0</v>
      </c>
      <c r="CP73" s="52">
        <f t="shared" si="224"/>
        <v>0</v>
      </c>
      <c r="CQ73" s="52">
        <f t="shared" si="224"/>
        <v>0</v>
      </c>
      <c r="CR73" s="52">
        <f t="shared" si="224"/>
        <v>0</v>
      </c>
      <c r="CS73" s="52">
        <f t="shared" si="224"/>
        <v>0</v>
      </c>
      <c r="CT73" s="52">
        <f t="shared" si="224"/>
        <v>0</v>
      </c>
      <c r="CU73" s="52">
        <f t="shared" si="224"/>
        <v>0</v>
      </c>
      <c r="CV73" s="52">
        <f t="shared" si="224"/>
        <v>0</v>
      </c>
      <c r="CW73" s="52">
        <f t="shared" si="224"/>
        <v>0</v>
      </c>
      <c r="CX73" s="52">
        <f t="shared" ref="CX73:EC73" si="225">IFERROR(IF(CX$28="FALSE",0,$C$73/$C$8),0)</f>
        <v>0</v>
      </c>
      <c r="CY73" s="52">
        <f t="shared" si="225"/>
        <v>0</v>
      </c>
      <c r="CZ73" s="52">
        <f t="shared" si="225"/>
        <v>0</v>
      </c>
      <c r="DA73" s="52">
        <f t="shared" si="225"/>
        <v>0</v>
      </c>
      <c r="DB73" s="52">
        <f t="shared" si="225"/>
        <v>0</v>
      </c>
      <c r="DC73" s="52">
        <f t="shared" si="225"/>
        <v>0</v>
      </c>
      <c r="DD73" s="52">
        <f t="shared" si="225"/>
        <v>0</v>
      </c>
      <c r="DE73" s="52">
        <f t="shared" si="225"/>
        <v>0</v>
      </c>
      <c r="DF73" s="52">
        <f t="shared" si="225"/>
        <v>0</v>
      </c>
      <c r="DG73" s="52">
        <f t="shared" si="225"/>
        <v>0</v>
      </c>
      <c r="DH73" s="52">
        <f t="shared" si="225"/>
        <v>0</v>
      </c>
      <c r="DI73" s="52">
        <f t="shared" si="225"/>
        <v>0</v>
      </c>
      <c r="DJ73" s="52">
        <f t="shared" si="225"/>
        <v>0</v>
      </c>
      <c r="DK73" s="52">
        <f t="shared" si="225"/>
        <v>0</v>
      </c>
      <c r="DL73" s="52">
        <f t="shared" si="225"/>
        <v>0</v>
      </c>
      <c r="DM73" s="52">
        <f t="shared" si="225"/>
        <v>0</v>
      </c>
      <c r="DN73" s="52">
        <f t="shared" si="225"/>
        <v>0</v>
      </c>
      <c r="DO73" s="52">
        <f t="shared" si="225"/>
        <v>0</v>
      </c>
      <c r="DP73" s="52">
        <f t="shared" si="225"/>
        <v>0</v>
      </c>
      <c r="DQ73" s="52">
        <f t="shared" si="225"/>
        <v>0</v>
      </c>
      <c r="DR73" s="52">
        <f t="shared" si="225"/>
        <v>0</v>
      </c>
      <c r="DS73" s="52">
        <f t="shared" si="225"/>
        <v>0</v>
      </c>
      <c r="DT73" s="52">
        <f t="shared" si="225"/>
        <v>0</v>
      </c>
      <c r="DU73" s="52">
        <f t="shared" si="225"/>
        <v>0</v>
      </c>
      <c r="DV73" s="52">
        <f t="shared" si="225"/>
        <v>0</v>
      </c>
      <c r="DW73" s="52">
        <f t="shared" si="225"/>
        <v>0</v>
      </c>
      <c r="DX73" s="52">
        <f t="shared" si="225"/>
        <v>0</v>
      </c>
      <c r="DY73" s="52">
        <f t="shared" si="225"/>
        <v>0</v>
      </c>
      <c r="DZ73" s="52">
        <f t="shared" si="225"/>
        <v>0</v>
      </c>
      <c r="EA73" s="52">
        <f t="shared" si="225"/>
        <v>0</v>
      </c>
      <c r="EB73" s="52">
        <f t="shared" si="225"/>
        <v>0</v>
      </c>
      <c r="EC73" s="52">
        <f t="shared" si="225"/>
        <v>0</v>
      </c>
      <c r="ED73" s="52">
        <f t="shared" ref="ED73:FD73" si="226">IFERROR(IF(ED$28="FALSE",0,$C$73/$C$8),0)</f>
        <v>0</v>
      </c>
      <c r="EE73" s="52">
        <f t="shared" si="226"/>
        <v>0</v>
      </c>
      <c r="EF73" s="52">
        <f t="shared" si="226"/>
        <v>0</v>
      </c>
      <c r="EG73" s="52">
        <f t="shared" si="226"/>
        <v>0</v>
      </c>
      <c r="EH73" s="52">
        <f t="shared" si="226"/>
        <v>0</v>
      </c>
      <c r="EI73" s="52">
        <f t="shared" si="226"/>
        <v>0</v>
      </c>
      <c r="EJ73" s="52">
        <f t="shared" si="226"/>
        <v>0</v>
      </c>
      <c r="EK73" s="52">
        <f t="shared" si="226"/>
        <v>0</v>
      </c>
      <c r="EL73" s="52">
        <f t="shared" si="226"/>
        <v>0</v>
      </c>
      <c r="EM73" s="52">
        <f t="shared" si="226"/>
        <v>0</v>
      </c>
      <c r="EN73" s="52">
        <f t="shared" si="226"/>
        <v>0</v>
      </c>
      <c r="EO73" s="52">
        <f t="shared" si="226"/>
        <v>0</v>
      </c>
      <c r="EP73" s="52">
        <f t="shared" si="226"/>
        <v>0</v>
      </c>
      <c r="EQ73" s="52">
        <f t="shared" si="226"/>
        <v>0</v>
      </c>
      <c r="ER73" s="52">
        <f t="shared" si="226"/>
        <v>0</v>
      </c>
      <c r="ES73" s="52">
        <f t="shared" si="226"/>
        <v>0</v>
      </c>
      <c r="ET73" s="52">
        <f t="shared" si="226"/>
        <v>0</v>
      </c>
      <c r="EU73" s="52">
        <f t="shared" si="226"/>
        <v>0</v>
      </c>
      <c r="EV73" s="52">
        <f t="shared" si="226"/>
        <v>0</v>
      </c>
      <c r="EW73" s="52">
        <f t="shared" si="226"/>
        <v>0</v>
      </c>
      <c r="EX73" s="52">
        <f t="shared" si="226"/>
        <v>0</v>
      </c>
      <c r="EY73" s="52">
        <f t="shared" si="226"/>
        <v>0</v>
      </c>
      <c r="EZ73" s="52">
        <f t="shared" si="226"/>
        <v>0</v>
      </c>
      <c r="FA73" s="52">
        <f t="shared" si="226"/>
        <v>0</v>
      </c>
      <c r="FB73" s="52">
        <f t="shared" si="226"/>
        <v>0</v>
      </c>
      <c r="FC73" s="52">
        <f t="shared" si="226"/>
        <v>0</v>
      </c>
      <c r="FD73" s="52">
        <f t="shared" si="226"/>
        <v>0</v>
      </c>
    </row>
    <row r="74" spans="2:160">
      <c r="B74" s="51" t="s">
        <v>154</v>
      </c>
      <c r="C74" s="52">
        <f ca="1">IF(Startup!$C$3="Project",SUMIF(Startup!$C$7:$D$27,Overview!B74,Startup!$D$7:$D$27),(SUMIF(Startup!$C$7:$D$27,Overview!B74,Startup!$D$7:$D$27)*Startup!$C$4))+IF(Pilot!$C$3="Project",SUMIF(Pilot!$C$7:$D$27,Overview!B74,Pilot!$D$7:$D$27),(SUMIF(Pilot!$C$7:$D$27,Overview!B74,Pilot!$D$7:$D$27)*Pilot!$C$4))+IF(PMO!$C$3="Project",SUMIF(PMO!$C$7:$D$27,Overview!B74,PMO!$D$7:$D$27),(SUMIF(PMO!$C$7:$D$27,Overview!B74,PMO!$D$7:$D$27)*PMO!$C$4))+IF('Design &amp; Fulfillment'!$C$3="Project",SUMIF('Design &amp; Fulfillment'!$C$7:$D$27,Overview!B74,'Design &amp; Fulfillment'!$D$7:$D$27),(SUMIF('Design &amp; Fulfillment'!$C$7:$D$27,Overview!B74,'Design &amp; Fulfillment'!$D$7:$D$27)*'Design &amp; Fulfillment'!$C$4))+IF(Workplace!$C$3="Project",SUMIF(Workplace!$C$7:$D$27,Overview!B74,Workplace!$D$7:$D$27),(SUMIF(Workplace!$C$7:$D$27,Overview!B74,Workplace!$D$7:$D$27)*Workplace!$C$4))+IF(Integration!$C$3="Project",SUMIF(Integration!$C$7:$D$27,Overview!B74,Integration!$D$7:$D$27),(SUMIF(Integration!$C$7:$D$27,Overview!B74,Integration!$D$7:$D$27)*Integration!$C$4))+IF(Logistics!$C$3="Project",SUMIF(Logistics!$C$7:$D$27,Overview!B74,Logistics!$D$7:$D$27),(SUMIF(Logistics!$C$7:$D$27,Overview!B74,Logistics!$D$7:$D$27)*Logistics!$C$4))+IF('Service Desk'!$C$3="Project",SUMIF('Service Desk'!$C$7:$D$27,Overview!B74,'Service Desk'!$D$7:$D$27),(SUMIF('Service Desk'!$C$7:$D$27,Overview!B74,'Service Desk'!$D$7:$D$27)*'Service Desk'!$C$4))+IF('Pro Services'!$C$3="Project",SUMIF('Pro Services'!$C$7:$D$27,Overview!B74,'Pro Services'!$D$7:$D$27),(SUMIF('Pro Services'!$C$7:$D$27,Overview!B74,'Pro Services'!$D$7:$D$27)*'Pro Services'!$C$4))</f>
        <v>0</v>
      </c>
      <c r="D74" s="53">
        <f ca="1">IF(Startup!$C$3="Project",SUMIF(Startup!$C$7:$H$27,Overview!B74,Startup!$H$7:$H$27),(SUMIF(Startup!$C$7:$H$27,Overview!B74,Startup!$H$7:$H$27)*Startup!$C$4))+IF(Pilot!$C$3="Project",SUMIF(Pilot!$C$7:$H$27,Overview!B74,Pilot!$H$7:$H$27),(SUMIF(Pilot!$C$7:$H$27,Overview!B74,Pilot!$H$7:$H$27)*Pilot!$C$4))+IF(PMO!$C$3="Project",SUMIF(PMO!$C$7:$H$27,Overview!B74,PMO!$H$7:$H$27),(SUMIF(PMO!$C$7:$H$27,Overview!B74,PMO!$H$7:$H$27)*PMO!$C$4))+IF('Design &amp; Fulfillment'!$C$3="Project",SUMIF('Design &amp; Fulfillment'!$C$7:$H$27,Overview!B74,'Design &amp; Fulfillment'!$H$7:$H$27),(SUMIF('Design &amp; Fulfillment'!$C$7:$H$27,Overview!B74,'Design &amp; Fulfillment'!$H$7:$H$27)*'Design &amp; Fulfillment'!$C$4))+IF(Workplace!$C$3="Project",SUMIF(Workplace!$C$7:$H$27,Overview!B74,Workplace!$H$7:$H$27),(SUMIF(Workplace!$C$7:$H$27,Overview!B74,Workplace!$H$7:$H$27)*Workplace!$C$4))+IF(Integration!$C$3="Project",SUMIF(Integration!$C$7:$H$27,Overview!B74,Integration!$H$7:$H$27),(SUMIF(Integration!$C$7:$H$27,Overview!B74,Integration!$H$7:$H$27)*Integration!$C$4))+IF(Logistics!$C$3="Project",SUMIF(Logistics!$C$7:$H$27,Overview!B74,Logistics!$H$7:$H$27),(SUMIF(Logistics!$C$7:$H$27,Overview!B74,Logistics!$H$7:$H$27)*Logistics!$C$4))+IF('Service Desk'!$C$3="Project",SUMIF('Service Desk'!$C$7:$H$27,Overview!B74,'Service Desk'!$H$7:$H$27),(SUMIF('Service Desk'!$C$7:$H$27,Overview!B74,'Service Desk'!$H$7:$H$27)*'Service Desk'!$C$4))+IF('Pro Services'!$C$3="Project",SUMIF('Pro Services'!$C$7:$H$27,Overview!B74,'Pro Services'!$H$7:$H$27),(SUMIF('Pro Services'!$C$7:$H$27,Overview!B74,'Pro Services'!$H$7:$H$27)*'Pro Services'!$C$4))</f>
        <v>0</v>
      </c>
      <c r="E74" s="52">
        <f t="shared" ca="1" si="120"/>
        <v>0</v>
      </c>
      <c r="F74" s="52">
        <f t="shared" ref="F74:AK74" si="227">IFERROR(IF(F$28="FALSE",0,$C$74/$C$8),0)</f>
        <v>0</v>
      </c>
      <c r="G74" s="52">
        <f t="shared" si="227"/>
        <v>0</v>
      </c>
      <c r="H74" s="52">
        <f t="shared" si="227"/>
        <v>0</v>
      </c>
      <c r="I74" s="52">
        <f t="shared" si="227"/>
        <v>0</v>
      </c>
      <c r="J74" s="52">
        <f t="shared" si="227"/>
        <v>0</v>
      </c>
      <c r="K74" s="52">
        <f t="shared" si="227"/>
        <v>0</v>
      </c>
      <c r="L74" s="52">
        <f t="shared" si="227"/>
        <v>0</v>
      </c>
      <c r="M74" s="52">
        <f t="shared" si="227"/>
        <v>0</v>
      </c>
      <c r="N74" s="52">
        <f t="shared" si="227"/>
        <v>0</v>
      </c>
      <c r="O74" s="52">
        <f t="shared" si="227"/>
        <v>0</v>
      </c>
      <c r="P74" s="52">
        <f t="shared" si="227"/>
        <v>0</v>
      </c>
      <c r="Q74" s="52">
        <f t="shared" si="227"/>
        <v>0</v>
      </c>
      <c r="R74" s="52">
        <f t="shared" si="227"/>
        <v>0</v>
      </c>
      <c r="S74" s="52">
        <f t="shared" si="227"/>
        <v>0</v>
      </c>
      <c r="T74" s="52">
        <f t="shared" si="227"/>
        <v>0</v>
      </c>
      <c r="U74" s="52">
        <f t="shared" si="227"/>
        <v>0</v>
      </c>
      <c r="V74" s="52">
        <f t="shared" si="227"/>
        <v>0</v>
      </c>
      <c r="W74" s="52">
        <f t="shared" si="227"/>
        <v>0</v>
      </c>
      <c r="X74" s="52">
        <f t="shared" si="227"/>
        <v>0</v>
      </c>
      <c r="Y74" s="52">
        <f t="shared" si="227"/>
        <v>0</v>
      </c>
      <c r="Z74" s="52">
        <f t="shared" si="227"/>
        <v>0</v>
      </c>
      <c r="AA74" s="52">
        <f t="shared" si="227"/>
        <v>0</v>
      </c>
      <c r="AB74" s="52">
        <f t="shared" si="227"/>
        <v>0</v>
      </c>
      <c r="AC74" s="52">
        <f t="shared" si="227"/>
        <v>0</v>
      </c>
      <c r="AD74" s="52">
        <f t="shared" si="227"/>
        <v>0</v>
      </c>
      <c r="AE74" s="52">
        <f t="shared" si="227"/>
        <v>0</v>
      </c>
      <c r="AF74" s="52">
        <f t="shared" si="227"/>
        <v>0</v>
      </c>
      <c r="AG74" s="52">
        <f t="shared" si="227"/>
        <v>0</v>
      </c>
      <c r="AH74" s="52">
        <f t="shared" si="227"/>
        <v>0</v>
      </c>
      <c r="AI74" s="52">
        <f t="shared" si="227"/>
        <v>0</v>
      </c>
      <c r="AJ74" s="52">
        <f t="shared" si="227"/>
        <v>0</v>
      </c>
      <c r="AK74" s="52">
        <f t="shared" si="227"/>
        <v>0</v>
      </c>
      <c r="AL74" s="52">
        <f t="shared" ref="AL74:BQ74" si="228">IFERROR(IF(AL$28="FALSE",0,$C$74/$C$8),0)</f>
        <v>0</v>
      </c>
      <c r="AM74" s="52">
        <f t="shared" si="228"/>
        <v>0</v>
      </c>
      <c r="AN74" s="52">
        <f t="shared" si="228"/>
        <v>0</v>
      </c>
      <c r="AO74" s="52">
        <f t="shared" si="228"/>
        <v>0</v>
      </c>
      <c r="AP74" s="52">
        <f t="shared" si="228"/>
        <v>0</v>
      </c>
      <c r="AQ74" s="52">
        <f t="shared" si="228"/>
        <v>0</v>
      </c>
      <c r="AR74" s="52">
        <f t="shared" si="228"/>
        <v>0</v>
      </c>
      <c r="AS74" s="52">
        <f t="shared" si="228"/>
        <v>0</v>
      </c>
      <c r="AT74" s="52">
        <f t="shared" si="228"/>
        <v>0</v>
      </c>
      <c r="AU74" s="52">
        <f t="shared" si="228"/>
        <v>0</v>
      </c>
      <c r="AV74" s="52">
        <f t="shared" si="228"/>
        <v>0</v>
      </c>
      <c r="AW74" s="52">
        <f t="shared" si="228"/>
        <v>0</v>
      </c>
      <c r="AX74" s="52">
        <f t="shared" si="228"/>
        <v>0</v>
      </c>
      <c r="AY74" s="52">
        <f t="shared" si="228"/>
        <v>0</v>
      </c>
      <c r="AZ74" s="52">
        <f t="shared" si="228"/>
        <v>0</v>
      </c>
      <c r="BA74" s="52">
        <f t="shared" si="228"/>
        <v>0</v>
      </c>
      <c r="BB74" s="52">
        <f t="shared" si="228"/>
        <v>0</v>
      </c>
      <c r="BC74" s="52">
        <f t="shared" si="228"/>
        <v>0</v>
      </c>
      <c r="BD74" s="52">
        <f t="shared" si="228"/>
        <v>0</v>
      </c>
      <c r="BE74" s="52">
        <f t="shared" si="228"/>
        <v>0</v>
      </c>
      <c r="BF74" s="52">
        <f t="shared" si="228"/>
        <v>0</v>
      </c>
      <c r="BG74" s="52">
        <f t="shared" si="228"/>
        <v>0</v>
      </c>
      <c r="BH74" s="52">
        <f t="shared" si="228"/>
        <v>0</v>
      </c>
      <c r="BI74" s="52">
        <f t="shared" si="228"/>
        <v>0</v>
      </c>
      <c r="BJ74" s="52">
        <f t="shared" si="228"/>
        <v>0</v>
      </c>
      <c r="BK74" s="52">
        <f t="shared" si="228"/>
        <v>0</v>
      </c>
      <c r="BL74" s="52">
        <f t="shared" si="228"/>
        <v>0</v>
      </c>
      <c r="BM74" s="52">
        <f t="shared" si="228"/>
        <v>0</v>
      </c>
      <c r="BN74" s="52">
        <f t="shared" si="228"/>
        <v>0</v>
      </c>
      <c r="BO74" s="52">
        <f t="shared" si="228"/>
        <v>0</v>
      </c>
      <c r="BP74" s="52">
        <f t="shared" si="228"/>
        <v>0</v>
      </c>
      <c r="BQ74" s="52">
        <f t="shared" si="228"/>
        <v>0</v>
      </c>
      <c r="BR74" s="52">
        <f t="shared" ref="BR74:CW74" si="229">IFERROR(IF(BR$28="FALSE",0,$C$74/$C$8),0)</f>
        <v>0</v>
      </c>
      <c r="BS74" s="52">
        <f t="shared" si="229"/>
        <v>0</v>
      </c>
      <c r="BT74" s="52">
        <f t="shared" si="229"/>
        <v>0</v>
      </c>
      <c r="BU74" s="52">
        <f t="shared" si="229"/>
        <v>0</v>
      </c>
      <c r="BV74" s="52">
        <f t="shared" si="229"/>
        <v>0</v>
      </c>
      <c r="BW74" s="52">
        <f t="shared" si="229"/>
        <v>0</v>
      </c>
      <c r="BX74" s="52">
        <f t="shared" si="229"/>
        <v>0</v>
      </c>
      <c r="BY74" s="52">
        <f t="shared" si="229"/>
        <v>0</v>
      </c>
      <c r="BZ74" s="52">
        <f t="shared" si="229"/>
        <v>0</v>
      </c>
      <c r="CA74" s="52">
        <f t="shared" si="229"/>
        <v>0</v>
      </c>
      <c r="CB74" s="52">
        <f t="shared" si="229"/>
        <v>0</v>
      </c>
      <c r="CC74" s="52">
        <f t="shared" si="229"/>
        <v>0</v>
      </c>
      <c r="CD74" s="52">
        <f t="shared" si="229"/>
        <v>0</v>
      </c>
      <c r="CE74" s="52">
        <f t="shared" si="229"/>
        <v>0</v>
      </c>
      <c r="CF74" s="52">
        <f t="shared" si="229"/>
        <v>0</v>
      </c>
      <c r="CG74" s="52">
        <f t="shared" si="229"/>
        <v>0</v>
      </c>
      <c r="CH74" s="52">
        <f t="shared" si="229"/>
        <v>0</v>
      </c>
      <c r="CI74" s="52">
        <f t="shared" si="229"/>
        <v>0</v>
      </c>
      <c r="CJ74" s="52">
        <f t="shared" si="229"/>
        <v>0</v>
      </c>
      <c r="CK74" s="52">
        <f t="shared" si="229"/>
        <v>0</v>
      </c>
      <c r="CL74" s="52">
        <f t="shared" si="229"/>
        <v>0</v>
      </c>
      <c r="CM74" s="52">
        <f t="shared" si="229"/>
        <v>0</v>
      </c>
      <c r="CN74" s="52">
        <f t="shared" si="229"/>
        <v>0</v>
      </c>
      <c r="CO74" s="52">
        <f t="shared" si="229"/>
        <v>0</v>
      </c>
      <c r="CP74" s="52">
        <f t="shared" si="229"/>
        <v>0</v>
      </c>
      <c r="CQ74" s="52">
        <f t="shared" si="229"/>
        <v>0</v>
      </c>
      <c r="CR74" s="52">
        <f t="shared" si="229"/>
        <v>0</v>
      </c>
      <c r="CS74" s="52">
        <f t="shared" si="229"/>
        <v>0</v>
      </c>
      <c r="CT74" s="52">
        <f t="shared" si="229"/>
        <v>0</v>
      </c>
      <c r="CU74" s="52">
        <f t="shared" si="229"/>
        <v>0</v>
      </c>
      <c r="CV74" s="52">
        <f t="shared" si="229"/>
        <v>0</v>
      </c>
      <c r="CW74" s="52">
        <f t="shared" si="229"/>
        <v>0</v>
      </c>
      <c r="CX74" s="52">
        <f t="shared" ref="CX74:EC74" si="230">IFERROR(IF(CX$28="FALSE",0,$C$74/$C$8),0)</f>
        <v>0</v>
      </c>
      <c r="CY74" s="52">
        <f t="shared" si="230"/>
        <v>0</v>
      </c>
      <c r="CZ74" s="52">
        <f t="shared" si="230"/>
        <v>0</v>
      </c>
      <c r="DA74" s="52">
        <f t="shared" si="230"/>
        <v>0</v>
      </c>
      <c r="DB74" s="52">
        <f t="shared" si="230"/>
        <v>0</v>
      </c>
      <c r="DC74" s="52">
        <f t="shared" si="230"/>
        <v>0</v>
      </c>
      <c r="DD74" s="52">
        <f t="shared" si="230"/>
        <v>0</v>
      </c>
      <c r="DE74" s="52">
        <f t="shared" si="230"/>
        <v>0</v>
      </c>
      <c r="DF74" s="52">
        <f t="shared" si="230"/>
        <v>0</v>
      </c>
      <c r="DG74" s="52">
        <f t="shared" si="230"/>
        <v>0</v>
      </c>
      <c r="DH74" s="52">
        <f t="shared" si="230"/>
        <v>0</v>
      </c>
      <c r="DI74" s="52">
        <f t="shared" si="230"/>
        <v>0</v>
      </c>
      <c r="DJ74" s="52">
        <f t="shared" si="230"/>
        <v>0</v>
      </c>
      <c r="DK74" s="52">
        <f t="shared" si="230"/>
        <v>0</v>
      </c>
      <c r="DL74" s="52">
        <f t="shared" si="230"/>
        <v>0</v>
      </c>
      <c r="DM74" s="52">
        <f t="shared" si="230"/>
        <v>0</v>
      </c>
      <c r="DN74" s="52">
        <f t="shared" si="230"/>
        <v>0</v>
      </c>
      <c r="DO74" s="52">
        <f t="shared" si="230"/>
        <v>0</v>
      </c>
      <c r="DP74" s="52">
        <f t="shared" si="230"/>
        <v>0</v>
      </c>
      <c r="DQ74" s="52">
        <f t="shared" si="230"/>
        <v>0</v>
      </c>
      <c r="DR74" s="52">
        <f t="shared" si="230"/>
        <v>0</v>
      </c>
      <c r="DS74" s="52">
        <f t="shared" si="230"/>
        <v>0</v>
      </c>
      <c r="DT74" s="52">
        <f t="shared" si="230"/>
        <v>0</v>
      </c>
      <c r="DU74" s="52">
        <f t="shared" si="230"/>
        <v>0</v>
      </c>
      <c r="DV74" s="52">
        <f t="shared" si="230"/>
        <v>0</v>
      </c>
      <c r="DW74" s="52">
        <f t="shared" si="230"/>
        <v>0</v>
      </c>
      <c r="DX74" s="52">
        <f t="shared" si="230"/>
        <v>0</v>
      </c>
      <c r="DY74" s="52">
        <f t="shared" si="230"/>
        <v>0</v>
      </c>
      <c r="DZ74" s="52">
        <f t="shared" si="230"/>
        <v>0</v>
      </c>
      <c r="EA74" s="52">
        <f t="shared" si="230"/>
        <v>0</v>
      </c>
      <c r="EB74" s="52">
        <f t="shared" si="230"/>
        <v>0</v>
      </c>
      <c r="EC74" s="52">
        <f t="shared" si="230"/>
        <v>0</v>
      </c>
      <c r="ED74" s="52">
        <f t="shared" ref="ED74:FD74" si="231">IFERROR(IF(ED$28="FALSE",0,$C$74/$C$8),0)</f>
        <v>0</v>
      </c>
      <c r="EE74" s="52">
        <f t="shared" si="231"/>
        <v>0</v>
      </c>
      <c r="EF74" s="52">
        <f t="shared" si="231"/>
        <v>0</v>
      </c>
      <c r="EG74" s="52">
        <f t="shared" si="231"/>
        <v>0</v>
      </c>
      <c r="EH74" s="52">
        <f t="shared" si="231"/>
        <v>0</v>
      </c>
      <c r="EI74" s="52">
        <f t="shared" si="231"/>
        <v>0</v>
      </c>
      <c r="EJ74" s="52">
        <f t="shared" si="231"/>
        <v>0</v>
      </c>
      <c r="EK74" s="52">
        <f t="shared" si="231"/>
        <v>0</v>
      </c>
      <c r="EL74" s="52">
        <f t="shared" si="231"/>
        <v>0</v>
      </c>
      <c r="EM74" s="52">
        <f t="shared" si="231"/>
        <v>0</v>
      </c>
      <c r="EN74" s="52">
        <f t="shared" si="231"/>
        <v>0</v>
      </c>
      <c r="EO74" s="52">
        <f t="shared" si="231"/>
        <v>0</v>
      </c>
      <c r="EP74" s="52">
        <f t="shared" si="231"/>
        <v>0</v>
      </c>
      <c r="EQ74" s="52">
        <f t="shared" si="231"/>
        <v>0</v>
      </c>
      <c r="ER74" s="52">
        <f t="shared" si="231"/>
        <v>0</v>
      </c>
      <c r="ES74" s="52">
        <f t="shared" si="231"/>
        <v>0</v>
      </c>
      <c r="ET74" s="52">
        <f t="shared" si="231"/>
        <v>0</v>
      </c>
      <c r="EU74" s="52">
        <f t="shared" si="231"/>
        <v>0</v>
      </c>
      <c r="EV74" s="52">
        <f t="shared" si="231"/>
        <v>0</v>
      </c>
      <c r="EW74" s="52">
        <f t="shared" si="231"/>
        <v>0</v>
      </c>
      <c r="EX74" s="52">
        <f t="shared" si="231"/>
        <v>0</v>
      </c>
      <c r="EY74" s="52">
        <f t="shared" si="231"/>
        <v>0</v>
      </c>
      <c r="EZ74" s="52">
        <f t="shared" si="231"/>
        <v>0</v>
      </c>
      <c r="FA74" s="52">
        <f t="shared" si="231"/>
        <v>0</v>
      </c>
      <c r="FB74" s="52">
        <f t="shared" si="231"/>
        <v>0</v>
      </c>
      <c r="FC74" s="52">
        <f t="shared" si="231"/>
        <v>0</v>
      </c>
      <c r="FD74" s="52">
        <f t="shared" si="231"/>
        <v>0</v>
      </c>
    </row>
    <row r="75" spans="2:160">
      <c r="B75" s="51" t="s">
        <v>155</v>
      </c>
      <c r="C75" s="52">
        <f ca="1">IF(Startup!$C$3="Project",SUMIF(Startup!$C$7:$D$27,Overview!B75,Startup!$D$7:$D$27),(SUMIF(Startup!$C$7:$D$27,Overview!B75,Startup!$D$7:$D$27)*Startup!$C$4))+IF(Pilot!$C$3="Project",SUMIF(Pilot!$C$7:$D$27,Overview!B75,Pilot!$D$7:$D$27),(SUMIF(Pilot!$C$7:$D$27,Overview!B75,Pilot!$D$7:$D$27)*Pilot!$C$4))+IF(PMO!$C$3="Project",SUMIF(PMO!$C$7:$D$27,Overview!B75,PMO!$D$7:$D$27),(SUMIF(PMO!$C$7:$D$27,Overview!B75,PMO!$D$7:$D$27)*PMO!$C$4))+IF('Design &amp; Fulfillment'!$C$3="Project",SUMIF('Design &amp; Fulfillment'!$C$7:$D$27,Overview!B75,'Design &amp; Fulfillment'!$D$7:$D$27),(SUMIF('Design &amp; Fulfillment'!$C$7:$D$27,Overview!B75,'Design &amp; Fulfillment'!$D$7:$D$27)*'Design &amp; Fulfillment'!$C$4))+IF(Workplace!$C$3="Project",SUMIF(Workplace!$C$7:$D$27,Overview!B75,Workplace!$D$7:$D$27),(SUMIF(Workplace!$C$7:$D$27,Overview!B75,Workplace!$D$7:$D$27)*Workplace!$C$4))+IF(Integration!$C$3="Project",SUMIF(Integration!$C$7:$D$27,Overview!B75,Integration!$D$7:$D$27),(SUMIF(Integration!$C$7:$D$27,Overview!B75,Integration!$D$7:$D$27)*Integration!$C$4))+IF(Logistics!$C$3="Project",SUMIF(Logistics!$C$7:$D$27,Overview!B75,Logistics!$D$7:$D$27),(SUMIF(Logistics!$C$7:$D$27,Overview!B75,Logistics!$D$7:$D$27)*Logistics!$C$4))+IF('Service Desk'!$C$3="Project",SUMIF('Service Desk'!$C$7:$D$27,Overview!B75,'Service Desk'!$D$7:$D$27),(SUMIF('Service Desk'!$C$7:$D$27,Overview!B75,'Service Desk'!$D$7:$D$27)*'Service Desk'!$C$4))+IF('Pro Services'!$C$3="Project",SUMIF('Pro Services'!$C$7:$D$27,Overview!B75,'Pro Services'!$D$7:$D$27),(SUMIF('Pro Services'!$C$7:$D$27,Overview!B75,'Pro Services'!$D$7:$D$27)*'Pro Services'!$C$4))</f>
        <v>0</v>
      </c>
      <c r="D75" s="53">
        <f ca="1">IF(Startup!$C$3="Project",SUMIF(Startup!$C$7:$H$27,Overview!B75,Startup!$H$7:$H$27),(SUMIF(Startup!$C$7:$H$27,Overview!B75,Startup!$H$7:$H$27)*Startup!$C$4))+IF(Pilot!$C$3="Project",SUMIF(Pilot!$C$7:$H$27,Overview!B75,Pilot!$H$7:$H$27),(SUMIF(Pilot!$C$7:$H$27,Overview!B75,Pilot!$H$7:$H$27)*Pilot!$C$4))+IF(PMO!$C$3="Project",SUMIF(PMO!$C$7:$H$27,Overview!B75,PMO!$H$7:$H$27),(SUMIF(PMO!$C$7:$H$27,Overview!B75,PMO!$H$7:$H$27)*PMO!$C$4))+IF('Design &amp; Fulfillment'!$C$3="Project",SUMIF('Design &amp; Fulfillment'!$C$7:$H$27,Overview!B75,'Design &amp; Fulfillment'!$H$7:$H$27),(SUMIF('Design &amp; Fulfillment'!$C$7:$H$27,Overview!B75,'Design &amp; Fulfillment'!$H$7:$H$27)*'Design &amp; Fulfillment'!$C$4))+IF(Workplace!$C$3="Project",SUMIF(Workplace!$C$7:$H$27,Overview!B75,Workplace!$H$7:$H$27),(SUMIF(Workplace!$C$7:$H$27,Overview!B75,Workplace!$H$7:$H$27)*Workplace!$C$4))+IF(Integration!$C$3="Project",SUMIF(Integration!$C$7:$H$27,Overview!B75,Integration!$H$7:$H$27),(SUMIF(Integration!$C$7:$H$27,Overview!B75,Integration!$H$7:$H$27)*Integration!$C$4))+IF(Logistics!$C$3="Project",SUMIF(Logistics!$C$7:$H$27,Overview!B75,Logistics!$H$7:$H$27),(SUMIF(Logistics!$C$7:$H$27,Overview!B75,Logistics!$H$7:$H$27)*Logistics!$C$4))+IF('Service Desk'!$C$3="Project",SUMIF('Service Desk'!$C$7:$H$27,Overview!B75,'Service Desk'!$H$7:$H$27),(SUMIF('Service Desk'!$C$7:$H$27,Overview!B75,'Service Desk'!$H$7:$H$27)*'Service Desk'!$C$4))+IF('Pro Services'!$C$3="Project",SUMIF('Pro Services'!$C$7:$H$27,Overview!B75,'Pro Services'!$H$7:$H$27),(SUMIF('Pro Services'!$C$7:$H$27,Overview!B75,'Pro Services'!$H$7:$H$27)*'Pro Services'!$C$4))</f>
        <v>0</v>
      </c>
      <c r="E75" s="52">
        <f t="shared" ca="1" si="120"/>
        <v>0</v>
      </c>
      <c r="F75" s="52">
        <f t="shared" ref="F75:AK75" si="232">IFERROR(IF(F$28="FALSE",0,$C$75/$C$8),0)</f>
        <v>0</v>
      </c>
      <c r="G75" s="52">
        <f t="shared" si="232"/>
        <v>0</v>
      </c>
      <c r="H75" s="52">
        <f t="shared" si="232"/>
        <v>0</v>
      </c>
      <c r="I75" s="52">
        <f t="shared" si="232"/>
        <v>0</v>
      </c>
      <c r="J75" s="52">
        <f t="shared" si="232"/>
        <v>0</v>
      </c>
      <c r="K75" s="52">
        <f t="shared" si="232"/>
        <v>0</v>
      </c>
      <c r="L75" s="52">
        <f t="shared" si="232"/>
        <v>0</v>
      </c>
      <c r="M75" s="52">
        <f t="shared" si="232"/>
        <v>0</v>
      </c>
      <c r="N75" s="52">
        <f t="shared" si="232"/>
        <v>0</v>
      </c>
      <c r="O75" s="52">
        <f t="shared" si="232"/>
        <v>0</v>
      </c>
      <c r="P75" s="52">
        <f t="shared" si="232"/>
        <v>0</v>
      </c>
      <c r="Q75" s="52">
        <f t="shared" si="232"/>
        <v>0</v>
      </c>
      <c r="R75" s="52">
        <f t="shared" si="232"/>
        <v>0</v>
      </c>
      <c r="S75" s="52">
        <f t="shared" si="232"/>
        <v>0</v>
      </c>
      <c r="T75" s="52">
        <f t="shared" si="232"/>
        <v>0</v>
      </c>
      <c r="U75" s="52">
        <f t="shared" si="232"/>
        <v>0</v>
      </c>
      <c r="V75" s="52">
        <f t="shared" si="232"/>
        <v>0</v>
      </c>
      <c r="W75" s="52">
        <f t="shared" si="232"/>
        <v>0</v>
      </c>
      <c r="X75" s="52">
        <f t="shared" si="232"/>
        <v>0</v>
      </c>
      <c r="Y75" s="52">
        <f t="shared" si="232"/>
        <v>0</v>
      </c>
      <c r="Z75" s="52">
        <f t="shared" si="232"/>
        <v>0</v>
      </c>
      <c r="AA75" s="52">
        <f t="shared" si="232"/>
        <v>0</v>
      </c>
      <c r="AB75" s="52">
        <f t="shared" si="232"/>
        <v>0</v>
      </c>
      <c r="AC75" s="52">
        <f t="shared" si="232"/>
        <v>0</v>
      </c>
      <c r="AD75" s="52">
        <f t="shared" si="232"/>
        <v>0</v>
      </c>
      <c r="AE75" s="52">
        <f t="shared" si="232"/>
        <v>0</v>
      </c>
      <c r="AF75" s="52">
        <f t="shared" si="232"/>
        <v>0</v>
      </c>
      <c r="AG75" s="52">
        <f t="shared" si="232"/>
        <v>0</v>
      </c>
      <c r="AH75" s="52">
        <f t="shared" si="232"/>
        <v>0</v>
      </c>
      <c r="AI75" s="52">
        <f t="shared" si="232"/>
        <v>0</v>
      </c>
      <c r="AJ75" s="52">
        <f t="shared" si="232"/>
        <v>0</v>
      </c>
      <c r="AK75" s="52">
        <f t="shared" si="232"/>
        <v>0</v>
      </c>
      <c r="AL75" s="52">
        <f t="shared" ref="AL75:BQ75" si="233">IFERROR(IF(AL$28="FALSE",0,$C$75/$C$8),0)</f>
        <v>0</v>
      </c>
      <c r="AM75" s="52">
        <f t="shared" si="233"/>
        <v>0</v>
      </c>
      <c r="AN75" s="52">
        <f t="shared" si="233"/>
        <v>0</v>
      </c>
      <c r="AO75" s="52">
        <f t="shared" si="233"/>
        <v>0</v>
      </c>
      <c r="AP75" s="52">
        <f t="shared" si="233"/>
        <v>0</v>
      </c>
      <c r="AQ75" s="52">
        <f t="shared" si="233"/>
        <v>0</v>
      </c>
      <c r="AR75" s="52">
        <f t="shared" si="233"/>
        <v>0</v>
      </c>
      <c r="AS75" s="52">
        <f t="shared" si="233"/>
        <v>0</v>
      </c>
      <c r="AT75" s="52">
        <f t="shared" si="233"/>
        <v>0</v>
      </c>
      <c r="AU75" s="52">
        <f t="shared" si="233"/>
        <v>0</v>
      </c>
      <c r="AV75" s="52">
        <f t="shared" si="233"/>
        <v>0</v>
      </c>
      <c r="AW75" s="52">
        <f t="shared" si="233"/>
        <v>0</v>
      </c>
      <c r="AX75" s="52">
        <f t="shared" si="233"/>
        <v>0</v>
      </c>
      <c r="AY75" s="52">
        <f t="shared" si="233"/>
        <v>0</v>
      </c>
      <c r="AZ75" s="52">
        <f t="shared" si="233"/>
        <v>0</v>
      </c>
      <c r="BA75" s="52">
        <f t="shared" si="233"/>
        <v>0</v>
      </c>
      <c r="BB75" s="52">
        <f t="shared" si="233"/>
        <v>0</v>
      </c>
      <c r="BC75" s="52">
        <f t="shared" si="233"/>
        <v>0</v>
      </c>
      <c r="BD75" s="52">
        <f t="shared" si="233"/>
        <v>0</v>
      </c>
      <c r="BE75" s="52">
        <f t="shared" si="233"/>
        <v>0</v>
      </c>
      <c r="BF75" s="52">
        <f t="shared" si="233"/>
        <v>0</v>
      </c>
      <c r="BG75" s="52">
        <f t="shared" si="233"/>
        <v>0</v>
      </c>
      <c r="BH75" s="52">
        <f t="shared" si="233"/>
        <v>0</v>
      </c>
      <c r="BI75" s="52">
        <f t="shared" si="233"/>
        <v>0</v>
      </c>
      <c r="BJ75" s="52">
        <f t="shared" si="233"/>
        <v>0</v>
      </c>
      <c r="BK75" s="52">
        <f t="shared" si="233"/>
        <v>0</v>
      </c>
      <c r="BL75" s="52">
        <f t="shared" si="233"/>
        <v>0</v>
      </c>
      <c r="BM75" s="52">
        <f t="shared" si="233"/>
        <v>0</v>
      </c>
      <c r="BN75" s="52">
        <f t="shared" si="233"/>
        <v>0</v>
      </c>
      <c r="BO75" s="52">
        <f t="shared" si="233"/>
        <v>0</v>
      </c>
      <c r="BP75" s="52">
        <f t="shared" si="233"/>
        <v>0</v>
      </c>
      <c r="BQ75" s="52">
        <f t="shared" si="233"/>
        <v>0</v>
      </c>
      <c r="BR75" s="52">
        <f t="shared" ref="BR75:CW75" si="234">IFERROR(IF(BR$28="FALSE",0,$C$75/$C$8),0)</f>
        <v>0</v>
      </c>
      <c r="BS75" s="52">
        <f t="shared" si="234"/>
        <v>0</v>
      </c>
      <c r="BT75" s="52">
        <f t="shared" si="234"/>
        <v>0</v>
      </c>
      <c r="BU75" s="52">
        <f t="shared" si="234"/>
        <v>0</v>
      </c>
      <c r="BV75" s="52">
        <f t="shared" si="234"/>
        <v>0</v>
      </c>
      <c r="BW75" s="52">
        <f t="shared" si="234"/>
        <v>0</v>
      </c>
      <c r="BX75" s="52">
        <f t="shared" si="234"/>
        <v>0</v>
      </c>
      <c r="BY75" s="52">
        <f t="shared" si="234"/>
        <v>0</v>
      </c>
      <c r="BZ75" s="52">
        <f t="shared" si="234"/>
        <v>0</v>
      </c>
      <c r="CA75" s="52">
        <f t="shared" si="234"/>
        <v>0</v>
      </c>
      <c r="CB75" s="52">
        <f t="shared" si="234"/>
        <v>0</v>
      </c>
      <c r="CC75" s="52">
        <f t="shared" si="234"/>
        <v>0</v>
      </c>
      <c r="CD75" s="52">
        <f t="shared" si="234"/>
        <v>0</v>
      </c>
      <c r="CE75" s="52">
        <f t="shared" si="234"/>
        <v>0</v>
      </c>
      <c r="CF75" s="52">
        <f t="shared" si="234"/>
        <v>0</v>
      </c>
      <c r="CG75" s="52">
        <f t="shared" si="234"/>
        <v>0</v>
      </c>
      <c r="CH75" s="52">
        <f t="shared" si="234"/>
        <v>0</v>
      </c>
      <c r="CI75" s="52">
        <f t="shared" si="234"/>
        <v>0</v>
      </c>
      <c r="CJ75" s="52">
        <f t="shared" si="234"/>
        <v>0</v>
      </c>
      <c r="CK75" s="52">
        <f t="shared" si="234"/>
        <v>0</v>
      </c>
      <c r="CL75" s="52">
        <f t="shared" si="234"/>
        <v>0</v>
      </c>
      <c r="CM75" s="52">
        <f t="shared" si="234"/>
        <v>0</v>
      </c>
      <c r="CN75" s="52">
        <f t="shared" si="234"/>
        <v>0</v>
      </c>
      <c r="CO75" s="52">
        <f t="shared" si="234"/>
        <v>0</v>
      </c>
      <c r="CP75" s="52">
        <f t="shared" si="234"/>
        <v>0</v>
      </c>
      <c r="CQ75" s="52">
        <f t="shared" si="234"/>
        <v>0</v>
      </c>
      <c r="CR75" s="52">
        <f t="shared" si="234"/>
        <v>0</v>
      </c>
      <c r="CS75" s="52">
        <f t="shared" si="234"/>
        <v>0</v>
      </c>
      <c r="CT75" s="52">
        <f t="shared" si="234"/>
        <v>0</v>
      </c>
      <c r="CU75" s="52">
        <f t="shared" si="234"/>
        <v>0</v>
      </c>
      <c r="CV75" s="52">
        <f t="shared" si="234"/>
        <v>0</v>
      </c>
      <c r="CW75" s="52">
        <f t="shared" si="234"/>
        <v>0</v>
      </c>
      <c r="CX75" s="52">
        <f t="shared" ref="CX75:EC75" si="235">IFERROR(IF(CX$28="FALSE",0,$C$75/$C$8),0)</f>
        <v>0</v>
      </c>
      <c r="CY75" s="52">
        <f t="shared" si="235"/>
        <v>0</v>
      </c>
      <c r="CZ75" s="52">
        <f t="shared" si="235"/>
        <v>0</v>
      </c>
      <c r="DA75" s="52">
        <f t="shared" si="235"/>
        <v>0</v>
      </c>
      <c r="DB75" s="52">
        <f t="shared" si="235"/>
        <v>0</v>
      </c>
      <c r="DC75" s="52">
        <f t="shared" si="235"/>
        <v>0</v>
      </c>
      <c r="DD75" s="52">
        <f t="shared" si="235"/>
        <v>0</v>
      </c>
      <c r="DE75" s="52">
        <f t="shared" si="235"/>
        <v>0</v>
      </c>
      <c r="DF75" s="52">
        <f t="shared" si="235"/>
        <v>0</v>
      </c>
      <c r="DG75" s="52">
        <f t="shared" si="235"/>
        <v>0</v>
      </c>
      <c r="DH75" s="52">
        <f t="shared" si="235"/>
        <v>0</v>
      </c>
      <c r="DI75" s="52">
        <f t="shared" si="235"/>
        <v>0</v>
      </c>
      <c r="DJ75" s="52">
        <f t="shared" si="235"/>
        <v>0</v>
      </c>
      <c r="DK75" s="52">
        <f t="shared" si="235"/>
        <v>0</v>
      </c>
      <c r="DL75" s="52">
        <f t="shared" si="235"/>
        <v>0</v>
      </c>
      <c r="DM75" s="52">
        <f t="shared" si="235"/>
        <v>0</v>
      </c>
      <c r="DN75" s="52">
        <f t="shared" si="235"/>
        <v>0</v>
      </c>
      <c r="DO75" s="52">
        <f t="shared" si="235"/>
        <v>0</v>
      </c>
      <c r="DP75" s="52">
        <f t="shared" si="235"/>
        <v>0</v>
      </c>
      <c r="DQ75" s="52">
        <f t="shared" si="235"/>
        <v>0</v>
      </c>
      <c r="DR75" s="52">
        <f t="shared" si="235"/>
        <v>0</v>
      </c>
      <c r="DS75" s="52">
        <f t="shared" si="235"/>
        <v>0</v>
      </c>
      <c r="DT75" s="52">
        <f t="shared" si="235"/>
        <v>0</v>
      </c>
      <c r="DU75" s="52">
        <f t="shared" si="235"/>
        <v>0</v>
      </c>
      <c r="DV75" s="52">
        <f t="shared" si="235"/>
        <v>0</v>
      </c>
      <c r="DW75" s="52">
        <f t="shared" si="235"/>
        <v>0</v>
      </c>
      <c r="DX75" s="52">
        <f t="shared" si="235"/>
        <v>0</v>
      </c>
      <c r="DY75" s="52">
        <f t="shared" si="235"/>
        <v>0</v>
      </c>
      <c r="DZ75" s="52">
        <f t="shared" si="235"/>
        <v>0</v>
      </c>
      <c r="EA75" s="52">
        <f t="shared" si="235"/>
        <v>0</v>
      </c>
      <c r="EB75" s="52">
        <f t="shared" si="235"/>
        <v>0</v>
      </c>
      <c r="EC75" s="52">
        <f t="shared" si="235"/>
        <v>0</v>
      </c>
      <c r="ED75" s="52">
        <f t="shared" ref="ED75:FD75" si="236">IFERROR(IF(ED$28="FALSE",0,$C$75/$C$8),0)</f>
        <v>0</v>
      </c>
      <c r="EE75" s="52">
        <f t="shared" si="236"/>
        <v>0</v>
      </c>
      <c r="EF75" s="52">
        <f t="shared" si="236"/>
        <v>0</v>
      </c>
      <c r="EG75" s="52">
        <f t="shared" si="236"/>
        <v>0</v>
      </c>
      <c r="EH75" s="52">
        <f t="shared" si="236"/>
        <v>0</v>
      </c>
      <c r="EI75" s="52">
        <f t="shared" si="236"/>
        <v>0</v>
      </c>
      <c r="EJ75" s="52">
        <f t="shared" si="236"/>
        <v>0</v>
      </c>
      <c r="EK75" s="52">
        <f t="shared" si="236"/>
        <v>0</v>
      </c>
      <c r="EL75" s="52">
        <f t="shared" si="236"/>
        <v>0</v>
      </c>
      <c r="EM75" s="52">
        <f t="shared" si="236"/>
        <v>0</v>
      </c>
      <c r="EN75" s="52">
        <f t="shared" si="236"/>
        <v>0</v>
      </c>
      <c r="EO75" s="52">
        <f t="shared" si="236"/>
        <v>0</v>
      </c>
      <c r="EP75" s="52">
        <f t="shared" si="236"/>
        <v>0</v>
      </c>
      <c r="EQ75" s="52">
        <f t="shared" si="236"/>
        <v>0</v>
      </c>
      <c r="ER75" s="52">
        <f t="shared" si="236"/>
        <v>0</v>
      </c>
      <c r="ES75" s="52">
        <f t="shared" si="236"/>
        <v>0</v>
      </c>
      <c r="ET75" s="52">
        <f t="shared" si="236"/>
        <v>0</v>
      </c>
      <c r="EU75" s="52">
        <f t="shared" si="236"/>
        <v>0</v>
      </c>
      <c r="EV75" s="52">
        <f t="shared" si="236"/>
        <v>0</v>
      </c>
      <c r="EW75" s="52">
        <f t="shared" si="236"/>
        <v>0</v>
      </c>
      <c r="EX75" s="52">
        <f t="shared" si="236"/>
        <v>0</v>
      </c>
      <c r="EY75" s="52">
        <f t="shared" si="236"/>
        <v>0</v>
      </c>
      <c r="EZ75" s="52">
        <f t="shared" si="236"/>
        <v>0</v>
      </c>
      <c r="FA75" s="52">
        <f t="shared" si="236"/>
        <v>0</v>
      </c>
      <c r="FB75" s="52">
        <f t="shared" si="236"/>
        <v>0</v>
      </c>
      <c r="FC75" s="52">
        <f t="shared" si="236"/>
        <v>0</v>
      </c>
      <c r="FD75" s="52">
        <f t="shared" si="236"/>
        <v>0</v>
      </c>
    </row>
    <row r="76" spans="2:160">
      <c r="B76" s="51" t="s">
        <v>156</v>
      </c>
      <c r="C76" s="52">
        <f ca="1">IF(Startup!$C$3="Project",SUMIF(Startup!$C$7:$D$27,Overview!B76,Startup!$D$7:$D$27),(SUMIF(Startup!$C$7:$D$27,Overview!B76,Startup!$D$7:$D$27)*Startup!$C$4))+IF(Pilot!$C$3="Project",SUMIF(Pilot!$C$7:$D$27,Overview!B76,Pilot!$D$7:$D$27),(SUMIF(Pilot!$C$7:$D$27,Overview!B76,Pilot!$D$7:$D$27)*Pilot!$C$4))+IF(PMO!$C$3="Project",SUMIF(PMO!$C$7:$D$27,Overview!B76,PMO!$D$7:$D$27),(SUMIF(PMO!$C$7:$D$27,Overview!B76,PMO!$D$7:$D$27)*PMO!$C$4))+IF('Design &amp; Fulfillment'!$C$3="Project",SUMIF('Design &amp; Fulfillment'!$C$7:$D$27,Overview!B76,'Design &amp; Fulfillment'!$D$7:$D$27),(SUMIF('Design &amp; Fulfillment'!$C$7:$D$27,Overview!B76,'Design &amp; Fulfillment'!$D$7:$D$27)*'Design &amp; Fulfillment'!$C$4))+IF(Workplace!$C$3="Project",SUMIF(Workplace!$C$7:$D$27,Overview!B76,Workplace!$D$7:$D$27),(SUMIF(Workplace!$C$7:$D$27,Overview!B76,Workplace!$D$7:$D$27)*Workplace!$C$4))+IF(Integration!$C$3="Project",SUMIF(Integration!$C$7:$D$27,Overview!B76,Integration!$D$7:$D$27),(SUMIF(Integration!$C$7:$D$27,Overview!B76,Integration!$D$7:$D$27)*Integration!$C$4))+IF(Logistics!$C$3="Project",SUMIF(Logistics!$C$7:$D$27,Overview!B76,Logistics!$D$7:$D$27),(SUMIF(Logistics!$C$7:$D$27,Overview!B76,Logistics!$D$7:$D$27)*Logistics!$C$4))+IF('Service Desk'!$C$3="Project",SUMIF('Service Desk'!$C$7:$D$27,Overview!B76,'Service Desk'!$D$7:$D$27),(SUMIF('Service Desk'!$C$7:$D$27,Overview!B76,'Service Desk'!$D$7:$D$27)*'Service Desk'!$C$4))+IF('Pro Services'!$C$3="Project",SUMIF('Pro Services'!$C$7:$D$27,Overview!B76,'Pro Services'!$D$7:$D$27),(SUMIF('Pro Services'!$C$7:$D$27,Overview!B76,'Pro Services'!$D$7:$D$27)*'Pro Services'!$C$4))</f>
        <v>0</v>
      </c>
      <c r="D76" s="53">
        <f ca="1">IF(Startup!$C$3="Project",SUMIF(Startup!$C$7:$H$27,Overview!B76,Startup!$H$7:$H$27),(SUMIF(Startup!$C$7:$H$27,Overview!B76,Startup!$H$7:$H$27)*Startup!$C$4))+IF(Pilot!$C$3="Project",SUMIF(Pilot!$C$7:$H$27,Overview!B76,Pilot!$H$7:$H$27),(SUMIF(Pilot!$C$7:$H$27,Overview!B76,Pilot!$H$7:$H$27)*Pilot!$C$4))+IF(PMO!$C$3="Project",SUMIF(PMO!$C$7:$H$27,Overview!B76,PMO!$H$7:$H$27),(SUMIF(PMO!$C$7:$H$27,Overview!B76,PMO!$H$7:$H$27)*PMO!$C$4))+IF('Design &amp; Fulfillment'!$C$3="Project",SUMIF('Design &amp; Fulfillment'!$C$7:$H$27,Overview!B76,'Design &amp; Fulfillment'!$H$7:$H$27),(SUMIF('Design &amp; Fulfillment'!$C$7:$H$27,Overview!B76,'Design &amp; Fulfillment'!$H$7:$H$27)*'Design &amp; Fulfillment'!$C$4))+IF(Workplace!$C$3="Project",SUMIF(Workplace!$C$7:$H$27,Overview!B76,Workplace!$H$7:$H$27),(SUMIF(Workplace!$C$7:$H$27,Overview!B76,Workplace!$H$7:$H$27)*Workplace!$C$4))+IF(Integration!$C$3="Project",SUMIF(Integration!$C$7:$H$27,Overview!B76,Integration!$H$7:$H$27),(SUMIF(Integration!$C$7:$H$27,Overview!B76,Integration!$H$7:$H$27)*Integration!$C$4))+IF(Logistics!$C$3="Project",SUMIF(Logistics!$C$7:$H$27,Overview!B76,Logistics!$H$7:$H$27),(SUMIF(Logistics!$C$7:$H$27,Overview!B76,Logistics!$H$7:$H$27)*Logistics!$C$4))+IF('Service Desk'!$C$3="Project",SUMIF('Service Desk'!$C$7:$H$27,Overview!B76,'Service Desk'!$H$7:$H$27),(SUMIF('Service Desk'!$C$7:$H$27,Overview!B76,'Service Desk'!$H$7:$H$27)*'Service Desk'!$C$4))+IF('Pro Services'!$C$3="Project",SUMIF('Pro Services'!$C$7:$H$27,Overview!B76,'Pro Services'!$H$7:$H$27),(SUMIF('Pro Services'!$C$7:$H$27,Overview!B76,'Pro Services'!$H$7:$H$27)*'Pro Services'!$C$4))</f>
        <v>0</v>
      </c>
      <c r="E76" s="52">
        <f t="shared" ca="1" si="120"/>
        <v>0</v>
      </c>
      <c r="F76" s="52">
        <f t="shared" ref="F76:AK76" si="237">IFERROR(IF(F$28="FALSE",0,$C$76/$C$8),0)</f>
        <v>0</v>
      </c>
      <c r="G76" s="52">
        <f t="shared" si="237"/>
        <v>0</v>
      </c>
      <c r="H76" s="52">
        <f t="shared" si="237"/>
        <v>0</v>
      </c>
      <c r="I76" s="52">
        <f t="shared" si="237"/>
        <v>0</v>
      </c>
      <c r="J76" s="52">
        <f t="shared" si="237"/>
        <v>0</v>
      </c>
      <c r="K76" s="52">
        <f t="shared" si="237"/>
        <v>0</v>
      </c>
      <c r="L76" s="52">
        <f t="shared" si="237"/>
        <v>0</v>
      </c>
      <c r="M76" s="52">
        <f t="shared" si="237"/>
        <v>0</v>
      </c>
      <c r="N76" s="52">
        <f t="shared" si="237"/>
        <v>0</v>
      </c>
      <c r="O76" s="52">
        <f t="shared" si="237"/>
        <v>0</v>
      </c>
      <c r="P76" s="52">
        <f t="shared" si="237"/>
        <v>0</v>
      </c>
      <c r="Q76" s="52">
        <f t="shared" si="237"/>
        <v>0</v>
      </c>
      <c r="R76" s="52">
        <f t="shared" si="237"/>
        <v>0</v>
      </c>
      <c r="S76" s="52">
        <f t="shared" si="237"/>
        <v>0</v>
      </c>
      <c r="T76" s="52">
        <f t="shared" si="237"/>
        <v>0</v>
      </c>
      <c r="U76" s="52">
        <f t="shared" si="237"/>
        <v>0</v>
      </c>
      <c r="V76" s="52">
        <f t="shared" si="237"/>
        <v>0</v>
      </c>
      <c r="W76" s="52">
        <f t="shared" si="237"/>
        <v>0</v>
      </c>
      <c r="X76" s="52">
        <f t="shared" si="237"/>
        <v>0</v>
      </c>
      <c r="Y76" s="52">
        <f t="shared" si="237"/>
        <v>0</v>
      </c>
      <c r="Z76" s="52">
        <f t="shared" si="237"/>
        <v>0</v>
      </c>
      <c r="AA76" s="52">
        <f t="shared" si="237"/>
        <v>0</v>
      </c>
      <c r="AB76" s="52">
        <f t="shared" si="237"/>
        <v>0</v>
      </c>
      <c r="AC76" s="52">
        <f t="shared" si="237"/>
        <v>0</v>
      </c>
      <c r="AD76" s="52">
        <f t="shared" si="237"/>
        <v>0</v>
      </c>
      <c r="AE76" s="52">
        <f t="shared" si="237"/>
        <v>0</v>
      </c>
      <c r="AF76" s="52">
        <f t="shared" si="237"/>
        <v>0</v>
      </c>
      <c r="AG76" s="52">
        <f t="shared" si="237"/>
        <v>0</v>
      </c>
      <c r="AH76" s="52">
        <f t="shared" si="237"/>
        <v>0</v>
      </c>
      <c r="AI76" s="52">
        <f t="shared" si="237"/>
        <v>0</v>
      </c>
      <c r="AJ76" s="52">
        <f t="shared" si="237"/>
        <v>0</v>
      </c>
      <c r="AK76" s="52">
        <f t="shared" si="237"/>
        <v>0</v>
      </c>
      <c r="AL76" s="52">
        <f t="shared" ref="AL76:BQ76" si="238">IFERROR(IF(AL$28="FALSE",0,$C$76/$C$8),0)</f>
        <v>0</v>
      </c>
      <c r="AM76" s="52">
        <f t="shared" si="238"/>
        <v>0</v>
      </c>
      <c r="AN76" s="52">
        <f t="shared" si="238"/>
        <v>0</v>
      </c>
      <c r="AO76" s="52">
        <f t="shared" si="238"/>
        <v>0</v>
      </c>
      <c r="AP76" s="52">
        <f t="shared" si="238"/>
        <v>0</v>
      </c>
      <c r="AQ76" s="52">
        <f t="shared" si="238"/>
        <v>0</v>
      </c>
      <c r="AR76" s="52">
        <f t="shared" si="238"/>
        <v>0</v>
      </c>
      <c r="AS76" s="52">
        <f t="shared" si="238"/>
        <v>0</v>
      </c>
      <c r="AT76" s="52">
        <f t="shared" si="238"/>
        <v>0</v>
      </c>
      <c r="AU76" s="52">
        <f t="shared" si="238"/>
        <v>0</v>
      </c>
      <c r="AV76" s="52">
        <f t="shared" si="238"/>
        <v>0</v>
      </c>
      <c r="AW76" s="52">
        <f t="shared" si="238"/>
        <v>0</v>
      </c>
      <c r="AX76" s="52">
        <f t="shared" si="238"/>
        <v>0</v>
      </c>
      <c r="AY76" s="52">
        <f t="shared" si="238"/>
        <v>0</v>
      </c>
      <c r="AZ76" s="52">
        <f t="shared" si="238"/>
        <v>0</v>
      </c>
      <c r="BA76" s="52">
        <f t="shared" si="238"/>
        <v>0</v>
      </c>
      <c r="BB76" s="52">
        <f t="shared" si="238"/>
        <v>0</v>
      </c>
      <c r="BC76" s="52">
        <f t="shared" si="238"/>
        <v>0</v>
      </c>
      <c r="BD76" s="52">
        <f t="shared" si="238"/>
        <v>0</v>
      </c>
      <c r="BE76" s="52">
        <f t="shared" si="238"/>
        <v>0</v>
      </c>
      <c r="BF76" s="52">
        <f t="shared" si="238"/>
        <v>0</v>
      </c>
      <c r="BG76" s="52">
        <f t="shared" si="238"/>
        <v>0</v>
      </c>
      <c r="BH76" s="52">
        <f t="shared" si="238"/>
        <v>0</v>
      </c>
      <c r="BI76" s="52">
        <f t="shared" si="238"/>
        <v>0</v>
      </c>
      <c r="BJ76" s="52">
        <f t="shared" si="238"/>
        <v>0</v>
      </c>
      <c r="BK76" s="52">
        <f t="shared" si="238"/>
        <v>0</v>
      </c>
      <c r="BL76" s="52">
        <f t="shared" si="238"/>
        <v>0</v>
      </c>
      <c r="BM76" s="52">
        <f t="shared" si="238"/>
        <v>0</v>
      </c>
      <c r="BN76" s="52">
        <f t="shared" si="238"/>
        <v>0</v>
      </c>
      <c r="BO76" s="52">
        <f t="shared" si="238"/>
        <v>0</v>
      </c>
      <c r="BP76" s="52">
        <f t="shared" si="238"/>
        <v>0</v>
      </c>
      <c r="BQ76" s="52">
        <f t="shared" si="238"/>
        <v>0</v>
      </c>
      <c r="BR76" s="52">
        <f t="shared" ref="BR76:CW76" si="239">IFERROR(IF(BR$28="FALSE",0,$C$76/$C$8),0)</f>
        <v>0</v>
      </c>
      <c r="BS76" s="52">
        <f t="shared" si="239"/>
        <v>0</v>
      </c>
      <c r="BT76" s="52">
        <f t="shared" si="239"/>
        <v>0</v>
      </c>
      <c r="BU76" s="52">
        <f t="shared" si="239"/>
        <v>0</v>
      </c>
      <c r="BV76" s="52">
        <f t="shared" si="239"/>
        <v>0</v>
      </c>
      <c r="BW76" s="52">
        <f t="shared" si="239"/>
        <v>0</v>
      </c>
      <c r="BX76" s="52">
        <f t="shared" si="239"/>
        <v>0</v>
      </c>
      <c r="BY76" s="52">
        <f t="shared" si="239"/>
        <v>0</v>
      </c>
      <c r="BZ76" s="52">
        <f t="shared" si="239"/>
        <v>0</v>
      </c>
      <c r="CA76" s="52">
        <f t="shared" si="239"/>
        <v>0</v>
      </c>
      <c r="CB76" s="52">
        <f t="shared" si="239"/>
        <v>0</v>
      </c>
      <c r="CC76" s="52">
        <f t="shared" si="239"/>
        <v>0</v>
      </c>
      <c r="CD76" s="52">
        <f t="shared" si="239"/>
        <v>0</v>
      </c>
      <c r="CE76" s="52">
        <f t="shared" si="239"/>
        <v>0</v>
      </c>
      <c r="CF76" s="52">
        <f t="shared" si="239"/>
        <v>0</v>
      </c>
      <c r="CG76" s="52">
        <f t="shared" si="239"/>
        <v>0</v>
      </c>
      <c r="CH76" s="52">
        <f t="shared" si="239"/>
        <v>0</v>
      </c>
      <c r="CI76" s="52">
        <f t="shared" si="239"/>
        <v>0</v>
      </c>
      <c r="CJ76" s="52">
        <f t="shared" si="239"/>
        <v>0</v>
      </c>
      <c r="CK76" s="52">
        <f t="shared" si="239"/>
        <v>0</v>
      </c>
      <c r="CL76" s="52">
        <f t="shared" si="239"/>
        <v>0</v>
      </c>
      <c r="CM76" s="52">
        <f t="shared" si="239"/>
        <v>0</v>
      </c>
      <c r="CN76" s="52">
        <f t="shared" si="239"/>
        <v>0</v>
      </c>
      <c r="CO76" s="52">
        <f t="shared" si="239"/>
        <v>0</v>
      </c>
      <c r="CP76" s="52">
        <f t="shared" si="239"/>
        <v>0</v>
      </c>
      <c r="CQ76" s="52">
        <f t="shared" si="239"/>
        <v>0</v>
      </c>
      <c r="CR76" s="52">
        <f t="shared" si="239"/>
        <v>0</v>
      </c>
      <c r="CS76" s="52">
        <f t="shared" si="239"/>
        <v>0</v>
      </c>
      <c r="CT76" s="52">
        <f t="shared" si="239"/>
        <v>0</v>
      </c>
      <c r="CU76" s="52">
        <f t="shared" si="239"/>
        <v>0</v>
      </c>
      <c r="CV76" s="52">
        <f t="shared" si="239"/>
        <v>0</v>
      </c>
      <c r="CW76" s="52">
        <f t="shared" si="239"/>
        <v>0</v>
      </c>
      <c r="CX76" s="52">
        <f t="shared" ref="CX76:EC76" si="240">IFERROR(IF(CX$28="FALSE",0,$C$76/$C$8),0)</f>
        <v>0</v>
      </c>
      <c r="CY76" s="52">
        <f t="shared" si="240"/>
        <v>0</v>
      </c>
      <c r="CZ76" s="52">
        <f t="shared" si="240"/>
        <v>0</v>
      </c>
      <c r="DA76" s="52">
        <f t="shared" si="240"/>
        <v>0</v>
      </c>
      <c r="DB76" s="52">
        <f t="shared" si="240"/>
        <v>0</v>
      </c>
      <c r="DC76" s="52">
        <f t="shared" si="240"/>
        <v>0</v>
      </c>
      <c r="DD76" s="52">
        <f t="shared" si="240"/>
        <v>0</v>
      </c>
      <c r="DE76" s="52">
        <f t="shared" si="240"/>
        <v>0</v>
      </c>
      <c r="DF76" s="52">
        <f t="shared" si="240"/>
        <v>0</v>
      </c>
      <c r="DG76" s="52">
        <f t="shared" si="240"/>
        <v>0</v>
      </c>
      <c r="DH76" s="52">
        <f t="shared" si="240"/>
        <v>0</v>
      </c>
      <c r="DI76" s="52">
        <f t="shared" si="240"/>
        <v>0</v>
      </c>
      <c r="DJ76" s="52">
        <f t="shared" si="240"/>
        <v>0</v>
      </c>
      <c r="DK76" s="52">
        <f t="shared" si="240"/>
        <v>0</v>
      </c>
      <c r="DL76" s="52">
        <f t="shared" si="240"/>
        <v>0</v>
      </c>
      <c r="DM76" s="52">
        <f t="shared" si="240"/>
        <v>0</v>
      </c>
      <c r="DN76" s="52">
        <f t="shared" si="240"/>
        <v>0</v>
      </c>
      <c r="DO76" s="52">
        <f t="shared" si="240"/>
        <v>0</v>
      </c>
      <c r="DP76" s="52">
        <f t="shared" si="240"/>
        <v>0</v>
      </c>
      <c r="DQ76" s="52">
        <f t="shared" si="240"/>
        <v>0</v>
      </c>
      <c r="DR76" s="52">
        <f t="shared" si="240"/>
        <v>0</v>
      </c>
      <c r="DS76" s="52">
        <f t="shared" si="240"/>
        <v>0</v>
      </c>
      <c r="DT76" s="52">
        <f t="shared" si="240"/>
        <v>0</v>
      </c>
      <c r="DU76" s="52">
        <f t="shared" si="240"/>
        <v>0</v>
      </c>
      <c r="DV76" s="52">
        <f t="shared" si="240"/>
        <v>0</v>
      </c>
      <c r="DW76" s="52">
        <f t="shared" si="240"/>
        <v>0</v>
      </c>
      <c r="DX76" s="52">
        <f t="shared" si="240"/>
        <v>0</v>
      </c>
      <c r="DY76" s="52">
        <f t="shared" si="240"/>
        <v>0</v>
      </c>
      <c r="DZ76" s="52">
        <f t="shared" si="240"/>
        <v>0</v>
      </c>
      <c r="EA76" s="52">
        <f t="shared" si="240"/>
        <v>0</v>
      </c>
      <c r="EB76" s="52">
        <f t="shared" si="240"/>
        <v>0</v>
      </c>
      <c r="EC76" s="52">
        <f t="shared" si="240"/>
        <v>0</v>
      </c>
      <c r="ED76" s="52">
        <f t="shared" ref="ED76:FD76" si="241">IFERROR(IF(ED$28="FALSE",0,$C$76/$C$8),0)</f>
        <v>0</v>
      </c>
      <c r="EE76" s="52">
        <f t="shared" si="241"/>
        <v>0</v>
      </c>
      <c r="EF76" s="52">
        <f t="shared" si="241"/>
        <v>0</v>
      </c>
      <c r="EG76" s="52">
        <f t="shared" si="241"/>
        <v>0</v>
      </c>
      <c r="EH76" s="52">
        <f t="shared" si="241"/>
        <v>0</v>
      </c>
      <c r="EI76" s="52">
        <f t="shared" si="241"/>
        <v>0</v>
      </c>
      <c r="EJ76" s="52">
        <f t="shared" si="241"/>
        <v>0</v>
      </c>
      <c r="EK76" s="52">
        <f t="shared" si="241"/>
        <v>0</v>
      </c>
      <c r="EL76" s="52">
        <f t="shared" si="241"/>
        <v>0</v>
      </c>
      <c r="EM76" s="52">
        <f t="shared" si="241"/>
        <v>0</v>
      </c>
      <c r="EN76" s="52">
        <f t="shared" si="241"/>
        <v>0</v>
      </c>
      <c r="EO76" s="52">
        <f t="shared" si="241"/>
        <v>0</v>
      </c>
      <c r="EP76" s="52">
        <f t="shared" si="241"/>
        <v>0</v>
      </c>
      <c r="EQ76" s="52">
        <f t="shared" si="241"/>
        <v>0</v>
      </c>
      <c r="ER76" s="52">
        <f t="shared" si="241"/>
        <v>0</v>
      </c>
      <c r="ES76" s="52">
        <f t="shared" si="241"/>
        <v>0</v>
      </c>
      <c r="ET76" s="52">
        <f t="shared" si="241"/>
        <v>0</v>
      </c>
      <c r="EU76" s="52">
        <f t="shared" si="241"/>
        <v>0</v>
      </c>
      <c r="EV76" s="52">
        <f t="shared" si="241"/>
        <v>0</v>
      </c>
      <c r="EW76" s="52">
        <f t="shared" si="241"/>
        <v>0</v>
      </c>
      <c r="EX76" s="52">
        <f t="shared" si="241"/>
        <v>0</v>
      </c>
      <c r="EY76" s="52">
        <f t="shared" si="241"/>
        <v>0</v>
      </c>
      <c r="EZ76" s="52">
        <f t="shared" si="241"/>
        <v>0</v>
      </c>
      <c r="FA76" s="52">
        <f t="shared" si="241"/>
        <v>0</v>
      </c>
      <c r="FB76" s="52">
        <f t="shared" si="241"/>
        <v>0</v>
      </c>
      <c r="FC76" s="52">
        <f t="shared" si="241"/>
        <v>0</v>
      </c>
      <c r="FD76" s="52">
        <f t="shared" si="241"/>
        <v>0</v>
      </c>
    </row>
    <row r="77" spans="2:160">
      <c r="B77" s="51" t="s">
        <v>157</v>
      </c>
      <c r="C77" s="52">
        <f ca="1">IF(Startup!$C$3="Project",SUMIF(Startup!$C$7:$D$27,Overview!B77,Startup!$D$7:$D$27),(SUMIF(Startup!$C$7:$D$27,Overview!B77,Startup!$D$7:$D$27)*Startup!$C$4))+IF(Pilot!$C$3="Project",SUMIF(Pilot!$C$7:$D$27,Overview!B77,Pilot!$D$7:$D$27),(SUMIF(Pilot!$C$7:$D$27,Overview!B77,Pilot!$D$7:$D$27)*Pilot!$C$4))+IF(PMO!$C$3="Project",SUMIF(PMO!$C$7:$D$27,Overview!B77,PMO!$D$7:$D$27),(SUMIF(PMO!$C$7:$D$27,Overview!B77,PMO!$D$7:$D$27)*PMO!$C$4))+IF('Design &amp; Fulfillment'!$C$3="Project",SUMIF('Design &amp; Fulfillment'!$C$7:$D$27,Overview!B77,'Design &amp; Fulfillment'!$D$7:$D$27),(SUMIF('Design &amp; Fulfillment'!$C$7:$D$27,Overview!B77,'Design &amp; Fulfillment'!$D$7:$D$27)*'Design &amp; Fulfillment'!$C$4))+IF(Workplace!$C$3="Project",SUMIF(Workplace!$C$7:$D$27,Overview!B77,Workplace!$D$7:$D$27),(SUMIF(Workplace!$C$7:$D$27,Overview!B77,Workplace!$D$7:$D$27)*Workplace!$C$4))+IF(Integration!$C$3="Project",SUMIF(Integration!$C$7:$D$27,Overview!B77,Integration!$D$7:$D$27),(SUMIF(Integration!$C$7:$D$27,Overview!B77,Integration!$D$7:$D$27)*Integration!$C$4))+IF(Logistics!$C$3="Project",SUMIF(Logistics!$C$7:$D$27,Overview!B77,Logistics!$D$7:$D$27),(SUMIF(Logistics!$C$7:$D$27,Overview!B77,Logistics!$D$7:$D$27)*Logistics!$C$4))+IF('Service Desk'!$C$3="Project",SUMIF('Service Desk'!$C$7:$D$27,Overview!B77,'Service Desk'!$D$7:$D$27),(SUMIF('Service Desk'!$C$7:$D$27,Overview!B77,'Service Desk'!$D$7:$D$27)*'Service Desk'!$C$4))+IF('Pro Services'!$C$3="Project",SUMIF('Pro Services'!$C$7:$D$27,Overview!B77,'Pro Services'!$D$7:$D$27),(SUMIF('Pro Services'!$C$7:$D$27,Overview!B77,'Pro Services'!$D$7:$D$27)*'Pro Services'!$C$4))</f>
        <v>0</v>
      </c>
      <c r="D77" s="53">
        <f ca="1">IF(Startup!$C$3="Project",SUMIF(Startup!$C$7:$H$27,Overview!B77,Startup!$H$7:$H$27),(SUMIF(Startup!$C$7:$H$27,Overview!B77,Startup!$H$7:$H$27)*Startup!$C$4))+IF(Pilot!$C$3="Project",SUMIF(Pilot!$C$7:$H$27,Overview!B77,Pilot!$H$7:$H$27),(SUMIF(Pilot!$C$7:$H$27,Overview!B77,Pilot!$H$7:$H$27)*Pilot!$C$4))+IF(PMO!$C$3="Project",SUMIF(PMO!$C$7:$H$27,Overview!B77,PMO!$H$7:$H$27),(SUMIF(PMO!$C$7:$H$27,Overview!B77,PMO!$H$7:$H$27)*PMO!$C$4))+IF('Design &amp; Fulfillment'!$C$3="Project",SUMIF('Design &amp; Fulfillment'!$C$7:$H$27,Overview!B77,'Design &amp; Fulfillment'!$H$7:$H$27),(SUMIF('Design &amp; Fulfillment'!$C$7:$H$27,Overview!B77,'Design &amp; Fulfillment'!$H$7:$H$27)*'Design &amp; Fulfillment'!$C$4))+IF(Workplace!$C$3="Project",SUMIF(Workplace!$C$7:$H$27,Overview!B77,Workplace!$H$7:$H$27),(SUMIF(Workplace!$C$7:$H$27,Overview!B77,Workplace!$H$7:$H$27)*Workplace!$C$4))+IF(Integration!$C$3="Project",SUMIF(Integration!$C$7:$H$27,Overview!B77,Integration!$H$7:$H$27),(SUMIF(Integration!$C$7:$H$27,Overview!B77,Integration!$H$7:$H$27)*Integration!$C$4))+IF(Logistics!$C$3="Project",SUMIF(Logistics!$C$7:$H$27,Overview!B77,Logistics!$H$7:$H$27),(SUMIF(Logistics!$C$7:$H$27,Overview!B77,Logistics!$H$7:$H$27)*Logistics!$C$4))+IF('Service Desk'!$C$3="Project",SUMIF('Service Desk'!$C$7:$H$27,Overview!B77,'Service Desk'!$H$7:$H$27),(SUMIF('Service Desk'!$C$7:$H$27,Overview!B77,'Service Desk'!$H$7:$H$27)*'Service Desk'!$C$4))+IF('Pro Services'!$C$3="Project",SUMIF('Pro Services'!$C$7:$H$27,Overview!B77,'Pro Services'!$H$7:$H$27),(SUMIF('Pro Services'!$C$7:$H$27,Overview!B77,'Pro Services'!$H$7:$H$27)*'Pro Services'!$C$4))</f>
        <v>0</v>
      </c>
      <c r="E77" s="52">
        <f t="shared" ca="1" si="120"/>
        <v>0</v>
      </c>
      <c r="F77" s="52">
        <f t="shared" ref="F77:AK77" si="242">IFERROR(IF(F$28="FALSE",0,$C$77/$C$8),0)</f>
        <v>0</v>
      </c>
      <c r="G77" s="52">
        <f t="shared" si="242"/>
        <v>0</v>
      </c>
      <c r="H77" s="52">
        <f t="shared" si="242"/>
        <v>0</v>
      </c>
      <c r="I77" s="52">
        <f t="shared" si="242"/>
        <v>0</v>
      </c>
      <c r="J77" s="52">
        <f t="shared" si="242"/>
        <v>0</v>
      </c>
      <c r="K77" s="52">
        <f t="shared" si="242"/>
        <v>0</v>
      </c>
      <c r="L77" s="52">
        <f t="shared" si="242"/>
        <v>0</v>
      </c>
      <c r="M77" s="52">
        <f t="shared" si="242"/>
        <v>0</v>
      </c>
      <c r="N77" s="52">
        <f t="shared" si="242"/>
        <v>0</v>
      </c>
      <c r="O77" s="52">
        <f t="shared" si="242"/>
        <v>0</v>
      </c>
      <c r="P77" s="52">
        <f t="shared" si="242"/>
        <v>0</v>
      </c>
      <c r="Q77" s="52">
        <f t="shared" si="242"/>
        <v>0</v>
      </c>
      <c r="R77" s="52">
        <f t="shared" si="242"/>
        <v>0</v>
      </c>
      <c r="S77" s="52">
        <f t="shared" si="242"/>
        <v>0</v>
      </c>
      <c r="T77" s="52">
        <f t="shared" si="242"/>
        <v>0</v>
      </c>
      <c r="U77" s="52">
        <f t="shared" si="242"/>
        <v>0</v>
      </c>
      <c r="V77" s="52">
        <f t="shared" si="242"/>
        <v>0</v>
      </c>
      <c r="W77" s="52">
        <f t="shared" si="242"/>
        <v>0</v>
      </c>
      <c r="X77" s="52">
        <f t="shared" si="242"/>
        <v>0</v>
      </c>
      <c r="Y77" s="52">
        <f t="shared" si="242"/>
        <v>0</v>
      </c>
      <c r="Z77" s="52">
        <f t="shared" si="242"/>
        <v>0</v>
      </c>
      <c r="AA77" s="52">
        <f t="shared" si="242"/>
        <v>0</v>
      </c>
      <c r="AB77" s="52">
        <f t="shared" si="242"/>
        <v>0</v>
      </c>
      <c r="AC77" s="52">
        <f t="shared" si="242"/>
        <v>0</v>
      </c>
      <c r="AD77" s="52">
        <f t="shared" si="242"/>
        <v>0</v>
      </c>
      <c r="AE77" s="52">
        <f t="shared" si="242"/>
        <v>0</v>
      </c>
      <c r="AF77" s="52">
        <f t="shared" si="242"/>
        <v>0</v>
      </c>
      <c r="AG77" s="52">
        <f t="shared" si="242"/>
        <v>0</v>
      </c>
      <c r="AH77" s="52">
        <f t="shared" si="242"/>
        <v>0</v>
      </c>
      <c r="AI77" s="52">
        <f t="shared" si="242"/>
        <v>0</v>
      </c>
      <c r="AJ77" s="52">
        <f t="shared" si="242"/>
        <v>0</v>
      </c>
      <c r="AK77" s="52">
        <f t="shared" si="242"/>
        <v>0</v>
      </c>
      <c r="AL77" s="52">
        <f t="shared" ref="AL77:BQ77" si="243">IFERROR(IF(AL$28="FALSE",0,$C$77/$C$8),0)</f>
        <v>0</v>
      </c>
      <c r="AM77" s="52">
        <f t="shared" si="243"/>
        <v>0</v>
      </c>
      <c r="AN77" s="52">
        <f t="shared" si="243"/>
        <v>0</v>
      </c>
      <c r="AO77" s="52">
        <f t="shared" si="243"/>
        <v>0</v>
      </c>
      <c r="AP77" s="52">
        <f t="shared" si="243"/>
        <v>0</v>
      </c>
      <c r="AQ77" s="52">
        <f t="shared" si="243"/>
        <v>0</v>
      </c>
      <c r="AR77" s="52">
        <f t="shared" si="243"/>
        <v>0</v>
      </c>
      <c r="AS77" s="52">
        <f t="shared" si="243"/>
        <v>0</v>
      </c>
      <c r="AT77" s="52">
        <f t="shared" si="243"/>
        <v>0</v>
      </c>
      <c r="AU77" s="52">
        <f t="shared" si="243"/>
        <v>0</v>
      </c>
      <c r="AV77" s="52">
        <f t="shared" si="243"/>
        <v>0</v>
      </c>
      <c r="AW77" s="52">
        <f t="shared" si="243"/>
        <v>0</v>
      </c>
      <c r="AX77" s="52">
        <f t="shared" si="243"/>
        <v>0</v>
      </c>
      <c r="AY77" s="52">
        <f t="shared" si="243"/>
        <v>0</v>
      </c>
      <c r="AZ77" s="52">
        <f t="shared" si="243"/>
        <v>0</v>
      </c>
      <c r="BA77" s="52">
        <f t="shared" si="243"/>
        <v>0</v>
      </c>
      <c r="BB77" s="52">
        <f t="shared" si="243"/>
        <v>0</v>
      </c>
      <c r="BC77" s="52">
        <f t="shared" si="243"/>
        <v>0</v>
      </c>
      <c r="BD77" s="52">
        <f t="shared" si="243"/>
        <v>0</v>
      </c>
      <c r="BE77" s="52">
        <f t="shared" si="243"/>
        <v>0</v>
      </c>
      <c r="BF77" s="52">
        <f t="shared" si="243"/>
        <v>0</v>
      </c>
      <c r="BG77" s="52">
        <f t="shared" si="243"/>
        <v>0</v>
      </c>
      <c r="BH77" s="52">
        <f t="shared" si="243"/>
        <v>0</v>
      </c>
      <c r="BI77" s="52">
        <f t="shared" si="243"/>
        <v>0</v>
      </c>
      <c r="BJ77" s="52">
        <f t="shared" si="243"/>
        <v>0</v>
      </c>
      <c r="BK77" s="52">
        <f t="shared" si="243"/>
        <v>0</v>
      </c>
      <c r="BL77" s="52">
        <f t="shared" si="243"/>
        <v>0</v>
      </c>
      <c r="BM77" s="52">
        <f t="shared" si="243"/>
        <v>0</v>
      </c>
      <c r="BN77" s="52">
        <f t="shared" si="243"/>
        <v>0</v>
      </c>
      <c r="BO77" s="52">
        <f t="shared" si="243"/>
        <v>0</v>
      </c>
      <c r="BP77" s="52">
        <f t="shared" si="243"/>
        <v>0</v>
      </c>
      <c r="BQ77" s="52">
        <f t="shared" si="243"/>
        <v>0</v>
      </c>
      <c r="BR77" s="52">
        <f t="shared" ref="BR77:CW77" si="244">IFERROR(IF(BR$28="FALSE",0,$C$77/$C$8),0)</f>
        <v>0</v>
      </c>
      <c r="BS77" s="52">
        <f t="shared" si="244"/>
        <v>0</v>
      </c>
      <c r="BT77" s="52">
        <f t="shared" si="244"/>
        <v>0</v>
      </c>
      <c r="BU77" s="52">
        <f t="shared" si="244"/>
        <v>0</v>
      </c>
      <c r="BV77" s="52">
        <f t="shared" si="244"/>
        <v>0</v>
      </c>
      <c r="BW77" s="52">
        <f t="shared" si="244"/>
        <v>0</v>
      </c>
      <c r="BX77" s="52">
        <f t="shared" si="244"/>
        <v>0</v>
      </c>
      <c r="BY77" s="52">
        <f t="shared" si="244"/>
        <v>0</v>
      </c>
      <c r="BZ77" s="52">
        <f t="shared" si="244"/>
        <v>0</v>
      </c>
      <c r="CA77" s="52">
        <f t="shared" si="244"/>
        <v>0</v>
      </c>
      <c r="CB77" s="52">
        <f t="shared" si="244"/>
        <v>0</v>
      </c>
      <c r="CC77" s="52">
        <f t="shared" si="244"/>
        <v>0</v>
      </c>
      <c r="CD77" s="52">
        <f t="shared" si="244"/>
        <v>0</v>
      </c>
      <c r="CE77" s="52">
        <f t="shared" si="244"/>
        <v>0</v>
      </c>
      <c r="CF77" s="52">
        <f t="shared" si="244"/>
        <v>0</v>
      </c>
      <c r="CG77" s="52">
        <f t="shared" si="244"/>
        <v>0</v>
      </c>
      <c r="CH77" s="52">
        <f t="shared" si="244"/>
        <v>0</v>
      </c>
      <c r="CI77" s="52">
        <f t="shared" si="244"/>
        <v>0</v>
      </c>
      <c r="CJ77" s="52">
        <f t="shared" si="244"/>
        <v>0</v>
      </c>
      <c r="CK77" s="52">
        <f t="shared" si="244"/>
        <v>0</v>
      </c>
      <c r="CL77" s="52">
        <f t="shared" si="244"/>
        <v>0</v>
      </c>
      <c r="CM77" s="52">
        <f t="shared" si="244"/>
        <v>0</v>
      </c>
      <c r="CN77" s="52">
        <f t="shared" si="244"/>
        <v>0</v>
      </c>
      <c r="CO77" s="52">
        <f t="shared" si="244"/>
        <v>0</v>
      </c>
      <c r="CP77" s="52">
        <f t="shared" si="244"/>
        <v>0</v>
      </c>
      <c r="CQ77" s="52">
        <f t="shared" si="244"/>
        <v>0</v>
      </c>
      <c r="CR77" s="52">
        <f t="shared" si="244"/>
        <v>0</v>
      </c>
      <c r="CS77" s="52">
        <f t="shared" si="244"/>
        <v>0</v>
      </c>
      <c r="CT77" s="52">
        <f t="shared" si="244"/>
        <v>0</v>
      </c>
      <c r="CU77" s="52">
        <f t="shared" si="244"/>
        <v>0</v>
      </c>
      <c r="CV77" s="52">
        <f t="shared" si="244"/>
        <v>0</v>
      </c>
      <c r="CW77" s="52">
        <f t="shared" si="244"/>
        <v>0</v>
      </c>
      <c r="CX77" s="52">
        <f t="shared" ref="CX77:EC77" si="245">IFERROR(IF(CX$28="FALSE",0,$C$77/$C$8),0)</f>
        <v>0</v>
      </c>
      <c r="CY77" s="52">
        <f t="shared" si="245"/>
        <v>0</v>
      </c>
      <c r="CZ77" s="52">
        <f t="shared" si="245"/>
        <v>0</v>
      </c>
      <c r="DA77" s="52">
        <f t="shared" si="245"/>
        <v>0</v>
      </c>
      <c r="DB77" s="52">
        <f t="shared" si="245"/>
        <v>0</v>
      </c>
      <c r="DC77" s="52">
        <f t="shared" si="245"/>
        <v>0</v>
      </c>
      <c r="DD77" s="52">
        <f t="shared" si="245"/>
        <v>0</v>
      </c>
      <c r="DE77" s="52">
        <f t="shared" si="245"/>
        <v>0</v>
      </c>
      <c r="DF77" s="52">
        <f t="shared" si="245"/>
        <v>0</v>
      </c>
      <c r="DG77" s="52">
        <f t="shared" si="245"/>
        <v>0</v>
      </c>
      <c r="DH77" s="52">
        <f t="shared" si="245"/>
        <v>0</v>
      </c>
      <c r="DI77" s="52">
        <f t="shared" si="245"/>
        <v>0</v>
      </c>
      <c r="DJ77" s="52">
        <f t="shared" si="245"/>
        <v>0</v>
      </c>
      <c r="DK77" s="52">
        <f t="shared" si="245"/>
        <v>0</v>
      </c>
      <c r="DL77" s="52">
        <f t="shared" si="245"/>
        <v>0</v>
      </c>
      <c r="DM77" s="52">
        <f t="shared" si="245"/>
        <v>0</v>
      </c>
      <c r="DN77" s="52">
        <f t="shared" si="245"/>
        <v>0</v>
      </c>
      <c r="DO77" s="52">
        <f t="shared" si="245"/>
        <v>0</v>
      </c>
      <c r="DP77" s="52">
        <f t="shared" si="245"/>
        <v>0</v>
      </c>
      <c r="DQ77" s="52">
        <f t="shared" si="245"/>
        <v>0</v>
      </c>
      <c r="DR77" s="52">
        <f t="shared" si="245"/>
        <v>0</v>
      </c>
      <c r="DS77" s="52">
        <f t="shared" si="245"/>
        <v>0</v>
      </c>
      <c r="DT77" s="52">
        <f t="shared" si="245"/>
        <v>0</v>
      </c>
      <c r="DU77" s="52">
        <f t="shared" si="245"/>
        <v>0</v>
      </c>
      <c r="DV77" s="52">
        <f t="shared" si="245"/>
        <v>0</v>
      </c>
      <c r="DW77" s="52">
        <f t="shared" si="245"/>
        <v>0</v>
      </c>
      <c r="DX77" s="52">
        <f t="shared" si="245"/>
        <v>0</v>
      </c>
      <c r="DY77" s="52">
        <f t="shared" si="245"/>
        <v>0</v>
      </c>
      <c r="DZ77" s="52">
        <f t="shared" si="245"/>
        <v>0</v>
      </c>
      <c r="EA77" s="52">
        <f t="shared" si="245"/>
        <v>0</v>
      </c>
      <c r="EB77" s="52">
        <f t="shared" si="245"/>
        <v>0</v>
      </c>
      <c r="EC77" s="52">
        <f t="shared" si="245"/>
        <v>0</v>
      </c>
      <c r="ED77" s="52">
        <f t="shared" ref="ED77:FD77" si="246">IFERROR(IF(ED$28="FALSE",0,$C$77/$C$8),0)</f>
        <v>0</v>
      </c>
      <c r="EE77" s="52">
        <f t="shared" si="246"/>
        <v>0</v>
      </c>
      <c r="EF77" s="52">
        <f t="shared" si="246"/>
        <v>0</v>
      </c>
      <c r="EG77" s="52">
        <f t="shared" si="246"/>
        <v>0</v>
      </c>
      <c r="EH77" s="52">
        <f t="shared" si="246"/>
        <v>0</v>
      </c>
      <c r="EI77" s="52">
        <f t="shared" si="246"/>
        <v>0</v>
      </c>
      <c r="EJ77" s="52">
        <f t="shared" si="246"/>
        <v>0</v>
      </c>
      <c r="EK77" s="52">
        <f t="shared" si="246"/>
        <v>0</v>
      </c>
      <c r="EL77" s="52">
        <f t="shared" si="246"/>
        <v>0</v>
      </c>
      <c r="EM77" s="52">
        <f t="shared" si="246"/>
        <v>0</v>
      </c>
      <c r="EN77" s="52">
        <f t="shared" si="246"/>
        <v>0</v>
      </c>
      <c r="EO77" s="52">
        <f t="shared" si="246"/>
        <v>0</v>
      </c>
      <c r="EP77" s="52">
        <f t="shared" si="246"/>
        <v>0</v>
      </c>
      <c r="EQ77" s="52">
        <f t="shared" si="246"/>
        <v>0</v>
      </c>
      <c r="ER77" s="52">
        <f t="shared" si="246"/>
        <v>0</v>
      </c>
      <c r="ES77" s="52">
        <f t="shared" si="246"/>
        <v>0</v>
      </c>
      <c r="ET77" s="52">
        <f t="shared" si="246"/>
        <v>0</v>
      </c>
      <c r="EU77" s="52">
        <f t="shared" si="246"/>
        <v>0</v>
      </c>
      <c r="EV77" s="52">
        <f t="shared" si="246"/>
        <v>0</v>
      </c>
      <c r="EW77" s="52">
        <f t="shared" si="246"/>
        <v>0</v>
      </c>
      <c r="EX77" s="52">
        <f t="shared" si="246"/>
        <v>0</v>
      </c>
      <c r="EY77" s="52">
        <f t="shared" si="246"/>
        <v>0</v>
      </c>
      <c r="EZ77" s="52">
        <f t="shared" si="246"/>
        <v>0</v>
      </c>
      <c r="FA77" s="52">
        <f t="shared" si="246"/>
        <v>0</v>
      </c>
      <c r="FB77" s="52">
        <f t="shared" si="246"/>
        <v>0</v>
      </c>
      <c r="FC77" s="52">
        <f t="shared" si="246"/>
        <v>0</v>
      </c>
      <c r="FD77" s="52">
        <f t="shared" si="246"/>
        <v>0</v>
      </c>
    </row>
    <row r="78" spans="2:160">
      <c r="B78" s="51" t="s">
        <v>158</v>
      </c>
      <c r="C78" s="52">
        <f ca="1">IF(Startup!$C$3="Project",SUMIF(Startup!$C$7:$D$27,Overview!B78,Startup!$D$7:$D$27),(SUMIF(Startup!$C$7:$D$27,Overview!B78,Startup!$D$7:$D$27)*Startup!$C$4))+IF(Pilot!$C$3="Project",SUMIF(Pilot!$C$7:$D$27,Overview!B78,Pilot!$D$7:$D$27),(SUMIF(Pilot!$C$7:$D$27,Overview!B78,Pilot!$D$7:$D$27)*Pilot!$C$4))+IF(PMO!$C$3="Project",SUMIF(PMO!$C$7:$D$27,Overview!B78,PMO!$D$7:$D$27),(SUMIF(PMO!$C$7:$D$27,Overview!B78,PMO!$D$7:$D$27)*PMO!$C$4))+IF('Design &amp; Fulfillment'!$C$3="Project",SUMIF('Design &amp; Fulfillment'!$C$7:$D$27,Overview!B78,'Design &amp; Fulfillment'!$D$7:$D$27),(SUMIF('Design &amp; Fulfillment'!$C$7:$D$27,Overview!B78,'Design &amp; Fulfillment'!$D$7:$D$27)*'Design &amp; Fulfillment'!$C$4))+IF(Workplace!$C$3="Project",SUMIF(Workplace!$C$7:$D$27,Overview!B78,Workplace!$D$7:$D$27),(SUMIF(Workplace!$C$7:$D$27,Overview!B78,Workplace!$D$7:$D$27)*Workplace!$C$4))+IF(Integration!$C$3="Project",SUMIF(Integration!$C$7:$D$27,Overview!B78,Integration!$D$7:$D$27),(SUMIF(Integration!$C$7:$D$27,Overview!B78,Integration!$D$7:$D$27)*Integration!$C$4))+IF(Logistics!$C$3="Project",SUMIF(Logistics!$C$7:$D$27,Overview!B78,Logistics!$D$7:$D$27),(SUMIF(Logistics!$C$7:$D$27,Overview!B78,Logistics!$D$7:$D$27)*Logistics!$C$4))+IF('Service Desk'!$C$3="Project",SUMIF('Service Desk'!$C$7:$D$27,Overview!B78,'Service Desk'!$D$7:$D$27),(SUMIF('Service Desk'!$C$7:$D$27,Overview!B78,'Service Desk'!$D$7:$D$27)*'Service Desk'!$C$4))+IF('Pro Services'!$C$3="Project",SUMIF('Pro Services'!$C$7:$D$27,Overview!B78,'Pro Services'!$D$7:$D$27),(SUMIF('Pro Services'!$C$7:$D$27,Overview!B78,'Pro Services'!$D$7:$D$27)*'Pro Services'!$C$4))</f>
        <v>0</v>
      </c>
      <c r="D78" s="53">
        <f ca="1">IF(Startup!$C$3="Project",SUMIF(Startup!$C$7:$H$27,Overview!B78,Startup!$H$7:$H$27),(SUMIF(Startup!$C$7:$H$27,Overview!B78,Startup!$H$7:$H$27)*Startup!$C$4))+IF(Pilot!$C$3="Project",SUMIF(Pilot!$C$7:$H$27,Overview!B78,Pilot!$H$7:$H$27),(SUMIF(Pilot!$C$7:$H$27,Overview!B78,Pilot!$H$7:$H$27)*Pilot!$C$4))+IF(PMO!$C$3="Project",SUMIF(PMO!$C$7:$H$27,Overview!B78,PMO!$H$7:$H$27),(SUMIF(PMO!$C$7:$H$27,Overview!B78,PMO!$H$7:$H$27)*PMO!$C$4))+IF('Design &amp; Fulfillment'!$C$3="Project",SUMIF('Design &amp; Fulfillment'!$C$7:$H$27,Overview!B78,'Design &amp; Fulfillment'!$H$7:$H$27),(SUMIF('Design &amp; Fulfillment'!$C$7:$H$27,Overview!B78,'Design &amp; Fulfillment'!$H$7:$H$27)*'Design &amp; Fulfillment'!$C$4))+IF(Workplace!$C$3="Project",SUMIF(Workplace!$C$7:$H$27,Overview!B78,Workplace!$H$7:$H$27),(SUMIF(Workplace!$C$7:$H$27,Overview!B78,Workplace!$H$7:$H$27)*Workplace!$C$4))+IF(Integration!$C$3="Project",SUMIF(Integration!$C$7:$H$27,Overview!B78,Integration!$H$7:$H$27),(SUMIF(Integration!$C$7:$H$27,Overview!B78,Integration!$H$7:$H$27)*Integration!$C$4))+IF(Logistics!$C$3="Project",SUMIF(Logistics!$C$7:$H$27,Overview!B78,Logistics!$H$7:$H$27),(SUMIF(Logistics!$C$7:$H$27,Overview!B78,Logistics!$H$7:$H$27)*Logistics!$C$4))+IF('Service Desk'!$C$3="Project",SUMIF('Service Desk'!$C$7:$H$27,Overview!B78,'Service Desk'!$H$7:$H$27),(SUMIF('Service Desk'!$C$7:$H$27,Overview!B78,'Service Desk'!$H$7:$H$27)*'Service Desk'!$C$4))+IF('Pro Services'!$C$3="Project",SUMIF('Pro Services'!$C$7:$H$27,Overview!B78,'Pro Services'!$H$7:$H$27),(SUMIF('Pro Services'!$C$7:$H$27,Overview!B78,'Pro Services'!$H$7:$H$27)*'Pro Services'!$C$4))</f>
        <v>0</v>
      </c>
      <c r="E78" s="52">
        <f t="shared" ca="1" si="120"/>
        <v>0</v>
      </c>
      <c r="F78" s="52">
        <f t="shared" ref="F78:AK78" si="247">IFERROR(IF(F$28="FALSE",0,$C$78/$C$8),0)</f>
        <v>0</v>
      </c>
      <c r="G78" s="52">
        <f t="shared" si="247"/>
        <v>0</v>
      </c>
      <c r="H78" s="52">
        <f t="shared" si="247"/>
        <v>0</v>
      </c>
      <c r="I78" s="52">
        <f t="shared" si="247"/>
        <v>0</v>
      </c>
      <c r="J78" s="52">
        <f t="shared" si="247"/>
        <v>0</v>
      </c>
      <c r="K78" s="52">
        <f t="shared" si="247"/>
        <v>0</v>
      </c>
      <c r="L78" s="52">
        <f t="shared" si="247"/>
        <v>0</v>
      </c>
      <c r="M78" s="52">
        <f t="shared" si="247"/>
        <v>0</v>
      </c>
      <c r="N78" s="52">
        <f t="shared" si="247"/>
        <v>0</v>
      </c>
      <c r="O78" s="52">
        <f t="shared" si="247"/>
        <v>0</v>
      </c>
      <c r="P78" s="52">
        <f t="shared" si="247"/>
        <v>0</v>
      </c>
      <c r="Q78" s="52">
        <f t="shared" si="247"/>
        <v>0</v>
      </c>
      <c r="R78" s="52">
        <f t="shared" si="247"/>
        <v>0</v>
      </c>
      <c r="S78" s="52">
        <f t="shared" si="247"/>
        <v>0</v>
      </c>
      <c r="T78" s="52">
        <f t="shared" si="247"/>
        <v>0</v>
      </c>
      <c r="U78" s="52">
        <f t="shared" si="247"/>
        <v>0</v>
      </c>
      <c r="V78" s="52">
        <f t="shared" si="247"/>
        <v>0</v>
      </c>
      <c r="W78" s="52">
        <f t="shared" si="247"/>
        <v>0</v>
      </c>
      <c r="X78" s="52">
        <f t="shared" si="247"/>
        <v>0</v>
      </c>
      <c r="Y78" s="52">
        <f t="shared" si="247"/>
        <v>0</v>
      </c>
      <c r="Z78" s="52">
        <f t="shared" si="247"/>
        <v>0</v>
      </c>
      <c r="AA78" s="52">
        <f t="shared" si="247"/>
        <v>0</v>
      </c>
      <c r="AB78" s="52">
        <f t="shared" si="247"/>
        <v>0</v>
      </c>
      <c r="AC78" s="52">
        <f t="shared" si="247"/>
        <v>0</v>
      </c>
      <c r="AD78" s="52">
        <f t="shared" si="247"/>
        <v>0</v>
      </c>
      <c r="AE78" s="52">
        <f t="shared" si="247"/>
        <v>0</v>
      </c>
      <c r="AF78" s="52">
        <f t="shared" si="247"/>
        <v>0</v>
      </c>
      <c r="AG78" s="52">
        <f t="shared" si="247"/>
        <v>0</v>
      </c>
      <c r="AH78" s="52">
        <f t="shared" si="247"/>
        <v>0</v>
      </c>
      <c r="AI78" s="52">
        <f t="shared" si="247"/>
        <v>0</v>
      </c>
      <c r="AJ78" s="52">
        <f t="shared" si="247"/>
        <v>0</v>
      </c>
      <c r="AK78" s="52">
        <f t="shared" si="247"/>
        <v>0</v>
      </c>
      <c r="AL78" s="52">
        <f t="shared" ref="AL78:BQ78" si="248">IFERROR(IF(AL$28="FALSE",0,$C$78/$C$8),0)</f>
        <v>0</v>
      </c>
      <c r="AM78" s="52">
        <f t="shared" si="248"/>
        <v>0</v>
      </c>
      <c r="AN78" s="52">
        <f t="shared" si="248"/>
        <v>0</v>
      </c>
      <c r="AO78" s="52">
        <f t="shared" si="248"/>
        <v>0</v>
      </c>
      <c r="AP78" s="52">
        <f t="shared" si="248"/>
        <v>0</v>
      </c>
      <c r="AQ78" s="52">
        <f t="shared" si="248"/>
        <v>0</v>
      </c>
      <c r="AR78" s="52">
        <f t="shared" si="248"/>
        <v>0</v>
      </c>
      <c r="AS78" s="52">
        <f t="shared" si="248"/>
        <v>0</v>
      </c>
      <c r="AT78" s="52">
        <f t="shared" si="248"/>
        <v>0</v>
      </c>
      <c r="AU78" s="52">
        <f t="shared" si="248"/>
        <v>0</v>
      </c>
      <c r="AV78" s="52">
        <f t="shared" si="248"/>
        <v>0</v>
      </c>
      <c r="AW78" s="52">
        <f t="shared" si="248"/>
        <v>0</v>
      </c>
      <c r="AX78" s="52">
        <f t="shared" si="248"/>
        <v>0</v>
      </c>
      <c r="AY78" s="52">
        <f t="shared" si="248"/>
        <v>0</v>
      </c>
      <c r="AZ78" s="52">
        <f t="shared" si="248"/>
        <v>0</v>
      </c>
      <c r="BA78" s="52">
        <f t="shared" si="248"/>
        <v>0</v>
      </c>
      <c r="BB78" s="52">
        <f t="shared" si="248"/>
        <v>0</v>
      </c>
      <c r="BC78" s="52">
        <f t="shared" si="248"/>
        <v>0</v>
      </c>
      <c r="BD78" s="52">
        <f t="shared" si="248"/>
        <v>0</v>
      </c>
      <c r="BE78" s="52">
        <f t="shared" si="248"/>
        <v>0</v>
      </c>
      <c r="BF78" s="52">
        <f t="shared" si="248"/>
        <v>0</v>
      </c>
      <c r="BG78" s="52">
        <f t="shared" si="248"/>
        <v>0</v>
      </c>
      <c r="BH78" s="52">
        <f t="shared" si="248"/>
        <v>0</v>
      </c>
      <c r="BI78" s="52">
        <f t="shared" si="248"/>
        <v>0</v>
      </c>
      <c r="BJ78" s="52">
        <f t="shared" si="248"/>
        <v>0</v>
      </c>
      <c r="BK78" s="52">
        <f t="shared" si="248"/>
        <v>0</v>
      </c>
      <c r="BL78" s="52">
        <f t="shared" si="248"/>
        <v>0</v>
      </c>
      <c r="BM78" s="52">
        <f t="shared" si="248"/>
        <v>0</v>
      </c>
      <c r="BN78" s="52">
        <f t="shared" si="248"/>
        <v>0</v>
      </c>
      <c r="BO78" s="52">
        <f t="shared" si="248"/>
        <v>0</v>
      </c>
      <c r="BP78" s="52">
        <f t="shared" si="248"/>
        <v>0</v>
      </c>
      <c r="BQ78" s="52">
        <f t="shared" si="248"/>
        <v>0</v>
      </c>
      <c r="BR78" s="52">
        <f t="shared" ref="BR78:CW78" si="249">IFERROR(IF(BR$28="FALSE",0,$C$78/$C$8),0)</f>
        <v>0</v>
      </c>
      <c r="BS78" s="52">
        <f t="shared" si="249"/>
        <v>0</v>
      </c>
      <c r="BT78" s="52">
        <f t="shared" si="249"/>
        <v>0</v>
      </c>
      <c r="BU78" s="52">
        <f t="shared" si="249"/>
        <v>0</v>
      </c>
      <c r="BV78" s="52">
        <f t="shared" si="249"/>
        <v>0</v>
      </c>
      <c r="BW78" s="52">
        <f t="shared" si="249"/>
        <v>0</v>
      </c>
      <c r="BX78" s="52">
        <f t="shared" si="249"/>
        <v>0</v>
      </c>
      <c r="BY78" s="52">
        <f t="shared" si="249"/>
        <v>0</v>
      </c>
      <c r="BZ78" s="52">
        <f t="shared" si="249"/>
        <v>0</v>
      </c>
      <c r="CA78" s="52">
        <f t="shared" si="249"/>
        <v>0</v>
      </c>
      <c r="CB78" s="52">
        <f t="shared" si="249"/>
        <v>0</v>
      </c>
      <c r="CC78" s="52">
        <f t="shared" si="249"/>
        <v>0</v>
      </c>
      <c r="CD78" s="52">
        <f t="shared" si="249"/>
        <v>0</v>
      </c>
      <c r="CE78" s="52">
        <f t="shared" si="249"/>
        <v>0</v>
      </c>
      <c r="CF78" s="52">
        <f t="shared" si="249"/>
        <v>0</v>
      </c>
      <c r="CG78" s="52">
        <f t="shared" si="249"/>
        <v>0</v>
      </c>
      <c r="CH78" s="52">
        <f t="shared" si="249"/>
        <v>0</v>
      </c>
      <c r="CI78" s="52">
        <f t="shared" si="249"/>
        <v>0</v>
      </c>
      <c r="CJ78" s="52">
        <f t="shared" si="249"/>
        <v>0</v>
      </c>
      <c r="CK78" s="52">
        <f t="shared" si="249"/>
        <v>0</v>
      </c>
      <c r="CL78" s="52">
        <f t="shared" si="249"/>
        <v>0</v>
      </c>
      <c r="CM78" s="52">
        <f t="shared" si="249"/>
        <v>0</v>
      </c>
      <c r="CN78" s="52">
        <f t="shared" si="249"/>
        <v>0</v>
      </c>
      <c r="CO78" s="52">
        <f t="shared" si="249"/>
        <v>0</v>
      </c>
      <c r="CP78" s="52">
        <f t="shared" si="249"/>
        <v>0</v>
      </c>
      <c r="CQ78" s="52">
        <f t="shared" si="249"/>
        <v>0</v>
      </c>
      <c r="CR78" s="52">
        <f t="shared" si="249"/>
        <v>0</v>
      </c>
      <c r="CS78" s="52">
        <f t="shared" si="249"/>
        <v>0</v>
      </c>
      <c r="CT78" s="52">
        <f t="shared" si="249"/>
        <v>0</v>
      </c>
      <c r="CU78" s="52">
        <f t="shared" si="249"/>
        <v>0</v>
      </c>
      <c r="CV78" s="52">
        <f t="shared" si="249"/>
        <v>0</v>
      </c>
      <c r="CW78" s="52">
        <f t="shared" si="249"/>
        <v>0</v>
      </c>
      <c r="CX78" s="52">
        <f t="shared" ref="CX78:EC78" si="250">IFERROR(IF(CX$28="FALSE",0,$C$78/$C$8),0)</f>
        <v>0</v>
      </c>
      <c r="CY78" s="52">
        <f t="shared" si="250"/>
        <v>0</v>
      </c>
      <c r="CZ78" s="52">
        <f t="shared" si="250"/>
        <v>0</v>
      </c>
      <c r="DA78" s="52">
        <f t="shared" si="250"/>
        <v>0</v>
      </c>
      <c r="DB78" s="52">
        <f t="shared" si="250"/>
        <v>0</v>
      </c>
      <c r="DC78" s="52">
        <f t="shared" si="250"/>
        <v>0</v>
      </c>
      <c r="DD78" s="52">
        <f t="shared" si="250"/>
        <v>0</v>
      </c>
      <c r="DE78" s="52">
        <f t="shared" si="250"/>
        <v>0</v>
      </c>
      <c r="DF78" s="52">
        <f t="shared" si="250"/>
        <v>0</v>
      </c>
      <c r="DG78" s="52">
        <f t="shared" si="250"/>
        <v>0</v>
      </c>
      <c r="DH78" s="52">
        <f t="shared" si="250"/>
        <v>0</v>
      </c>
      <c r="DI78" s="52">
        <f t="shared" si="250"/>
        <v>0</v>
      </c>
      <c r="DJ78" s="52">
        <f t="shared" si="250"/>
        <v>0</v>
      </c>
      <c r="DK78" s="52">
        <f t="shared" si="250"/>
        <v>0</v>
      </c>
      <c r="DL78" s="52">
        <f t="shared" si="250"/>
        <v>0</v>
      </c>
      <c r="DM78" s="52">
        <f t="shared" si="250"/>
        <v>0</v>
      </c>
      <c r="DN78" s="52">
        <f t="shared" si="250"/>
        <v>0</v>
      </c>
      <c r="DO78" s="52">
        <f t="shared" si="250"/>
        <v>0</v>
      </c>
      <c r="DP78" s="52">
        <f t="shared" si="250"/>
        <v>0</v>
      </c>
      <c r="DQ78" s="52">
        <f t="shared" si="250"/>
        <v>0</v>
      </c>
      <c r="DR78" s="52">
        <f t="shared" si="250"/>
        <v>0</v>
      </c>
      <c r="DS78" s="52">
        <f t="shared" si="250"/>
        <v>0</v>
      </c>
      <c r="DT78" s="52">
        <f t="shared" si="250"/>
        <v>0</v>
      </c>
      <c r="DU78" s="52">
        <f t="shared" si="250"/>
        <v>0</v>
      </c>
      <c r="DV78" s="52">
        <f t="shared" si="250"/>
        <v>0</v>
      </c>
      <c r="DW78" s="52">
        <f t="shared" si="250"/>
        <v>0</v>
      </c>
      <c r="DX78" s="52">
        <f t="shared" si="250"/>
        <v>0</v>
      </c>
      <c r="DY78" s="52">
        <f t="shared" si="250"/>
        <v>0</v>
      </c>
      <c r="DZ78" s="52">
        <f t="shared" si="250"/>
        <v>0</v>
      </c>
      <c r="EA78" s="52">
        <f t="shared" si="250"/>
        <v>0</v>
      </c>
      <c r="EB78" s="52">
        <f t="shared" si="250"/>
        <v>0</v>
      </c>
      <c r="EC78" s="52">
        <f t="shared" si="250"/>
        <v>0</v>
      </c>
      <c r="ED78" s="52">
        <f t="shared" ref="ED78:FD78" si="251">IFERROR(IF(ED$28="FALSE",0,$C$78/$C$8),0)</f>
        <v>0</v>
      </c>
      <c r="EE78" s="52">
        <f t="shared" si="251"/>
        <v>0</v>
      </c>
      <c r="EF78" s="52">
        <f t="shared" si="251"/>
        <v>0</v>
      </c>
      <c r="EG78" s="52">
        <f t="shared" si="251"/>
        <v>0</v>
      </c>
      <c r="EH78" s="52">
        <f t="shared" si="251"/>
        <v>0</v>
      </c>
      <c r="EI78" s="52">
        <f t="shared" si="251"/>
        <v>0</v>
      </c>
      <c r="EJ78" s="52">
        <f t="shared" si="251"/>
        <v>0</v>
      </c>
      <c r="EK78" s="52">
        <f t="shared" si="251"/>
        <v>0</v>
      </c>
      <c r="EL78" s="52">
        <f t="shared" si="251"/>
        <v>0</v>
      </c>
      <c r="EM78" s="52">
        <f t="shared" si="251"/>
        <v>0</v>
      </c>
      <c r="EN78" s="52">
        <f t="shared" si="251"/>
        <v>0</v>
      </c>
      <c r="EO78" s="52">
        <f t="shared" si="251"/>
        <v>0</v>
      </c>
      <c r="EP78" s="52">
        <f t="shared" si="251"/>
        <v>0</v>
      </c>
      <c r="EQ78" s="52">
        <f t="shared" si="251"/>
        <v>0</v>
      </c>
      <c r="ER78" s="52">
        <f t="shared" si="251"/>
        <v>0</v>
      </c>
      <c r="ES78" s="52">
        <f t="shared" si="251"/>
        <v>0</v>
      </c>
      <c r="ET78" s="52">
        <f t="shared" si="251"/>
        <v>0</v>
      </c>
      <c r="EU78" s="52">
        <f t="shared" si="251"/>
        <v>0</v>
      </c>
      <c r="EV78" s="52">
        <f t="shared" si="251"/>
        <v>0</v>
      </c>
      <c r="EW78" s="52">
        <f t="shared" si="251"/>
        <v>0</v>
      </c>
      <c r="EX78" s="52">
        <f t="shared" si="251"/>
        <v>0</v>
      </c>
      <c r="EY78" s="52">
        <f t="shared" si="251"/>
        <v>0</v>
      </c>
      <c r="EZ78" s="52">
        <f t="shared" si="251"/>
        <v>0</v>
      </c>
      <c r="FA78" s="52">
        <f t="shared" si="251"/>
        <v>0</v>
      </c>
      <c r="FB78" s="52">
        <f t="shared" si="251"/>
        <v>0</v>
      </c>
      <c r="FC78" s="52">
        <f t="shared" si="251"/>
        <v>0</v>
      </c>
      <c r="FD78" s="52">
        <f t="shared" si="251"/>
        <v>0</v>
      </c>
    </row>
    <row r="79" spans="2:160">
      <c r="B79" s="51" t="s">
        <v>159</v>
      </c>
      <c r="C79" s="52">
        <f ca="1">IF(Startup!$C$3="Project",SUMIF(Startup!$C$7:$D$27,Overview!B79,Startup!$D$7:$D$27),(SUMIF(Startup!$C$7:$D$27,Overview!B79,Startup!$D$7:$D$27)*Startup!$C$4))+IF(Pilot!$C$3="Project",SUMIF(Pilot!$C$7:$D$27,Overview!B79,Pilot!$D$7:$D$27),(SUMIF(Pilot!$C$7:$D$27,Overview!B79,Pilot!$D$7:$D$27)*Pilot!$C$4))+IF(PMO!$C$3="Project",SUMIF(PMO!$C$7:$D$27,Overview!B79,PMO!$D$7:$D$27),(SUMIF(PMO!$C$7:$D$27,Overview!B79,PMO!$D$7:$D$27)*PMO!$C$4))+IF('Design &amp; Fulfillment'!$C$3="Project",SUMIF('Design &amp; Fulfillment'!$C$7:$D$27,Overview!B79,'Design &amp; Fulfillment'!$D$7:$D$27),(SUMIF('Design &amp; Fulfillment'!$C$7:$D$27,Overview!B79,'Design &amp; Fulfillment'!$D$7:$D$27)*'Design &amp; Fulfillment'!$C$4))+IF(Workplace!$C$3="Project",SUMIF(Workplace!$C$7:$D$27,Overview!B79,Workplace!$D$7:$D$27),(SUMIF(Workplace!$C$7:$D$27,Overview!B79,Workplace!$D$7:$D$27)*Workplace!$C$4))+IF(Integration!$C$3="Project",SUMIF(Integration!$C$7:$D$27,Overview!B79,Integration!$D$7:$D$27),(SUMIF(Integration!$C$7:$D$27,Overview!B79,Integration!$D$7:$D$27)*Integration!$C$4))+IF(Logistics!$C$3="Project",SUMIF(Logistics!$C$7:$D$27,Overview!B79,Logistics!$D$7:$D$27),(SUMIF(Logistics!$C$7:$D$27,Overview!B79,Logistics!$D$7:$D$27)*Logistics!$C$4))+IF('Service Desk'!$C$3="Project",SUMIF('Service Desk'!$C$7:$D$27,Overview!B79,'Service Desk'!$D$7:$D$27),(SUMIF('Service Desk'!$C$7:$D$27,Overview!B79,'Service Desk'!$D$7:$D$27)*'Service Desk'!$C$4))+IF('Pro Services'!$C$3="Project",SUMIF('Pro Services'!$C$7:$D$27,Overview!B79,'Pro Services'!$D$7:$D$27),(SUMIF('Pro Services'!$C$7:$D$27,Overview!B79,'Pro Services'!$D$7:$D$27)*'Pro Services'!$C$4))</f>
        <v>0</v>
      </c>
      <c r="D79" s="53">
        <f ca="1">IF(Startup!$C$3="Project",SUMIF(Startup!$C$7:$H$27,Overview!B79,Startup!$H$7:$H$27),(SUMIF(Startup!$C$7:$H$27,Overview!B79,Startup!$H$7:$H$27)*Startup!$C$4))+IF(Pilot!$C$3="Project",SUMIF(Pilot!$C$7:$H$27,Overview!B79,Pilot!$H$7:$H$27),(SUMIF(Pilot!$C$7:$H$27,Overview!B79,Pilot!$H$7:$H$27)*Pilot!$C$4))+IF(PMO!$C$3="Project",SUMIF(PMO!$C$7:$H$27,Overview!B79,PMO!$H$7:$H$27),(SUMIF(PMO!$C$7:$H$27,Overview!B79,PMO!$H$7:$H$27)*PMO!$C$4))+IF('Design &amp; Fulfillment'!$C$3="Project",SUMIF('Design &amp; Fulfillment'!$C$7:$H$27,Overview!B79,'Design &amp; Fulfillment'!$H$7:$H$27),(SUMIF('Design &amp; Fulfillment'!$C$7:$H$27,Overview!B79,'Design &amp; Fulfillment'!$H$7:$H$27)*'Design &amp; Fulfillment'!$C$4))+IF(Workplace!$C$3="Project",SUMIF(Workplace!$C$7:$H$27,Overview!B79,Workplace!$H$7:$H$27),(SUMIF(Workplace!$C$7:$H$27,Overview!B79,Workplace!$H$7:$H$27)*Workplace!$C$4))+IF(Integration!$C$3="Project",SUMIF(Integration!$C$7:$H$27,Overview!B79,Integration!$H$7:$H$27),(SUMIF(Integration!$C$7:$H$27,Overview!B79,Integration!$H$7:$H$27)*Integration!$C$4))+IF(Logistics!$C$3="Project",SUMIF(Logistics!$C$7:$H$27,Overview!B79,Logistics!$H$7:$H$27),(SUMIF(Logistics!$C$7:$H$27,Overview!B79,Logistics!$H$7:$H$27)*Logistics!$C$4))+IF('Service Desk'!$C$3="Project",SUMIF('Service Desk'!$C$7:$H$27,Overview!B79,'Service Desk'!$H$7:$H$27),(SUMIF('Service Desk'!$C$7:$H$27,Overview!B79,'Service Desk'!$H$7:$H$27)*'Service Desk'!$C$4))+IF('Pro Services'!$C$3="Project",SUMIF('Pro Services'!$C$7:$H$27,Overview!B79,'Pro Services'!$H$7:$H$27),(SUMIF('Pro Services'!$C$7:$H$27,Overview!B79,'Pro Services'!$H$7:$H$27)*'Pro Services'!$C$4))</f>
        <v>0</v>
      </c>
      <c r="E79" s="52">
        <f t="shared" ca="1" si="120"/>
        <v>0</v>
      </c>
      <c r="F79" s="52">
        <f t="shared" ref="F79:AK79" si="252">IFERROR(IF(F$28="FALSE",0,$C$79/$C$8),0)</f>
        <v>0</v>
      </c>
      <c r="G79" s="52">
        <f t="shared" si="252"/>
        <v>0</v>
      </c>
      <c r="H79" s="52">
        <f t="shared" si="252"/>
        <v>0</v>
      </c>
      <c r="I79" s="52">
        <f t="shared" si="252"/>
        <v>0</v>
      </c>
      <c r="J79" s="52">
        <f t="shared" si="252"/>
        <v>0</v>
      </c>
      <c r="K79" s="52">
        <f t="shared" si="252"/>
        <v>0</v>
      </c>
      <c r="L79" s="52">
        <f t="shared" si="252"/>
        <v>0</v>
      </c>
      <c r="M79" s="52">
        <f t="shared" si="252"/>
        <v>0</v>
      </c>
      <c r="N79" s="52">
        <f t="shared" si="252"/>
        <v>0</v>
      </c>
      <c r="O79" s="52">
        <f t="shared" si="252"/>
        <v>0</v>
      </c>
      <c r="P79" s="52">
        <f t="shared" si="252"/>
        <v>0</v>
      </c>
      <c r="Q79" s="52">
        <f t="shared" si="252"/>
        <v>0</v>
      </c>
      <c r="R79" s="52">
        <f t="shared" si="252"/>
        <v>0</v>
      </c>
      <c r="S79" s="52">
        <f t="shared" si="252"/>
        <v>0</v>
      </c>
      <c r="T79" s="52">
        <f t="shared" si="252"/>
        <v>0</v>
      </c>
      <c r="U79" s="52">
        <f t="shared" si="252"/>
        <v>0</v>
      </c>
      <c r="V79" s="52">
        <f t="shared" si="252"/>
        <v>0</v>
      </c>
      <c r="W79" s="52">
        <f t="shared" si="252"/>
        <v>0</v>
      </c>
      <c r="X79" s="52">
        <f t="shared" si="252"/>
        <v>0</v>
      </c>
      <c r="Y79" s="52">
        <f t="shared" si="252"/>
        <v>0</v>
      </c>
      <c r="Z79" s="52">
        <f t="shared" si="252"/>
        <v>0</v>
      </c>
      <c r="AA79" s="52">
        <f t="shared" si="252"/>
        <v>0</v>
      </c>
      <c r="AB79" s="52">
        <f t="shared" si="252"/>
        <v>0</v>
      </c>
      <c r="AC79" s="52">
        <f t="shared" si="252"/>
        <v>0</v>
      </c>
      <c r="AD79" s="52">
        <f t="shared" si="252"/>
        <v>0</v>
      </c>
      <c r="AE79" s="52">
        <f t="shared" si="252"/>
        <v>0</v>
      </c>
      <c r="AF79" s="52">
        <f t="shared" si="252"/>
        <v>0</v>
      </c>
      <c r="AG79" s="52">
        <f t="shared" si="252"/>
        <v>0</v>
      </c>
      <c r="AH79" s="52">
        <f t="shared" si="252"/>
        <v>0</v>
      </c>
      <c r="AI79" s="52">
        <f t="shared" si="252"/>
        <v>0</v>
      </c>
      <c r="AJ79" s="52">
        <f t="shared" si="252"/>
        <v>0</v>
      </c>
      <c r="AK79" s="52">
        <f t="shared" si="252"/>
        <v>0</v>
      </c>
      <c r="AL79" s="52">
        <f t="shared" ref="AL79:BQ79" si="253">IFERROR(IF(AL$28="FALSE",0,$C$79/$C$8),0)</f>
        <v>0</v>
      </c>
      <c r="AM79" s="52">
        <f t="shared" si="253"/>
        <v>0</v>
      </c>
      <c r="AN79" s="52">
        <f t="shared" si="253"/>
        <v>0</v>
      </c>
      <c r="AO79" s="52">
        <f t="shared" si="253"/>
        <v>0</v>
      </c>
      <c r="AP79" s="52">
        <f t="shared" si="253"/>
        <v>0</v>
      </c>
      <c r="AQ79" s="52">
        <f t="shared" si="253"/>
        <v>0</v>
      </c>
      <c r="AR79" s="52">
        <f t="shared" si="253"/>
        <v>0</v>
      </c>
      <c r="AS79" s="52">
        <f t="shared" si="253"/>
        <v>0</v>
      </c>
      <c r="AT79" s="52">
        <f t="shared" si="253"/>
        <v>0</v>
      </c>
      <c r="AU79" s="52">
        <f t="shared" si="253"/>
        <v>0</v>
      </c>
      <c r="AV79" s="52">
        <f t="shared" si="253"/>
        <v>0</v>
      </c>
      <c r="AW79" s="52">
        <f t="shared" si="253"/>
        <v>0</v>
      </c>
      <c r="AX79" s="52">
        <f t="shared" si="253"/>
        <v>0</v>
      </c>
      <c r="AY79" s="52">
        <f t="shared" si="253"/>
        <v>0</v>
      </c>
      <c r="AZ79" s="52">
        <f t="shared" si="253"/>
        <v>0</v>
      </c>
      <c r="BA79" s="52">
        <f t="shared" si="253"/>
        <v>0</v>
      </c>
      <c r="BB79" s="52">
        <f t="shared" si="253"/>
        <v>0</v>
      </c>
      <c r="BC79" s="52">
        <f t="shared" si="253"/>
        <v>0</v>
      </c>
      <c r="BD79" s="52">
        <f t="shared" si="253"/>
        <v>0</v>
      </c>
      <c r="BE79" s="52">
        <f t="shared" si="253"/>
        <v>0</v>
      </c>
      <c r="BF79" s="52">
        <f t="shared" si="253"/>
        <v>0</v>
      </c>
      <c r="BG79" s="52">
        <f t="shared" si="253"/>
        <v>0</v>
      </c>
      <c r="BH79" s="52">
        <f t="shared" si="253"/>
        <v>0</v>
      </c>
      <c r="BI79" s="52">
        <f t="shared" si="253"/>
        <v>0</v>
      </c>
      <c r="BJ79" s="52">
        <f t="shared" si="253"/>
        <v>0</v>
      </c>
      <c r="BK79" s="52">
        <f t="shared" si="253"/>
        <v>0</v>
      </c>
      <c r="BL79" s="52">
        <f t="shared" si="253"/>
        <v>0</v>
      </c>
      <c r="BM79" s="52">
        <f t="shared" si="253"/>
        <v>0</v>
      </c>
      <c r="BN79" s="52">
        <f t="shared" si="253"/>
        <v>0</v>
      </c>
      <c r="BO79" s="52">
        <f t="shared" si="253"/>
        <v>0</v>
      </c>
      <c r="BP79" s="52">
        <f t="shared" si="253"/>
        <v>0</v>
      </c>
      <c r="BQ79" s="52">
        <f t="shared" si="253"/>
        <v>0</v>
      </c>
      <c r="BR79" s="52">
        <f t="shared" ref="BR79:CW79" si="254">IFERROR(IF(BR$28="FALSE",0,$C$79/$C$8),0)</f>
        <v>0</v>
      </c>
      <c r="BS79" s="52">
        <f t="shared" si="254"/>
        <v>0</v>
      </c>
      <c r="BT79" s="52">
        <f t="shared" si="254"/>
        <v>0</v>
      </c>
      <c r="BU79" s="52">
        <f t="shared" si="254"/>
        <v>0</v>
      </c>
      <c r="BV79" s="52">
        <f t="shared" si="254"/>
        <v>0</v>
      </c>
      <c r="BW79" s="52">
        <f t="shared" si="254"/>
        <v>0</v>
      </c>
      <c r="BX79" s="52">
        <f t="shared" si="254"/>
        <v>0</v>
      </c>
      <c r="BY79" s="52">
        <f t="shared" si="254"/>
        <v>0</v>
      </c>
      <c r="BZ79" s="52">
        <f t="shared" si="254"/>
        <v>0</v>
      </c>
      <c r="CA79" s="52">
        <f t="shared" si="254"/>
        <v>0</v>
      </c>
      <c r="CB79" s="52">
        <f t="shared" si="254"/>
        <v>0</v>
      </c>
      <c r="CC79" s="52">
        <f t="shared" si="254"/>
        <v>0</v>
      </c>
      <c r="CD79" s="52">
        <f t="shared" si="254"/>
        <v>0</v>
      </c>
      <c r="CE79" s="52">
        <f t="shared" si="254"/>
        <v>0</v>
      </c>
      <c r="CF79" s="52">
        <f t="shared" si="254"/>
        <v>0</v>
      </c>
      <c r="CG79" s="52">
        <f t="shared" si="254"/>
        <v>0</v>
      </c>
      <c r="CH79" s="52">
        <f t="shared" si="254"/>
        <v>0</v>
      </c>
      <c r="CI79" s="52">
        <f t="shared" si="254"/>
        <v>0</v>
      </c>
      <c r="CJ79" s="52">
        <f t="shared" si="254"/>
        <v>0</v>
      </c>
      <c r="CK79" s="52">
        <f t="shared" si="254"/>
        <v>0</v>
      </c>
      <c r="CL79" s="52">
        <f t="shared" si="254"/>
        <v>0</v>
      </c>
      <c r="CM79" s="52">
        <f t="shared" si="254"/>
        <v>0</v>
      </c>
      <c r="CN79" s="52">
        <f t="shared" si="254"/>
        <v>0</v>
      </c>
      <c r="CO79" s="52">
        <f t="shared" si="254"/>
        <v>0</v>
      </c>
      <c r="CP79" s="52">
        <f t="shared" si="254"/>
        <v>0</v>
      </c>
      <c r="CQ79" s="52">
        <f t="shared" si="254"/>
        <v>0</v>
      </c>
      <c r="CR79" s="52">
        <f t="shared" si="254"/>
        <v>0</v>
      </c>
      <c r="CS79" s="52">
        <f t="shared" si="254"/>
        <v>0</v>
      </c>
      <c r="CT79" s="52">
        <f t="shared" si="254"/>
        <v>0</v>
      </c>
      <c r="CU79" s="52">
        <f t="shared" si="254"/>
        <v>0</v>
      </c>
      <c r="CV79" s="52">
        <f t="shared" si="254"/>
        <v>0</v>
      </c>
      <c r="CW79" s="52">
        <f t="shared" si="254"/>
        <v>0</v>
      </c>
      <c r="CX79" s="52">
        <f t="shared" ref="CX79:EC79" si="255">IFERROR(IF(CX$28="FALSE",0,$C$79/$C$8),0)</f>
        <v>0</v>
      </c>
      <c r="CY79" s="52">
        <f t="shared" si="255"/>
        <v>0</v>
      </c>
      <c r="CZ79" s="52">
        <f t="shared" si="255"/>
        <v>0</v>
      </c>
      <c r="DA79" s="52">
        <f t="shared" si="255"/>
        <v>0</v>
      </c>
      <c r="DB79" s="52">
        <f t="shared" si="255"/>
        <v>0</v>
      </c>
      <c r="DC79" s="52">
        <f t="shared" si="255"/>
        <v>0</v>
      </c>
      <c r="DD79" s="52">
        <f t="shared" si="255"/>
        <v>0</v>
      </c>
      <c r="DE79" s="52">
        <f t="shared" si="255"/>
        <v>0</v>
      </c>
      <c r="DF79" s="52">
        <f t="shared" si="255"/>
        <v>0</v>
      </c>
      <c r="DG79" s="52">
        <f t="shared" si="255"/>
        <v>0</v>
      </c>
      <c r="DH79" s="52">
        <f t="shared" si="255"/>
        <v>0</v>
      </c>
      <c r="DI79" s="52">
        <f t="shared" si="255"/>
        <v>0</v>
      </c>
      <c r="DJ79" s="52">
        <f t="shared" si="255"/>
        <v>0</v>
      </c>
      <c r="DK79" s="52">
        <f t="shared" si="255"/>
        <v>0</v>
      </c>
      <c r="DL79" s="52">
        <f t="shared" si="255"/>
        <v>0</v>
      </c>
      <c r="DM79" s="52">
        <f t="shared" si="255"/>
        <v>0</v>
      </c>
      <c r="DN79" s="52">
        <f t="shared" si="255"/>
        <v>0</v>
      </c>
      <c r="DO79" s="52">
        <f t="shared" si="255"/>
        <v>0</v>
      </c>
      <c r="DP79" s="52">
        <f t="shared" si="255"/>
        <v>0</v>
      </c>
      <c r="DQ79" s="52">
        <f t="shared" si="255"/>
        <v>0</v>
      </c>
      <c r="DR79" s="52">
        <f t="shared" si="255"/>
        <v>0</v>
      </c>
      <c r="DS79" s="52">
        <f t="shared" si="255"/>
        <v>0</v>
      </c>
      <c r="DT79" s="52">
        <f t="shared" si="255"/>
        <v>0</v>
      </c>
      <c r="DU79" s="52">
        <f t="shared" si="255"/>
        <v>0</v>
      </c>
      <c r="DV79" s="52">
        <f t="shared" si="255"/>
        <v>0</v>
      </c>
      <c r="DW79" s="52">
        <f t="shared" si="255"/>
        <v>0</v>
      </c>
      <c r="DX79" s="52">
        <f t="shared" si="255"/>
        <v>0</v>
      </c>
      <c r="DY79" s="52">
        <f t="shared" si="255"/>
        <v>0</v>
      </c>
      <c r="DZ79" s="52">
        <f t="shared" si="255"/>
        <v>0</v>
      </c>
      <c r="EA79" s="52">
        <f t="shared" si="255"/>
        <v>0</v>
      </c>
      <c r="EB79" s="52">
        <f t="shared" si="255"/>
        <v>0</v>
      </c>
      <c r="EC79" s="52">
        <f t="shared" si="255"/>
        <v>0</v>
      </c>
      <c r="ED79" s="52">
        <f t="shared" ref="ED79:FD79" si="256">IFERROR(IF(ED$28="FALSE",0,$C$79/$C$8),0)</f>
        <v>0</v>
      </c>
      <c r="EE79" s="52">
        <f t="shared" si="256"/>
        <v>0</v>
      </c>
      <c r="EF79" s="52">
        <f t="shared" si="256"/>
        <v>0</v>
      </c>
      <c r="EG79" s="52">
        <f t="shared" si="256"/>
        <v>0</v>
      </c>
      <c r="EH79" s="52">
        <f t="shared" si="256"/>
        <v>0</v>
      </c>
      <c r="EI79" s="52">
        <f t="shared" si="256"/>
        <v>0</v>
      </c>
      <c r="EJ79" s="52">
        <f t="shared" si="256"/>
        <v>0</v>
      </c>
      <c r="EK79" s="52">
        <f t="shared" si="256"/>
        <v>0</v>
      </c>
      <c r="EL79" s="52">
        <f t="shared" si="256"/>
        <v>0</v>
      </c>
      <c r="EM79" s="52">
        <f t="shared" si="256"/>
        <v>0</v>
      </c>
      <c r="EN79" s="52">
        <f t="shared" si="256"/>
        <v>0</v>
      </c>
      <c r="EO79" s="52">
        <f t="shared" si="256"/>
        <v>0</v>
      </c>
      <c r="EP79" s="52">
        <f t="shared" si="256"/>
        <v>0</v>
      </c>
      <c r="EQ79" s="52">
        <f t="shared" si="256"/>
        <v>0</v>
      </c>
      <c r="ER79" s="52">
        <f t="shared" si="256"/>
        <v>0</v>
      </c>
      <c r="ES79" s="52">
        <f t="shared" si="256"/>
        <v>0</v>
      </c>
      <c r="ET79" s="52">
        <f t="shared" si="256"/>
        <v>0</v>
      </c>
      <c r="EU79" s="52">
        <f t="shared" si="256"/>
        <v>0</v>
      </c>
      <c r="EV79" s="52">
        <f t="shared" si="256"/>
        <v>0</v>
      </c>
      <c r="EW79" s="52">
        <f t="shared" si="256"/>
        <v>0</v>
      </c>
      <c r="EX79" s="52">
        <f t="shared" si="256"/>
        <v>0</v>
      </c>
      <c r="EY79" s="52">
        <f t="shared" si="256"/>
        <v>0</v>
      </c>
      <c r="EZ79" s="52">
        <f t="shared" si="256"/>
        <v>0</v>
      </c>
      <c r="FA79" s="52">
        <f t="shared" si="256"/>
        <v>0</v>
      </c>
      <c r="FB79" s="52">
        <f t="shared" si="256"/>
        <v>0</v>
      </c>
      <c r="FC79" s="52">
        <f t="shared" si="256"/>
        <v>0</v>
      </c>
      <c r="FD79" s="52">
        <f t="shared" si="256"/>
        <v>0</v>
      </c>
    </row>
    <row r="80" spans="2:160">
      <c r="B80" s="51" t="s">
        <v>160</v>
      </c>
      <c r="C80" s="52">
        <f ca="1">IF(Startup!$C$3="Project",SUMIF(Startup!$C$7:$D$27,Overview!B80,Startup!$D$7:$D$27),(SUMIF(Startup!$C$7:$D$27,Overview!B80,Startup!$D$7:$D$27)*Startup!$C$4))+IF(Pilot!$C$3="Project",SUMIF(Pilot!$C$7:$D$27,Overview!B80,Pilot!$D$7:$D$27),(SUMIF(Pilot!$C$7:$D$27,Overview!B80,Pilot!$D$7:$D$27)*Pilot!$C$4))+IF(PMO!$C$3="Project",SUMIF(PMO!$C$7:$D$27,Overview!B80,PMO!$D$7:$D$27),(SUMIF(PMO!$C$7:$D$27,Overview!B80,PMO!$D$7:$D$27)*PMO!$C$4))+IF('Design &amp; Fulfillment'!$C$3="Project",SUMIF('Design &amp; Fulfillment'!$C$7:$D$27,Overview!B80,'Design &amp; Fulfillment'!$D$7:$D$27),(SUMIF('Design &amp; Fulfillment'!$C$7:$D$27,Overview!B80,'Design &amp; Fulfillment'!$D$7:$D$27)*'Design &amp; Fulfillment'!$C$4))+IF(Workplace!$C$3="Project",SUMIF(Workplace!$C$7:$D$27,Overview!B80,Workplace!$D$7:$D$27),(SUMIF(Workplace!$C$7:$D$27,Overview!B80,Workplace!$D$7:$D$27)*Workplace!$C$4))+IF(Integration!$C$3="Project",SUMIF(Integration!$C$7:$D$27,Overview!B80,Integration!$D$7:$D$27),(SUMIF(Integration!$C$7:$D$27,Overview!B80,Integration!$D$7:$D$27)*Integration!$C$4))+IF(Logistics!$C$3="Project",SUMIF(Logistics!$C$7:$D$27,Overview!B80,Logistics!$D$7:$D$27),(SUMIF(Logistics!$C$7:$D$27,Overview!B80,Logistics!$D$7:$D$27)*Logistics!$C$4))+IF('Service Desk'!$C$3="Project",SUMIF('Service Desk'!$C$7:$D$27,Overview!B80,'Service Desk'!$D$7:$D$27),(SUMIF('Service Desk'!$C$7:$D$27,Overview!B80,'Service Desk'!$D$7:$D$27)*'Service Desk'!$C$4))+IF('Pro Services'!$C$3="Project",SUMIF('Pro Services'!$C$7:$D$27,Overview!B80,'Pro Services'!$D$7:$D$27),(SUMIF('Pro Services'!$C$7:$D$27,Overview!B80,'Pro Services'!$D$7:$D$27)*'Pro Services'!$C$4))</f>
        <v>0</v>
      </c>
      <c r="D80" s="53">
        <f ca="1">IF(Startup!$C$3="Project",SUMIF(Startup!$C$7:$H$27,Overview!B80,Startup!$H$7:$H$27),(SUMIF(Startup!$C$7:$H$27,Overview!B80,Startup!$H$7:$H$27)*Startup!$C$4))+IF(Pilot!$C$3="Project",SUMIF(Pilot!$C$7:$H$27,Overview!B80,Pilot!$H$7:$H$27),(SUMIF(Pilot!$C$7:$H$27,Overview!B80,Pilot!$H$7:$H$27)*Pilot!$C$4))+IF(PMO!$C$3="Project",SUMIF(PMO!$C$7:$H$27,Overview!B80,PMO!$H$7:$H$27),(SUMIF(PMO!$C$7:$H$27,Overview!B80,PMO!$H$7:$H$27)*PMO!$C$4))+IF('Design &amp; Fulfillment'!$C$3="Project",SUMIF('Design &amp; Fulfillment'!$C$7:$H$27,Overview!B80,'Design &amp; Fulfillment'!$H$7:$H$27),(SUMIF('Design &amp; Fulfillment'!$C$7:$H$27,Overview!B80,'Design &amp; Fulfillment'!$H$7:$H$27)*'Design &amp; Fulfillment'!$C$4))+IF(Workplace!$C$3="Project",SUMIF(Workplace!$C$7:$H$27,Overview!B80,Workplace!$H$7:$H$27),(SUMIF(Workplace!$C$7:$H$27,Overview!B80,Workplace!$H$7:$H$27)*Workplace!$C$4))+IF(Integration!$C$3="Project",SUMIF(Integration!$C$7:$H$27,Overview!B80,Integration!$H$7:$H$27),(SUMIF(Integration!$C$7:$H$27,Overview!B80,Integration!$H$7:$H$27)*Integration!$C$4))+IF(Logistics!$C$3="Project",SUMIF(Logistics!$C$7:$H$27,Overview!B80,Logistics!$H$7:$H$27),(SUMIF(Logistics!$C$7:$H$27,Overview!B80,Logistics!$H$7:$H$27)*Logistics!$C$4))+IF('Service Desk'!$C$3="Project",SUMIF('Service Desk'!$C$7:$H$27,Overview!B80,'Service Desk'!$H$7:$H$27),(SUMIF('Service Desk'!$C$7:$H$27,Overview!B80,'Service Desk'!$H$7:$H$27)*'Service Desk'!$C$4))+IF('Pro Services'!$C$3="Project",SUMIF('Pro Services'!$C$7:$H$27,Overview!B80,'Pro Services'!$H$7:$H$27),(SUMIF('Pro Services'!$C$7:$H$27,Overview!B80,'Pro Services'!$H$7:$H$27)*'Pro Services'!$C$4))</f>
        <v>0</v>
      </c>
      <c r="E80" s="52">
        <f t="shared" ca="1" si="120"/>
        <v>0</v>
      </c>
      <c r="F80" s="52">
        <f t="shared" ref="F80:AK80" si="257">IFERROR(IF(F$28="FALSE",0,$C$80/$C$8),0)</f>
        <v>0</v>
      </c>
      <c r="G80" s="52">
        <f t="shared" si="257"/>
        <v>0</v>
      </c>
      <c r="H80" s="52">
        <f t="shared" si="257"/>
        <v>0</v>
      </c>
      <c r="I80" s="52">
        <f t="shared" si="257"/>
        <v>0</v>
      </c>
      <c r="J80" s="52">
        <f t="shared" si="257"/>
        <v>0</v>
      </c>
      <c r="K80" s="52">
        <f t="shared" si="257"/>
        <v>0</v>
      </c>
      <c r="L80" s="52">
        <f t="shared" si="257"/>
        <v>0</v>
      </c>
      <c r="M80" s="52">
        <f t="shared" si="257"/>
        <v>0</v>
      </c>
      <c r="N80" s="52">
        <f t="shared" si="257"/>
        <v>0</v>
      </c>
      <c r="O80" s="52">
        <f t="shared" si="257"/>
        <v>0</v>
      </c>
      <c r="P80" s="52">
        <f t="shared" si="257"/>
        <v>0</v>
      </c>
      <c r="Q80" s="52">
        <f t="shared" si="257"/>
        <v>0</v>
      </c>
      <c r="R80" s="52">
        <f t="shared" si="257"/>
        <v>0</v>
      </c>
      <c r="S80" s="52">
        <f t="shared" si="257"/>
        <v>0</v>
      </c>
      <c r="T80" s="52">
        <f t="shared" si="257"/>
        <v>0</v>
      </c>
      <c r="U80" s="52">
        <f t="shared" si="257"/>
        <v>0</v>
      </c>
      <c r="V80" s="52">
        <f t="shared" si="257"/>
        <v>0</v>
      </c>
      <c r="W80" s="52">
        <f t="shared" si="257"/>
        <v>0</v>
      </c>
      <c r="X80" s="52">
        <f t="shared" si="257"/>
        <v>0</v>
      </c>
      <c r="Y80" s="52">
        <f t="shared" si="257"/>
        <v>0</v>
      </c>
      <c r="Z80" s="52">
        <f t="shared" si="257"/>
        <v>0</v>
      </c>
      <c r="AA80" s="52">
        <f t="shared" si="257"/>
        <v>0</v>
      </c>
      <c r="AB80" s="52">
        <f t="shared" si="257"/>
        <v>0</v>
      </c>
      <c r="AC80" s="52">
        <f t="shared" si="257"/>
        <v>0</v>
      </c>
      <c r="AD80" s="52">
        <f t="shared" si="257"/>
        <v>0</v>
      </c>
      <c r="AE80" s="52">
        <f t="shared" si="257"/>
        <v>0</v>
      </c>
      <c r="AF80" s="52">
        <f t="shared" si="257"/>
        <v>0</v>
      </c>
      <c r="AG80" s="52">
        <f t="shared" si="257"/>
        <v>0</v>
      </c>
      <c r="AH80" s="52">
        <f t="shared" si="257"/>
        <v>0</v>
      </c>
      <c r="AI80" s="52">
        <f t="shared" si="257"/>
        <v>0</v>
      </c>
      <c r="AJ80" s="52">
        <f t="shared" si="257"/>
        <v>0</v>
      </c>
      <c r="AK80" s="52">
        <f t="shared" si="257"/>
        <v>0</v>
      </c>
      <c r="AL80" s="52">
        <f t="shared" ref="AL80:BQ80" si="258">IFERROR(IF(AL$28="FALSE",0,$C$80/$C$8),0)</f>
        <v>0</v>
      </c>
      <c r="AM80" s="52">
        <f t="shared" si="258"/>
        <v>0</v>
      </c>
      <c r="AN80" s="52">
        <f t="shared" si="258"/>
        <v>0</v>
      </c>
      <c r="AO80" s="52">
        <f t="shared" si="258"/>
        <v>0</v>
      </c>
      <c r="AP80" s="52">
        <f t="shared" si="258"/>
        <v>0</v>
      </c>
      <c r="AQ80" s="52">
        <f t="shared" si="258"/>
        <v>0</v>
      </c>
      <c r="AR80" s="52">
        <f t="shared" si="258"/>
        <v>0</v>
      </c>
      <c r="AS80" s="52">
        <f t="shared" si="258"/>
        <v>0</v>
      </c>
      <c r="AT80" s="52">
        <f t="shared" si="258"/>
        <v>0</v>
      </c>
      <c r="AU80" s="52">
        <f t="shared" si="258"/>
        <v>0</v>
      </c>
      <c r="AV80" s="52">
        <f t="shared" si="258"/>
        <v>0</v>
      </c>
      <c r="AW80" s="52">
        <f t="shared" si="258"/>
        <v>0</v>
      </c>
      <c r="AX80" s="52">
        <f t="shared" si="258"/>
        <v>0</v>
      </c>
      <c r="AY80" s="52">
        <f t="shared" si="258"/>
        <v>0</v>
      </c>
      <c r="AZ80" s="52">
        <f t="shared" si="258"/>
        <v>0</v>
      </c>
      <c r="BA80" s="52">
        <f t="shared" si="258"/>
        <v>0</v>
      </c>
      <c r="BB80" s="52">
        <f t="shared" si="258"/>
        <v>0</v>
      </c>
      <c r="BC80" s="52">
        <f t="shared" si="258"/>
        <v>0</v>
      </c>
      <c r="BD80" s="52">
        <f t="shared" si="258"/>
        <v>0</v>
      </c>
      <c r="BE80" s="52">
        <f t="shared" si="258"/>
        <v>0</v>
      </c>
      <c r="BF80" s="52">
        <f t="shared" si="258"/>
        <v>0</v>
      </c>
      <c r="BG80" s="52">
        <f t="shared" si="258"/>
        <v>0</v>
      </c>
      <c r="BH80" s="52">
        <f t="shared" si="258"/>
        <v>0</v>
      </c>
      <c r="BI80" s="52">
        <f t="shared" si="258"/>
        <v>0</v>
      </c>
      <c r="BJ80" s="52">
        <f t="shared" si="258"/>
        <v>0</v>
      </c>
      <c r="BK80" s="52">
        <f t="shared" si="258"/>
        <v>0</v>
      </c>
      <c r="BL80" s="52">
        <f t="shared" si="258"/>
        <v>0</v>
      </c>
      <c r="BM80" s="52">
        <f t="shared" si="258"/>
        <v>0</v>
      </c>
      <c r="BN80" s="52">
        <f t="shared" si="258"/>
        <v>0</v>
      </c>
      <c r="BO80" s="52">
        <f t="shared" si="258"/>
        <v>0</v>
      </c>
      <c r="BP80" s="52">
        <f t="shared" si="258"/>
        <v>0</v>
      </c>
      <c r="BQ80" s="52">
        <f t="shared" si="258"/>
        <v>0</v>
      </c>
      <c r="BR80" s="52">
        <f t="shared" ref="BR80:CW80" si="259">IFERROR(IF(BR$28="FALSE",0,$C$80/$C$8),0)</f>
        <v>0</v>
      </c>
      <c r="BS80" s="52">
        <f t="shared" si="259"/>
        <v>0</v>
      </c>
      <c r="BT80" s="52">
        <f t="shared" si="259"/>
        <v>0</v>
      </c>
      <c r="BU80" s="52">
        <f t="shared" si="259"/>
        <v>0</v>
      </c>
      <c r="BV80" s="52">
        <f t="shared" si="259"/>
        <v>0</v>
      </c>
      <c r="BW80" s="52">
        <f t="shared" si="259"/>
        <v>0</v>
      </c>
      <c r="BX80" s="52">
        <f t="shared" si="259"/>
        <v>0</v>
      </c>
      <c r="BY80" s="52">
        <f t="shared" si="259"/>
        <v>0</v>
      </c>
      <c r="BZ80" s="52">
        <f t="shared" si="259"/>
        <v>0</v>
      </c>
      <c r="CA80" s="52">
        <f t="shared" si="259"/>
        <v>0</v>
      </c>
      <c r="CB80" s="52">
        <f t="shared" si="259"/>
        <v>0</v>
      </c>
      <c r="CC80" s="52">
        <f t="shared" si="259"/>
        <v>0</v>
      </c>
      <c r="CD80" s="52">
        <f t="shared" si="259"/>
        <v>0</v>
      </c>
      <c r="CE80" s="52">
        <f t="shared" si="259"/>
        <v>0</v>
      </c>
      <c r="CF80" s="52">
        <f t="shared" si="259"/>
        <v>0</v>
      </c>
      <c r="CG80" s="52">
        <f t="shared" si="259"/>
        <v>0</v>
      </c>
      <c r="CH80" s="52">
        <f t="shared" si="259"/>
        <v>0</v>
      </c>
      <c r="CI80" s="52">
        <f t="shared" si="259"/>
        <v>0</v>
      </c>
      <c r="CJ80" s="52">
        <f t="shared" si="259"/>
        <v>0</v>
      </c>
      <c r="CK80" s="52">
        <f t="shared" si="259"/>
        <v>0</v>
      </c>
      <c r="CL80" s="52">
        <f t="shared" si="259"/>
        <v>0</v>
      </c>
      <c r="CM80" s="52">
        <f t="shared" si="259"/>
        <v>0</v>
      </c>
      <c r="CN80" s="52">
        <f t="shared" si="259"/>
        <v>0</v>
      </c>
      <c r="CO80" s="52">
        <f t="shared" si="259"/>
        <v>0</v>
      </c>
      <c r="CP80" s="52">
        <f t="shared" si="259"/>
        <v>0</v>
      </c>
      <c r="CQ80" s="52">
        <f t="shared" si="259"/>
        <v>0</v>
      </c>
      <c r="CR80" s="52">
        <f t="shared" si="259"/>
        <v>0</v>
      </c>
      <c r="CS80" s="52">
        <f t="shared" si="259"/>
        <v>0</v>
      </c>
      <c r="CT80" s="52">
        <f t="shared" si="259"/>
        <v>0</v>
      </c>
      <c r="CU80" s="52">
        <f t="shared" si="259"/>
        <v>0</v>
      </c>
      <c r="CV80" s="52">
        <f t="shared" si="259"/>
        <v>0</v>
      </c>
      <c r="CW80" s="52">
        <f t="shared" si="259"/>
        <v>0</v>
      </c>
      <c r="CX80" s="52">
        <f t="shared" ref="CX80:EC80" si="260">IFERROR(IF(CX$28="FALSE",0,$C$80/$C$8),0)</f>
        <v>0</v>
      </c>
      <c r="CY80" s="52">
        <f t="shared" si="260"/>
        <v>0</v>
      </c>
      <c r="CZ80" s="52">
        <f t="shared" si="260"/>
        <v>0</v>
      </c>
      <c r="DA80" s="52">
        <f t="shared" si="260"/>
        <v>0</v>
      </c>
      <c r="DB80" s="52">
        <f t="shared" si="260"/>
        <v>0</v>
      </c>
      <c r="DC80" s="52">
        <f t="shared" si="260"/>
        <v>0</v>
      </c>
      <c r="DD80" s="52">
        <f t="shared" si="260"/>
        <v>0</v>
      </c>
      <c r="DE80" s="52">
        <f t="shared" si="260"/>
        <v>0</v>
      </c>
      <c r="DF80" s="52">
        <f t="shared" si="260"/>
        <v>0</v>
      </c>
      <c r="DG80" s="52">
        <f t="shared" si="260"/>
        <v>0</v>
      </c>
      <c r="DH80" s="52">
        <f t="shared" si="260"/>
        <v>0</v>
      </c>
      <c r="DI80" s="52">
        <f t="shared" si="260"/>
        <v>0</v>
      </c>
      <c r="DJ80" s="52">
        <f t="shared" si="260"/>
        <v>0</v>
      </c>
      <c r="DK80" s="52">
        <f t="shared" si="260"/>
        <v>0</v>
      </c>
      <c r="DL80" s="52">
        <f t="shared" si="260"/>
        <v>0</v>
      </c>
      <c r="DM80" s="52">
        <f t="shared" si="260"/>
        <v>0</v>
      </c>
      <c r="DN80" s="52">
        <f t="shared" si="260"/>
        <v>0</v>
      </c>
      <c r="DO80" s="52">
        <f t="shared" si="260"/>
        <v>0</v>
      </c>
      <c r="DP80" s="52">
        <f t="shared" si="260"/>
        <v>0</v>
      </c>
      <c r="DQ80" s="52">
        <f t="shared" si="260"/>
        <v>0</v>
      </c>
      <c r="DR80" s="52">
        <f t="shared" si="260"/>
        <v>0</v>
      </c>
      <c r="DS80" s="52">
        <f t="shared" si="260"/>
        <v>0</v>
      </c>
      <c r="DT80" s="52">
        <f t="shared" si="260"/>
        <v>0</v>
      </c>
      <c r="DU80" s="52">
        <f t="shared" si="260"/>
        <v>0</v>
      </c>
      <c r="DV80" s="52">
        <f t="shared" si="260"/>
        <v>0</v>
      </c>
      <c r="DW80" s="52">
        <f t="shared" si="260"/>
        <v>0</v>
      </c>
      <c r="DX80" s="52">
        <f t="shared" si="260"/>
        <v>0</v>
      </c>
      <c r="DY80" s="52">
        <f t="shared" si="260"/>
        <v>0</v>
      </c>
      <c r="DZ80" s="52">
        <f t="shared" si="260"/>
        <v>0</v>
      </c>
      <c r="EA80" s="52">
        <f t="shared" si="260"/>
        <v>0</v>
      </c>
      <c r="EB80" s="52">
        <f t="shared" si="260"/>
        <v>0</v>
      </c>
      <c r="EC80" s="52">
        <f t="shared" si="260"/>
        <v>0</v>
      </c>
      <c r="ED80" s="52">
        <f t="shared" ref="ED80:FD80" si="261">IFERROR(IF(ED$28="FALSE",0,$C$80/$C$8),0)</f>
        <v>0</v>
      </c>
      <c r="EE80" s="52">
        <f t="shared" si="261"/>
        <v>0</v>
      </c>
      <c r="EF80" s="52">
        <f t="shared" si="261"/>
        <v>0</v>
      </c>
      <c r="EG80" s="52">
        <f t="shared" si="261"/>
        <v>0</v>
      </c>
      <c r="EH80" s="52">
        <f t="shared" si="261"/>
        <v>0</v>
      </c>
      <c r="EI80" s="52">
        <f t="shared" si="261"/>
        <v>0</v>
      </c>
      <c r="EJ80" s="52">
        <f t="shared" si="261"/>
        <v>0</v>
      </c>
      <c r="EK80" s="52">
        <f t="shared" si="261"/>
        <v>0</v>
      </c>
      <c r="EL80" s="52">
        <f t="shared" si="261"/>
        <v>0</v>
      </c>
      <c r="EM80" s="52">
        <f t="shared" si="261"/>
        <v>0</v>
      </c>
      <c r="EN80" s="52">
        <f t="shared" si="261"/>
        <v>0</v>
      </c>
      <c r="EO80" s="52">
        <f t="shared" si="261"/>
        <v>0</v>
      </c>
      <c r="EP80" s="52">
        <f t="shared" si="261"/>
        <v>0</v>
      </c>
      <c r="EQ80" s="52">
        <f t="shared" si="261"/>
        <v>0</v>
      </c>
      <c r="ER80" s="52">
        <f t="shared" si="261"/>
        <v>0</v>
      </c>
      <c r="ES80" s="52">
        <f t="shared" si="261"/>
        <v>0</v>
      </c>
      <c r="ET80" s="52">
        <f t="shared" si="261"/>
        <v>0</v>
      </c>
      <c r="EU80" s="52">
        <f t="shared" si="261"/>
        <v>0</v>
      </c>
      <c r="EV80" s="52">
        <f t="shared" si="261"/>
        <v>0</v>
      </c>
      <c r="EW80" s="52">
        <f t="shared" si="261"/>
        <v>0</v>
      </c>
      <c r="EX80" s="52">
        <f t="shared" si="261"/>
        <v>0</v>
      </c>
      <c r="EY80" s="52">
        <f t="shared" si="261"/>
        <v>0</v>
      </c>
      <c r="EZ80" s="52">
        <f t="shared" si="261"/>
        <v>0</v>
      </c>
      <c r="FA80" s="52">
        <f t="shared" si="261"/>
        <v>0</v>
      </c>
      <c r="FB80" s="52">
        <f t="shared" si="261"/>
        <v>0</v>
      </c>
      <c r="FC80" s="52">
        <f t="shared" si="261"/>
        <v>0</v>
      </c>
      <c r="FD80" s="52">
        <f t="shared" si="261"/>
        <v>0</v>
      </c>
    </row>
    <row r="81" spans="2:160">
      <c r="B81" s="51" t="s">
        <v>161</v>
      </c>
      <c r="C81" s="52">
        <f ca="1">IF(Startup!$C$3="Project",SUMIF(Startup!$C$7:$D$27,Overview!B81,Startup!$D$7:$D$27),(SUMIF(Startup!$C$7:$D$27,Overview!B81,Startup!$D$7:$D$27)*Startup!$C$4))+IF(Pilot!$C$3="Project",SUMIF(Pilot!$C$7:$D$27,Overview!B81,Pilot!$D$7:$D$27),(SUMIF(Pilot!$C$7:$D$27,Overview!B81,Pilot!$D$7:$D$27)*Pilot!$C$4))+IF(PMO!$C$3="Project",SUMIF(PMO!$C$7:$D$27,Overview!B81,PMO!$D$7:$D$27),(SUMIF(PMO!$C$7:$D$27,Overview!B81,PMO!$D$7:$D$27)*PMO!$C$4))+IF('Design &amp; Fulfillment'!$C$3="Project",SUMIF('Design &amp; Fulfillment'!$C$7:$D$27,Overview!B81,'Design &amp; Fulfillment'!$D$7:$D$27),(SUMIF('Design &amp; Fulfillment'!$C$7:$D$27,Overview!B81,'Design &amp; Fulfillment'!$D$7:$D$27)*'Design &amp; Fulfillment'!$C$4))+IF(Workplace!$C$3="Project",SUMIF(Workplace!$C$7:$D$27,Overview!B81,Workplace!$D$7:$D$27),(SUMIF(Workplace!$C$7:$D$27,Overview!B81,Workplace!$D$7:$D$27)*Workplace!$C$4))+IF(Integration!$C$3="Project",SUMIF(Integration!$C$7:$D$27,Overview!B81,Integration!$D$7:$D$27),(SUMIF(Integration!$C$7:$D$27,Overview!B81,Integration!$D$7:$D$27)*Integration!$C$4))+IF(Logistics!$C$3="Project",SUMIF(Logistics!$C$7:$D$27,Overview!B81,Logistics!$D$7:$D$27),(SUMIF(Logistics!$C$7:$D$27,Overview!B81,Logistics!$D$7:$D$27)*Logistics!$C$4))+IF('Service Desk'!$C$3="Project",SUMIF('Service Desk'!$C$7:$D$27,Overview!B81,'Service Desk'!$D$7:$D$27),(SUMIF('Service Desk'!$C$7:$D$27,Overview!B81,'Service Desk'!$D$7:$D$27)*'Service Desk'!$C$4))+IF('Pro Services'!$C$3="Project",SUMIF('Pro Services'!$C$7:$D$27,Overview!B81,'Pro Services'!$D$7:$D$27),(SUMIF('Pro Services'!$C$7:$D$27,Overview!B81,'Pro Services'!$D$7:$D$27)*'Pro Services'!$C$4))</f>
        <v>0</v>
      </c>
      <c r="D81" s="53">
        <f ca="1">IF(Startup!$C$3="Project",SUMIF(Startup!$C$7:$H$27,Overview!B81,Startup!$H$7:$H$27),(SUMIF(Startup!$C$7:$H$27,Overview!B81,Startup!$H$7:$H$27)*Startup!$C$4))+IF(Pilot!$C$3="Project",SUMIF(Pilot!$C$7:$H$27,Overview!B81,Pilot!$H$7:$H$27),(SUMIF(Pilot!$C$7:$H$27,Overview!B81,Pilot!$H$7:$H$27)*Pilot!$C$4))+IF(PMO!$C$3="Project",SUMIF(PMO!$C$7:$H$27,Overview!B81,PMO!$H$7:$H$27),(SUMIF(PMO!$C$7:$H$27,Overview!B81,PMO!$H$7:$H$27)*PMO!$C$4))+IF('Design &amp; Fulfillment'!$C$3="Project",SUMIF('Design &amp; Fulfillment'!$C$7:$H$27,Overview!B81,'Design &amp; Fulfillment'!$H$7:$H$27),(SUMIF('Design &amp; Fulfillment'!$C$7:$H$27,Overview!B81,'Design &amp; Fulfillment'!$H$7:$H$27)*'Design &amp; Fulfillment'!$C$4))+IF(Workplace!$C$3="Project",SUMIF(Workplace!$C$7:$H$27,Overview!B81,Workplace!$H$7:$H$27),(SUMIF(Workplace!$C$7:$H$27,Overview!B81,Workplace!$H$7:$H$27)*Workplace!$C$4))+IF(Integration!$C$3="Project",SUMIF(Integration!$C$7:$H$27,Overview!B81,Integration!$H$7:$H$27),(SUMIF(Integration!$C$7:$H$27,Overview!B81,Integration!$H$7:$H$27)*Integration!$C$4))+IF(Logistics!$C$3="Project",SUMIF(Logistics!$C$7:$H$27,Overview!B81,Logistics!$H$7:$H$27),(SUMIF(Logistics!$C$7:$H$27,Overview!B81,Logistics!$H$7:$H$27)*Logistics!$C$4))+IF('Service Desk'!$C$3="Project",SUMIF('Service Desk'!$C$7:$H$27,Overview!B81,'Service Desk'!$H$7:$H$27),(SUMIF('Service Desk'!$C$7:$H$27,Overview!B81,'Service Desk'!$H$7:$H$27)*'Service Desk'!$C$4))+IF('Pro Services'!$C$3="Project",SUMIF('Pro Services'!$C$7:$H$27,Overview!B81,'Pro Services'!$H$7:$H$27),(SUMIF('Pro Services'!$C$7:$H$27,Overview!B81,'Pro Services'!$H$7:$H$27)*'Pro Services'!$C$4))</f>
        <v>0</v>
      </c>
      <c r="E81" s="52">
        <f t="shared" ca="1" si="120"/>
        <v>0</v>
      </c>
      <c r="F81" s="52">
        <f t="shared" ref="F81:AK81" si="262">IFERROR(IF(F$28="FALSE",0,$C$81/$C$8),0)</f>
        <v>0</v>
      </c>
      <c r="G81" s="52">
        <f t="shared" si="262"/>
        <v>0</v>
      </c>
      <c r="H81" s="52">
        <f t="shared" si="262"/>
        <v>0</v>
      </c>
      <c r="I81" s="52">
        <f t="shared" si="262"/>
        <v>0</v>
      </c>
      <c r="J81" s="52">
        <f t="shared" si="262"/>
        <v>0</v>
      </c>
      <c r="K81" s="52">
        <f t="shared" si="262"/>
        <v>0</v>
      </c>
      <c r="L81" s="52">
        <f t="shared" si="262"/>
        <v>0</v>
      </c>
      <c r="M81" s="52">
        <f t="shared" si="262"/>
        <v>0</v>
      </c>
      <c r="N81" s="52">
        <f t="shared" si="262"/>
        <v>0</v>
      </c>
      <c r="O81" s="52">
        <f t="shared" si="262"/>
        <v>0</v>
      </c>
      <c r="P81" s="52">
        <f t="shared" si="262"/>
        <v>0</v>
      </c>
      <c r="Q81" s="52">
        <f t="shared" si="262"/>
        <v>0</v>
      </c>
      <c r="R81" s="52">
        <f t="shared" si="262"/>
        <v>0</v>
      </c>
      <c r="S81" s="52">
        <f t="shared" si="262"/>
        <v>0</v>
      </c>
      <c r="T81" s="52">
        <f t="shared" si="262"/>
        <v>0</v>
      </c>
      <c r="U81" s="52">
        <f t="shared" si="262"/>
        <v>0</v>
      </c>
      <c r="V81" s="52">
        <f t="shared" si="262"/>
        <v>0</v>
      </c>
      <c r="W81" s="52">
        <f t="shared" si="262"/>
        <v>0</v>
      </c>
      <c r="X81" s="52">
        <f t="shared" si="262"/>
        <v>0</v>
      </c>
      <c r="Y81" s="52">
        <f t="shared" si="262"/>
        <v>0</v>
      </c>
      <c r="Z81" s="52">
        <f t="shared" si="262"/>
        <v>0</v>
      </c>
      <c r="AA81" s="52">
        <f t="shared" si="262"/>
        <v>0</v>
      </c>
      <c r="AB81" s="52">
        <f t="shared" si="262"/>
        <v>0</v>
      </c>
      <c r="AC81" s="52">
        <f t="shared" si="262"/>
        <v>0</v>
      </c>
      <c r="AD81" s="52">
        <f t="shared" si="262"/>
        <v>0</v>
      </c>
      <c r="AE81" s="52">
        <f t="shared" si="262"/>
        <v>0</v>
      </c>
      <c r="AF81" s="52">
        <f t="shared" si="262"/>
        <v>0</v>
      </c>
      <c r="AG81" s="52">
        <f t="shared" si="262"/>
        <v>0</v>
      </c>
      <c r="AH81" s="52">
        <f t="shared" si="262"/>
        <v>0</v>
      </c>
      <c r="AI81" s="52">
        <f t="shared" si="262"/>
        <v>0</v>
      </c>
      <c r="AJ81" s="52">
        <f t="shared" si="262"/>
        <v>0</v>
      </c>
      <c r="AK81" s="52">
        <f t="shared" si="262"/>
        <v>0</v>
      </c>
      <c r="AL81" s="52">
        <f t="shared" ref="AL81:BQ81" si="263">IFERROR(IF(AL$28="FALSE",0,$C$81/$C$8),0)</f>
        <v>0</v>
      </c>
      <c r="AM81" s="52">
        <f t="shared" si="263"/>
        <v>0</v>
      </c>
      <c r="AN81" s="52">
        <f t="shared" si="263"/>
        <v>0</v>
      </c>
      <c r="AO81" s="52">
        <f t="shared" si="263"/>
        <v>0</v>
      </c>
      <c r="AP81" s="52">
        <f t="shared" si="263"/>
        <v>0</v>
      </c>
      <c r="AQ81" s="52">
        <f t="shared" si="263"/>
        <v>0</v>
      </c>
      <c r="AR81" s="52">
        <f t="shared" si="263"/>
        <v>0</v>
      </c>
      <c r="AS81" s="52">
        <f t="shared" si="263"/>
        <v>0</v>
      </c>
      <c r="AT81" s="52">
        <f t="shared" si="263"/>
        <v>0</v>
      </c>
      <c r="AU81" s="52">
        <f t="shared" si="263"/>
        <v>0</v>
      </c>
      <c r="AV81" s="52">
        <f t="shared" si="263"/>
        <v>0</v>
      </c>
      <c r="AW81" s="52">
        <f t="shared" si="263"/>
        <v>0</v>
      </c>
      <c r="AX81" s="52">
        <f t="shared" si="263"/>
        <v>0</v>
      </c>
      <c r="AY81" s="52">
        <f t="shared" si="263"/>
        <v>0</v>
      </c>
      <c r="AZ81" s="52">
        <f t="shared" si="263"/>
        <v>0</v>
      </c>
      <c r="BA81" s="52">
        <f t="shared" si="263"/>
        <v>0</v>
      </c>
      <c r="BB81" s="52">
        <f t="shared" si="263"/>
        <v>0</v>
      </c>
      <c r="BC81" s="52">
        <f t="shared" si="263"/>
        <v>0</v>
      </c>
      <c r="BD81" s="52">
        <f t="shared" si="263"/>
        <v>0</v>
      </c>
      <c r="BE81" s="52">
        <f t="shared" si="263"/>
        <v>0</v>
      </c>
      <c r="BF81" s="52">
        <f t="shared" si="263"/>
        <v>0</v>
      </c>
      <c r="BG81" s="52">
        <f t="shared" si="263"/>
        <v>0</v>
      </c>
      <c r="BH81" s="52">
        <f t="shared" si="263"/>
        <v>0</v>
      </c>
      <c r="BI81" s="52">
        <f t="shared" si="263"/>
        <v>0</v>
      </c>
      <c r="BJ81" s="52">
        <f t="shared" si="263"/>
        <v>0</v>
      </c>
      <c r="BK81" s="52">
        <f t="shared" si="263"/>
        <v>0</v>
      </c>
      <c r="BL81" s="52">
        <f t="shared" si="263"/>
        <v>0</v>
      </c>
      <c r="BM81" s="52">
        <f t="shared" si="263"/>
        <v>0</v>
      </c>
      <c r="BN81" s="52">
        <f t="shared" si="263"/>
        <v>0</v>
      </c>
      <c r="BO81" s="52">
        <f t="shared" si="263"/>
        <v>0</v>
      </c>
      <c r="BP81" s="52">
        <f t="shared" si="263"/>
        <v>0</v>
      </c>
      <c r="BQ81" s="52">
        <f t="shared" si="263"/>
        <v>0</v>
      </c>
      <c r="BR81" s="52">
        <f t="shared" ref="BR81:CW81" si="264">IFERROR(IF(BR$28="FALSE",0,$C$81/$C$8),0)</f>
        <v>0</v>
      </c>
      <c r="BS81" s="52">
        <f t="shared" si="264"/>
        <v>0</v>
      </c>
      <c r="BT81" s="52">
        <f t="shared" si="264"/>
        <v>0</v>
      </c>
      <c r="BU81" s="52">
        <f t="shared" si="264"/>
        <v>0</v>
      </c>
      <c r="BV81" s="52">
        <f t="shared" si="264"/>
        <v>0</v>
      </c>
      <c r="BW81" s="52">
        <f t="shared" si="264"/>
        <v>0</v>
      </c>
      <c r="BX81" s="52">
        <f t="shared" si="264"/>
        <v>0</v>
      </c>
      <c r="BY81" s="52">
        <f t="shared" si="264"/>
        <v>0</v>
      </c>
      <c r="BZ81" s="52">
        <f t="shared" si="264"/>
        <v>0</v>
      </c>
      <c r="CA81" s="52">
        <f t="shared" si="264"/>
        <v>0</v>
      </c>
      <c r="CB81" s="52">
        <f t="shared" si="264"/>
        <v>0</v>
      </c>
      <c r="CC81" s="52">
        <f t="shared" si="264"/>
        <v>0</v>
      </c>
      <c r="CD81" s="52">
        <f t="shared" si="264"/>
        <v>0</v>
      </c>
      <c r="CE81" s="52">
        <f t="shared" si="264"/>
        <v>0</v>
      </c>
      <c r="CF81" s="52">
        <f t="shared" si="264"/>
        <v>0</v>
      </c>
      <c r="CG81" s="52">
        <f t="shared" si="264"/>
        <v>0</v>
      </c>
      <c r="CH81" s="52">
        <f t="shared" si="264"/>
        <v>0</v>
      </c>
      <c r="CI81" s="52">
        <f t="shared" si="264"/>
        <v>0</v>
      </c>
      <c r="CJ81" s="52">
        <f t="shared" si="264"/>
        <v>0</v>
      </c>
      <c r="CK81" s="52">
        <f t="shared" si="264"/>
        <v>0</v>
      </c>
      <c r="CL81" s="52">
        <f t="shared" si="264"/>
        <v>0</v>
      </c>
      <c r="CM81" s="52">
        <f t="shared" si="264"/>
        <v>0</v>
      </c>
      <c r="CN81" s="52">
        <f t="shared" si="264"/>
        <v>0</v>
      </c>
      <c r="CO81" s="52">
        <f t="shared" si="264"/>
        <v>0</v>
      </c>
      <c r="CP81" s="52">
        <f t="shared" si="264"/>
        <v>0</v>
      </c>
      <c r="CQ81" s="52">
        <f t="shared" si="264"/>
        <v>0</v>
      </c>
      <c r="CR81" s="52">
        <f t="shared" si="264"/>
        <v>0</v>
      </c>
      <c r="CS81" s="52">
        <f t="shared" si="264"/>
        <v>0</v>
      </c>
      <c r="CT81" s="52">
        <f t="shared" si="264"/>
        <v>0</v>
      </c>
      <c r="CU81" s="52">
        <f t="shared" si="264"/>
        <v>0</v>
      </c>
      <c r="CV81" s="52">
        <f t="shared" si="264"/>
        <v>0</v>
      </c>
      <c r="CW81" s="52">
        <f t="shared" si="264"/>
        <v>0</v>
      </c>
      <c r="CX81" s="52">
        <f t="shared" ref="CX81:EC81" si="265">IFERROR(IF(CX$28="FALSE",0,$C$81/$C$8),0)</f>
        <v>0</v>
      </c>
      <c r="CY81" s="52">
        <f t="shared" si="265"/>
        <v>0</v>
      </c>
      <c r="CZ81" s="52">
        <f t="shared" si="265"/>
        <v>0</v>
      </c>
      <c r="DA81" s="52">
        <f t="shared" si="265"/>
        <v>0</v>
      </c>
      <c r="DB81" s="52">
        <f t="shared" si="265"/>
        <v>0</v>
      </c>
      <c r="DC81" s="52">
        <f t="shared" si="265"/>
        <v>0</v>
      </c>
      <c r="DD81" s="52">
        <f t="shared" si="265"/>
        <v>0</v>
      </c>
      <c r="DE81" s="52">
        <f t="shared" si="265"/>
        <v>0</v>
      </c>
      <c r="DF81" s="52">
        <f t="shared" si="265"/>
        <v>0</v>
      </c>
      <c r="DG81" s="52">
        <f t="shared" si="265"/>
        <v>0</v>
      </c>
      <c r="DH81" s="52">
        <f t="shared" si="265"/>
        <v>0</v>
      </c>
      <c r="DI81" s="52">
        <f t="shared" si="265"/>
        <v>0</v>
      </c>
      <c r="DJ81" s="52">
        <f t="shared" si="265"/>
        <v>0</v>
      </c>
      <c r="DK81" s="52">
        <f t="shared" si="265"/>
        <v>0</v>
      </c>
      <c r="DL81" s="52">
        <f t="shared" si="265"/>
        <v>0</v>
      </c>
      <c r="DM81" s="52">
        <f t="shared" si="265"/>
        <v>0</v>
      </c>
      <c r="DN81" s="52">
        <f t="shared" si="265"/>
        <v>0</v>
      </c>
      <c r="DO81" s="52">
        <f t="shared" si="265"/>
        <v>0</v>
      </c>
      <c r="DP81" s="52">
        <f t="shared" si="265"/>
        <v>0</v>
      </c>
      <c r="DQ81" s="52">
        <f t="shared" si="265"/>
        <v>0</v>
      </c>
      <c r="DR81" s="52">
        <f t="shared" si="265"/>
        <v>0</v>
      </c>
      <c r="DS81" s="52">
        <f t="shared" si="265"/>
        <v>0</v>
      </c>
      <c r="DT81" s="52">
        <f t="shared" si="265"/>
        <v>0</v>
      </c>
      <c r="DU81" s="52">
        <f t="shared" si="265"/>
        <v>0</v>
      </c>
      <c r="DV81" s="52">
        <f t="shared" si="265"/>
        <v>0</v>
      </c>
      <c r="DW81" s="52">
        <f t="shared" si="265"/>
        <v>0</v>
      </c>
      <c r="DX81" s="52">
        <f t="shared" si="265"/>
        <v>0</v>
      </c>
      <c r="DY81" s="52">
        <f t="shared" si="265"/>
        <v>0</v>
      </c>
      <c r="DZ81" s="52">
        <f t="shared" si="265"/>
        <v>0</v>
      </c>
      <c r="EA81" s="52">
        <f t="shared" si="265"/>
        <v>0</v>
      </c>
      <c r="EB81" s="52">
        <f t="shared" si="265"/>
        <v>0</v>
      </c>
      <c r="EC81" s="52">
        <f t="shared" si="265"/>
        <v>0</v>
      </c>
      <c r="ED81" s="52">
        <f t="shared" ref="ED81:FD81" si="266">IFERROR(IF(ED$28="FALSE",0,$C$81/$C$8),0)</f>
        <v>0</v>
      </c>
      <c r="EE81" s="52">
        <f t="shared" si="266"/>
        <v>0</v>
      </c>
      <c r="EF81" s="52">
        <f t="shared" si="266"/>
        <v>0</v>
      </c>
      <c r="EG81" s="52">
        <f t="shared" si="266"/>
        <v>0</v>
      </c>
      <c r="EH81" s="52">
        <f t="shared" si="266"/>
        <v>0</v>
      </c>
      <c r="EI81" s="52">
        <f t="shared" si="266"/>
        <v>0</v>
      </c>
      <c r="EJ81" s="52">
        <f t="shared" si="266"/>
        <v>0</v>
      </c>
      <c r="EK81" s="52">
        <f t="shared" si="266"/>
        <v>0</v>
      </c>
      <c r="EL81" s="52">
        <f t="shared" si="266"/>
        <v>0</v>
      </c>
      <c r="EM81" s="52">
        <f t="shared" si="266"/>
        <v>0</v>
      </c>
      <c r="EN81" s="52">
        <f t="shared" si="266"/>
        <v>0</v>
      </c>
      <c r="EO81" s="52">
        <f t="shared" si="266"/>
        <v>0</v>
      </c>
      <c r="EP81" s="52">
        <f t="shared" si="266"/>
        <v>0</v>
      </c>
      <c r="EQ81" s="52">
        <f t="shared" si="266"/>
        <v>0</v>
      </c>
      <c r="ER81" s="52">
        <f t="shared" si="266"/>
        <v>0</v>
      </c>
      <c r="ES81" s="52">
        <f t="shared" si="266"/>
        <v>0</v>
      </c>
      <c r="ET81" s="52">
        <f t="shared" si="266"/>
        <v>0</v>
      </c>
      <c r="EU81" s="52">
        <f t="shared" si="266"/>
        <v>0</v>
      </c>
      <c r="EV81" s="52">
        <f t="shared" si="266"/>
        <v>0</v>
      </c>
      <c r="EW81" s="52">
        <f t="shared" si="266"/>
        <v>0</v>
      </c>
      <c r="EX81" s="52">
        <f t="shared" si="266"/>
        <v>0</v>
      </c>
      <c r="EY81" s="52">
        <f t="shared" si="266"/>
        <v>0</v>
      </c>
      <c r="EZ81" s="52">
        <f t="shared" si="266"/>
        <v>0</v>
      </c>
      <c r="FA81" s="52">
        <f t="shared" si="266"/>
        <v>0</v>
      </c>
      <c r="FB81" s="52">
        <f t="shared" si="266"/>
        <v>0</v>
      </c>
      <c r="FC81" s="52">
        <f t="shared" si="266"/>
        <v>0</v>
      </c>
      <c r="FD81" s="52">
        <f t="shared" si="266"/>
        <v>0</v>
      </c>
    </row>
    <row r="82" spans="2:160">
      <c r="B82" s="51" t="s">
        <v>162</v>
      </c>
      <c r="C82" s="52">
        <f ca="1">IF(Startup!$C$3="Project",SUMIF(Startup!$C$7:$D$27,Overview!B82,Startup!$D$7:$D$27),(SUMIF(Startup!$C$7:$D$27,Overview!B82,Startup!$D$7:$D$27)*Startup!$C$4))+IF(Pilot!$C$3="Project",SUMIF(Pilot!$C$7:$D$27,Overview!B82,Pilot!$D$7:$D$27),(SUMIF(Pilot!$C$7:$D$27,Overview!B82,Pilot!$D$7:$D$27)*Pilot!$C$4))+IF(PMO!$C$3="Project",SUMIF(PMO!$C$7:$D$27,Overview!B82,PMO!$D$7:$D$27),(SUMIF(PMO!$C$7:$D$27,Overview!B82,PMO!$D$7:$D$27)*PMO!$C$4))+IF('Design &amp; Fulfillment'!$C$3="Project",SUMIF('Design &amp; Fulfillment'!$C$7:$D$27,Overview!B82,'Design &amp; Fulfillment'!$D$7:$D$27),(SUMIF('Design &amp; Fulfillment'!$C$7:$D$27,Overview!B82,'Design &amp; Fulfillment'!$D$7:$D$27)*'Design &amp; Fulfillment'!$C$4))+IF(Workplace!$C$3="Project",SUMIF(Workplace!$C$7:$D$27,Overview!B82,Workplace!$D$7:$D$27),(SUMIF(Workplace!$C$7:$D$27,Overview!B82,Workplace!$D$7:$D$27)*Workplace!$C$4))+IF(Integration!$C$3="Project",SUMIF(Integration!$C$7:$D$27,Overview!B82,Integration!$D$7:$D$27),(SUMIF(Integration!$C$7:$D$27,Overview!B82,Integration!$D$7:$D$27)*Integration!$C$4))+IF(Logistics!$C$3="Project",SUMIF(Logistics!$C$7:$D$27,Overview!B82,Logistics!$D$7:$D$27),(SUMIF(Logistics!$C$7:$D$27,Overview!B82,Logistics!$D$7:$D$27)*Logistics!$C$4))+IF('Service Desk'!$C$3="Project",SUMIF('Service Desk'!$C$7:$D$27,Overview!B82,'Service Desk'!$D$7:$D$27),(SUMIF('Service Desk'!$C$7:$D$27,Overview!B82,'Service Desk'!$D$7:$D$27)*'Service Desk'!$C$4))+IF('Pro Services'!$C$3="Project",SUMIF('Pro Services'!$C$7:$D$27,Overview!B82,'Pro Services'!$D$7:$D$27),(SUMIF('Pro Services'!$C$7:$D$27,Overview!B82,'Pro Services'!$D$7:$D$27)*'Pro Services'!$C$4))</f>
        <v>0</v>
      </c>
      <c r="D82" s="53">
        <f ca="1">IF(Startup!$C$3="Project",SUMIF(Startup!$C$7:$H$27,Overview!B82,Startup!$H$7:$H$27),(SUMIF(Startup!$C$7:$H$27,Overview!B82,Startup!$H$7:$H$27)*Startup!$C$4))+IF(Pilot!$C$3="Project",SUMIF(Pilot!$C$7:$H$27,Overview!B82,Pilot!$H$7:$H$27),(SUMIF(Pilot!$C$7:$H$27,Overview!B82,Pilot!$H$7:$H$27)*Pilot!$C$4))+IF(PMO!$C$3="Project",SUMIF(PMO!$C$7:$H$27,Overview!B82,PMO!$H$7:$H$27),(SUMIF(PMO!$C$7:$H$27,Overview!B82,PMO!$H$7:$H$27)*PMO!$C$4))+IF('Design &amp; Fulfillment'!$C$3="Project",SUMIF('Design &amp; Fulfillment'!$C$7:$H$27,Overview!B82,'Design &amp; Fulfillment'!$H$7:$H$27),(SUMIF('Design &amp; Fulfillment'!$C$7:$H$27,Overview!B82,'Design &amp; Fulfillment'!$H$7:$H$27)*'Design &amp; Fulfillment'!$C$4))+IF(Workplace!$C$3="Project",SUMIF(Workplace!$C$7:$H$27,Overview!B82,Workplace!$H$7:$H$27),(SUMIF(Workplace!$C$7:$H$27,Overview!B82,Workplace!$H$7:$H$27)*Workplace!$C$4))+IF(Integration!$C$3="Project",SUMIF(Integration!$C$7:$H$27,Overview!B82,Integration!$H$7:$H$27),(SUMIF(Integration!$C$7:$H$27,Overview!B82,Integration!$H$7:$H$27)*Integration!$C$4))+IF(Logistics!$C$3="Project",SUMIF(Logistics!$C$7:$H$27,Overview!B82,Logistics!$H$7:$H$27),(SUMIF(Logistics!$C$7:$H$27,Overview!B82,Logistics!$H$7:$H$27)*Logistics!$C$4))+IF('Service Desk'!$C$3="Project",SUMIF('Service Desk'!$C$7:$H$27,Overview!B82,'Service Desk'!$H$7:$H$27),(SUMIF('Service Desk'!$C$7:$H$27,Overview!B82,'Service Desk'!$H$7:$H$27)*'Service Desk'!$C$4))+IF('Pro Services'!$C$3="Project",SUMIF('Pro Services'!$C$7:$H$27,Overview!B82,'Pro Services'!$H$7:$H$27),(SUMIF('Pro Services'!$C$7:$H$27,Overview!B82,'Pro Services'!$H$7:$H$27)*'Pro Services'!$C$4))</f>
        <v>0</v>
      </c>
      <c r="E82" s="52">
        <f t="shared" ca="1" si="120"/>
        <v>0</v>
      </c>
      <c r="F82" s="52">
        <f t="shared" ref="F82:AK82" si="267">IFERROR(IF(F$28="FALSE",0,$C$82/$C$8),0)</f>
        <v>0</v>
      </c>
      <c r="G82" s="52">
        <f t="shared" si="267"/>
        <v>0</v>
      </c>
      <c r="H82" s="52">
        <f t="shared" si="267"/>
        <v>0</v>
      </c>
      <c r="I82" s="52">
        <f t="shared" si="267"/>
        <v>0</v>
      </c>
      <c r="J82" s="52">
        <f t="shared" si="267"/>
        <v>0</v>
      </c>
      <c r="K82" s="52">
        <f t="shared" si="267"/>
        <v>0</v>
      </c>
      <c r="L82" s="52">
        <f t="shared" si="267"/>
        <v>0</v>
      </c>
      <c r="M82" s="52">
        <f t="shared" si="267"/>
        <v>0</v>
      </c>
      <c r="N82" s="52">
        <f t="shared" si="267"/>
        <v>0</v>
      </c>
      <c r="O82" s="52">
        <f t="shared" si="267"/>
        <v>0</v>
      </c>
      <c r="P82" s="52">
        <f t="shared" si="267"/>
        <v>0</v>
      </c>
      <c r="Q82" s="52">
        <f t="shared" si="267"/>
        <v>0</v>
      </c>
      <c r="R82" s="52">
        <f t="shared" si="267"/>
        <v>0</v>
      </c>
      <c r="S82" s="52">
        <f t="shared" si="267"/>
        <v>0</v>
      </c>
      <c r="T82" s="52">
        <f t="shared" si="267"/>
        <v>0</v>
      </c>
      <c r="U82" s="52">
        <f t="shared" si="267"/>
        <v>0</v>
      </c>
      <c r="V82" s="52">
        <f t="shared" si="267"/>
        <v>0</v>
      </c>
      <c r="W82" s="52">
        <f t="shared" si="267"/>
        <v>0</v>
      </c>
      <c r="X82" s="52">
        <f t="shared" si="267"/>
        <v>0</v>
      </c>
      <c r="Y82" s="52">
        <f t="shared" si="267"/>
        <v>0</v>
      </c>
      <c r="Z82" s="52">
        <f t="shared" si="267"/>
        <v>0</v>
      </c>
      <c r="AA82" s="52">
        <f t="shared" si="267"/>
        <v>0</v>
      </c>
      <c r="AB82" s="52">
        <f t="shared" si="267"/>
        <v>0</v>
      </c>
      <c r="AC82" s="52">
        <f t="shared" si="267"/>
        <v>0</v>
      </c>
      <c r="AD82" s="52">
        <f t="shared" si="267"/>
        <v>0</v>
      </c>
      <c r="AE82" s="52">
        <f t="shared" si="267"/>
        <v>0</v>
      </c>
      <c r="AF82" s="52">
        <f t="shared" si="267"/>
        <v>0</v>
      </c>
      <c r="AG82" s="52">
        <f t="shared" si="267"/>
        <v>0</v>
      </c>
      <c r="AH82" s="52">
        <f t="shared" si="267"/>
        <v>0</v>
      </c>
      <c r="AI82" s="52">
        <f t="shared" si="267"/>
        <v>0</v>
      </c>
      <c r="AJ82" s="52">
        <f t="shared" si="267"/>
        <v>0</v>
      </c>
      <c r="AK82" s="52">
        <f t="shared" si="267"/>
        <v>0</v>
      </c>
      <c r="AL82" s="52">
        <f t="shared" ref="AL82:BQ82" si="268">IFERROR(IF(AL$28="FALSE",0,$C$82/$C$8),0)</f>
        <v>0</v>
      </c>
      <c r="AM82" s="52">
        <f t="shared" si="268"/>
        <v>0</v>
      </c>
      <c r="AN82" s="52">
        <f t="shared" si="268"/>
        <v>0</v>
      </c>
      <c r="AO82" s="52">
        <f t="shared" si="268"/>
        <v>0</v>
      </c>
      <c r="AP82" s="52">
        <f t="shared" si="268"/>
        <v>0</v>
      </c>
      <c r="AQ82" s="52">
        <f t="shared" si="268"/>
        <v>0</v>
      </c>
      <c r="AR82" s="52">
        <f t="shared" si="268"/>
        <v>0</v>
      </c>
      <c r="AS82" s="52">
        <f t="shared" si="268"/>
        <v>0</v>
      </c>
      <c r="AT82" s="52">
        <f t="shared" si="268"/>
        <v>0</v>
      </c>
      <c r="AU82" s="52">
        <f t="shared" si="268"/>
        <v>0</v>
      </c>
      <c r="AV82" s="52">
        <f t="shared" si="268"/>
        <v>0</v>
      </c>
      <c r="AW82" s="52">
        <f t="shared" si="268"/>
        <v>0</v>
      </c>
      <c r="AX82" s="52">
        <f t="shared" si="268"/>
        <v>0</v>
      </c>
      <c r="AY82" s="52">
        <f t="shared" si="268"/>
        <v>0</v>
      </c>
      <c r="AZ82" s="52">
        <f t="shared" si="268"/>
        <v>0</v>
      </c>
      <c r="BA82" s="52">
        <f t="shared" si="268"/>
        <v>0</v>
      </c>
      <c r="BB82" s="52">
        <f t="shared" si="268"/>
        <v>0</v>
      </c>
      <c r="BC82" s="52">
        <f t="shared" si="268"/>
        <v>0</v>
      </c>
      <c r="BD82" s="52">
        <f t="shared" si="268"/>
        <v>0</v>
      </c>
      <c r="BE82" s="52">
        <f t="shared" si="268"/>
        <v>0</v>
      </c>
      <c r="BF82" s="52">
        <f t="shared" si="268"/>
        <v>0</v>
      </c>
      <c r="BG82" s="52">
        <f t="shared" si="268"/>
        <v>0</v>
      </c>
      <c r="BH82" s="52">
        <f t="shared" si="268"/>
        <v>0</v>
      </c>
      <c r="BI82" s="52">
        <f t="shared" si="268"/>
        <v>0</v>
      </c>
      <c r="BJ82" s="52">
        <f t="shared" si="268"/>
        <v>0</v>
      </c>
      <c r="BK82" s="52">
        <f t="shared" si="268"/>
        <v>0</v>
      </c>
      <c r="BL82" s="52">
        <f t="shared" si="268"/>
        <v>0</v>
      </c>
      <c r="BM82" s="52">
        <f t="shared" si="268"/>
        <v>0</v>
      </c>
      <c r="BN82" s="52">
        <f t="shared" si="268"/>
        <v>0</v>
      </c>
      <c r="BO82" s="52">
        <f t="shared" si="268"/>
        <v>0</v>
      </c>
      <c r="BP82" s="52">
        <f t="shared" si="268"/>
        <v>0</v>
      </c>
      <c r="BQ82" s="52">
        <f t="shared" si="268"/>
        <v>0</v>
      </c>
      <c r="BR82" s="52">
        <f t="shared" ref="BR82:CW82" si="269">IFERROR(IF(BR$28="FALSE",0,$C$82/$C$8),0)</f>
        <v>0</v>
      </c>
      <c r="BS82" s="52">
        <f t="shared" si="269"/>
        <v>0</v>
      </c>
      <c r="BT82" s="52">
        <f t="shared" si="269"/>
        <v>0</v>
      </c>
      <c r="BU82" s="52">
        <f t="shared" si="269"/>
        <v>0</v>
      </c>
      <c r="BV82" s="52">
        <f t="shared" si="269"/>
        <v>0</v>
      </c>
      <c r="BW82" s="52">
        <f t="shared" si="269"/>
        <v>0</v>
      </c>
      <c r="BX82" s="52">
        <f t="shared" si="269"/>
        <v>0</v>
      </c>
      <c r="BY82" s="52">
        <f t="shared" si="269"/>
        <v>0</v>
      </c>
      <c r="BZ82" s="52">
        <f t="shared" si="269"/>
        <v>0</v>
      </c>
      <c r="CA82" s="52">
        <f t="shared" si="269"/>
        <v>0</v>
      </c>
      <c r="CB82" s="52">
        <f t="shared" si="269"/>
        <v>0</v>
      </c>
      <c r="CC82" s="52">
        <f t="shared" si="269"/>
        <v>0</v>
      </c>
      <c r="CD82" s="52">
        <f t="shared" si="269"/>
        <v>0</v>
      </c>
      <c r="CE82" s="52">
        <f t="shared" si="269"/>
        <v>0</v>
      </c>
      <c r="CF82" s="52">
        <f t="shared" si="269"/>
        <v>0</v>
      </c>
      <c r="CG82" s="52">
        <f t="shared" si="269"/>
        <v>0</v>
      </c>
      <c r="CH82" s="52">
        <f t="shared" si="269"/>
        <v>0</v>
      </c>
      <c r="CI82" s="52">
        <f t="shared" si="269"/>
        <v>0</v>
      </c>
      <c r="CJ82" s="52">
        <f t="shared" si="269"/>
        <v>0</v>
      </c>
      <c r="CK82" s="52">
        <f t="shared" si="269"/>
        <v>0</v>
      </c>
      <c r="CL82" s="52">
        <f t="shared" si="269"/>
        <v>0</v>
      </c>
      <c r="CM82" s="52">
        <f t="shared" si="269"/>
        <v>0</v>
      </c>
      <c r="CN82" s="52">
        <f t="shared" si="269"/>
        <v>0</v>
      </c>
      <c r="CO82" s="52">
        <f t="shared" si="269"/>
        <v>0</v>
      </c>
      <c r="CP82" s="52">
        <f t="shared" si="269"/>
        <v>0</v>
      </c>
      <c r="CQ82" s="52">
        <f t="shared" si="269"/>
        <v>0</v>
      </c>
      <c r="CR82" s="52">
        <f t="shared" si="269"/>
        <v>0</v>
      </c>
      <c r="CS82" s="52">
        <f t="shared" si="269"/>
        <v>0</v>
      </c>
      <c r="CT82" s="52">
        <f t="shared" si="269"/>
        <v>0</v>
      </c>
      <c r="CU82" s="52">
        <f t="shared" si="269"/>
        <v>0</v>
      </c>
      <c r="CV82" s="52">
        <f t="shared" si="269"/>
        <v>0</v>
      </c>
      <c r="CW82" s="52">
        <f t="shared" si="269"/>
        <v>0</v>
      </c>
      <c r="CX82" s="52">
        <f t="shared" ref="CX82:EC82" si="270">IFERROR(IF(CX$28="FALSE",0,$C$82/$C$8),0)</f>
        <v>0</v>
      </c>
      <c r="CY82" s="52">
        <f t="shared" si="270"/>
        <v>0</v>
      </c>
      <c r="CZ82" s="52">
        <f t="shared" si="270"/>
        <v>0</v>
      </c>
      <c r="DA82" s="52">
        <f t="shared" si="270"/>
        <v>0</v>
      </c>
      <c r="DB82" s="52">
        <f t="shared" si="270"/>
        <v>0</v>
      </c>
      <c r="DC82" s="52">
        <f t="shared" si="270"/>
        <v>0</v>
      </c>
      <c r="DD82" s="52">
        <f t="shared" si="270"/>
        <v>0</v>
      </c>
      <c r="DE82" s="52">
        <f t="shared" si="270"/>
        <v>0</v>
      </c>
      <c r="DF82" s="52">
        <f t="shared" si="270"/>
        <v>0</v>
      </c>
      <c r="DG82" s="52">
        <f t="shared" si="270"/>
        <v>0</v>
      </c>
      <c r="DH82" s="52">
        <f t="shared" si="270"/>
        <v>0</v>
      </c>
      <c r="DI82" s="52">
        <f t="shared" si="270"/>
        <v>0</v>
      </c>
      <c r="DJ82" s="52">
        <f t="shared" si="270"/>
        <v>0</v>
      </c>
      <c r="DK82" s="52">
        <f t="shared" si="270"/>
        <v>0</v>
      </c>
      <c r="DL82" s="52">
        <f t="shared" si="270"/>
        <v>0</v>
      </c>
      <c r="DM82" s="52">
        <f t="shared" si="270"/>
        <v>0</v>
      </c>
      <c r="DN82" s="52">
        <f t="shared" si="270"/>
        <v>0</v>
      </c>
      <c r="DO82" s="52">
        <f t="shared" si="270"/>
        <v>0</v>
      </c>
      <c r="DP82" s="52">
        <f t="shared" si="270"/>
        <v>0</v>
      </c>
      <c r="DQ82" s="52">
        <f t="shared" si="270"/>
        <v>0</v>
      </c>
      <c r="DR82" s="52">
        <f t="shared" si="270"/>
        <v>0</v>
      </c>
      <c r="DS82" s="52">
        <f t="shared" si="270"/>
        <v>0</v>
      </c>
      <c r="DT82" s="52">
        <f t="shared" si="270"/>
        <v>0</v>
      </c>
      <c r="DU82" s="52">
        <f t="shared" si="270"/>
        <v>0</v>
      </c>
      <c r="DV82" s="52">
        <f t="shared" si="270"/>
        <v>0</v>
      </c>
      <c r="DW82" s="52">
        <f t="shared" si="270"/>
        <v>0</v>
      </c>
      <c r="DX82" s="52">
        <f t="shared" si="270"/>
        <v>0</v>
      </c>
      <c r="DY82" s="52">
        <f t="shared" si="270"/>
        <v>0</v>
      </c>
      <c r="DZ82" s="52">
        <f t="shared" si="270"/>
        <v>0</v>
      </c>
      <c r="EA82" s="52">
        <f t="shared" si="270"/>
        <v>0</v>
      </c>
      <c r="EB82" s="52">
        <f t="shared" si="270"/>
        <v>0</v>
      </c>
      <c r="EC82" s="52">
        <f t="shared" si="270"/>
        <v>0</v>
      </c>
      <c r="ED82" s="52">
        <f t="shared" ref="ED82:FD82" si="271">IFERROR(IF(ED$28="FALSE",0,$C$82/$C$8),0)</f>
        <v>0</v>
      </c>
      <c r="EE82" s="52">
        <f t="shared" si="271"/>
        <v>0</v>
      </c>
      <c r="EF82" s="52">
        <f t="shared" si="271"/>
        <v>0</v>
      </c>
      <c r="EG82" s="52">
        <f t="shared" si="271"/>
        <v>0</v>
      </c>
      <c r="EH82" s="52">
        <f t="shared" si="271"/>
        <v>0</v>
      </c>
      <c r="EI82" s="52">
        <f t="shared" si="271"/>
        <v>0</v>
      </c>
      <c r="EJ82" s="52">
        <f t="shared" si="271"/>
        <v>0</v>
      </c>
      <c r="EK82" s="52">
        <f t="shared" si="271"/>
        <v>0</v>
      </c>
      <c r="EL82" s="52">
        <f t="shared" si="271"/>
        <v>0</v>
      </c>
      <c r="EM82" s="52">
        <f t="shared" si="271"/>
        <v>0</v>
      </c>
      <c r="EN82" s="52">
        <f t="shared" si="271"/>
        <v>0</v>
      </c>
      <c r="EO82" s="52">
        <f t="shared" si="271"/>
        <v>0</v>
      </c>
      <c r="EP82" s="52">
        <f t="shared" si="271"/>
        <v>0</v>
      </c>
      <c r="EQ82" s="52">
        <f t="shared" si="271"/>
        <v>0</v>
      </c>
      <c r="ER82" s="52">
        <f t="shared" si="271"/>
        <v>0</v>
      </c>
      <c r="ES82" s="52">
        <f t="shared" si="271"/>
        <v>0</v>
      </c>
      <c r="ET82" s="52">
        <f t="shared" si="271"/>
        <v>0</v>
      </c>
      <c r="EU82" s="52">
        <f t="shared" si="271"/>
        <v>0</v>
      </c>
      <c r="EV82" s="52">
        <f t="shared" si="271"/>
        <v>0</v>
      </c>
      <c r="EW82" s="52">
        <f t="shared" si="271"/>
        <v>0</v>
      </c>
      <c r="EX82" s="52">
        <f t="shared" si="271"/>
        <v>0</v>
      </c>
      <c r="EY82" s="52">
        <f t="shared" si="271"/>
        <v>0</v>
      </c>
      <c r="EZ82" s="52">
        <f t="shared" si="271"/>
        <v>0</v>
      </c>
      <c r="FA82" s="52">
        <f t="shared" si="271"/>
        <v>0</v>
      </c>
      <c r="FB82" s="52">
        <f t="shared" si="271"/>
        <v>0</v>
      </c>
      <c r="FC82" s="52">
        <f t="shared" si="271"/>
        <v>0</v>
      </c>
      <c r="FD82" s="52">
        <f t="shared" si="271"/>
        <v>0</v>
      </c>
    </row>
    <row r="83" spans="2:160">
      <c r="B83" s="51" t="s">
        <v>163</v>
      </c>
      <c r="C83" s="52">
        <f ca="1">IF(Startup!$C$3="Project",SUMIF(Startup!$C$7:$D$27,Overview!B83,Startup!$D$7:$D$27),(SUMIF(Startup!$C$7:$D$27,Overview!B83,Startup!$D$7:$D$27)*Startup!$C$4))+IF(Pilot!$C$3="Project",SUMIF(Pilot!$C$7:$D$27,Overview!B83,Pilot!$D$7:$D$27),(SUMIF(Pilot!$C$7:$D$27,Overview!B83,Pilot!$D$7:$D$27)*Pilot!$C$4))+IF(PMO!$C$3="Project",SUMIF(PMO!$C$7:$D$27,Overview!B83,PMO!$D$7:$D$27),(SUMIF(PMO!$C$7:$D$27,Overview!B83,PMO!$D$7:$D$27)*PMO!$C$4))+IF('Design &amp; Fulfillment'!$C$3="Project",SUMIF('Design &amp; Fulfillment'!$C$7:$D$27,Overview!B83,'Design &amp; Fulfillment'!$D$7:$D$27),(SUMIF('Design &amp; Fulfillment'!$C$7:$D$27,Overview!B83,'Design &amp; Fulfillment'!$D$7:$D$27)*'Design &amp; Fulfillment'!$C$4))+IF(Workplace!$C$3="Project",SUMIF(Workplace!$C$7:$D$27,Overview!B83,Workplace!$D$7:$D$27),(SUMIF(Workplace!$C$7:$D$27,Overview!B83,Workplace!$D$7:$D$27)*Workplace!$C$4))+IF(Integration!$C$3="Project",SUMIF(Integration!$C$7:$D$27,Overview!B83,Integration!$D$7:$D$27),(SUMIF(Integration!$C$7:$D$27,Overview!B83,Integration!$D$7:$D$27)*Integration!$C$4))+IF(Logistics!$C$3="Project",SUMIF(Logistics!$C$7:$D$27,Overview!B83,Logistics!$D$7:$D$27),(SUMIF(Logistics!$C$7:$D$27,Overview!B83,Logistics!$D$7:$D$27)*Logistics!$C$4))+IF('Service Desk'!$C$3="Project",SUMIF('Service Desk'!$C$7:$D$27,Overview!B83,'Service Desk'!$D$7:$D$27),(SUMIF('Service Desk'!$C$7:$D$27,Overview!B83,'Service Desk'!$D$7:$D$27)*'Service Desk'!$C$4))+IF('Pro Services'!$C$3="Project",SUMIF('Pro Services'!$C$7:$D$27,Overview!B83,'Pro Services'!$D$7:$D$27),(SUMIF('Pro Services'!$C$7:$D$27,Overview!B83,'Pro Services'!$D$7:$D$27)*'Pro Services'!$C$4))</f>
        <v>0</v>
      </c>
      <c r="D83" s="53">
        <f ca="1">IF(Startup!$C$3="Project",SUMIF(Startup!$C$7:$H$27,Overview!B83,Startup!$H$7:$H$27),(SUMIF(Startup!$C$7:$H$27,Overview!B83,Startup!$H$7:$H$27)*Startup!$C$4))+IF(Pilot!$C$3="Project",SUMIF(Pilot!$C$7:$H$27,Overview!B83,Pilot!$H$7:$H$27),(SUMIF(Pilot!$C$7:$H$27,Overview!B83,Pilot!$H$7:$H$27)*Pilot!$C$4))+IF(PMO!$C$3="Project",SUMIF(PMO!$C$7:$H$27,Overview!B83,PMO!$H$7:$H$27),(SUMIF(PMO!$C$7:$H$27,Overview!B83,PMO!$H$7:$H$27)*PMO!$C$4))+IF('Design &amp; Fulfillment'!$C$3="Project",SUMIF('Design &amp; Fulfillment'!$C$7:$H$27,Overview!B83,'Design &amp; Fulfillment'!$H$7:$H$27),(SUMIF('Design &amp; Fulfillment'!$C$7:$H$27,Overview!B83,'Design &amp; Fulfillment'!$H$7:$H$27)*'Design &amp; Fulfillment'!$C$4))+IF(Workplace!$C$3="Project",SUMIF(Workplace!$C$7:$H$27,Overview!B83,Workplace!$H$7:$H$27),(SUMIF(Workplace!$C$7:$H$27,Overview!B83,Workplace!$H$7:$H$27)*Workplace!$C$4))+IF(Integration!$C$3="Project",SUMIF(Integration!$C$7:$H$27,Overview!B83,Integration!$H$7:$H$27),(SUMIF(Integration!$C$7:$H$27,Overview!B83,Integration!$H$7:$H$27)*Integration!$C$4))+IF(Logistics!$C$3="Project",SUMIF(Logistics!$C$7:$H$27,Overview!B83,Logistics!$H$7:$H$27),(SUMIF(Logistics!$C$7:$H$27,Overview!B83,Logistics!$H$7:$H$27)*Logistics!$C$4))+IF('Service Desk'!$C$3="Project",SUMIF('Service Desk'!$C$7:$H$27,Overview!B83,'Service Desk'!$H$7:$H$27),(SUMIF('Service Desk'!$C$7:$H$27,Overview!B83,'Service Desk'!$H$7:$H$27)*'Service Desk'!$C$4))+IF('Pro Services'!$C$3="Project",SUMIF('Pro Services'!$C$7:$H$27,Overview!B83,'Pro Services'!$H$7:$H$27),(SUMIF('Pro Services'!$C$7:$H$27,Overview!B83,'Pro Services'!$H$7:$H$27)*'Pro Services'!$C$4))</f>
        <v>0</v>
      </c>
      <c r="E83" s="52">
        <f t="shared" ca="1" si="120"/>
        <v>0</v>
      </c>
      <c r="F83" s="52">
        <f t="shared" ref="F83:AK83" si="272">IFERROR(IF(F$28="FALSE",0,$C$83/$C$8),0)</f>
        <v>0</v>
      </c>
      <c r="G83" s="52">
        <f t="shared" si="272"/>
        <v>0</v>
      </c>
      <c r="H83" s="52">
        <f t="shared" si="272"/>
        <v>0</v>
      </c>
      <c r="I83" s="52">
        <f t="shared" si="272"/>
        <v>0</v>
      </c>
      <c r="J83" s="52">
        <f t="shared" si="272"/>
        <v>0</v>
      </c>
      <c r="K83" s="52">
        <f t="shared" si="272"/>
        <v>0</v>
      </c>
      <c r="L83" s="52">
        <f t="shared" si="272"/>
        <v>0</v>
      </c>
      <c r="M83" s="52">
        <f t="shared" si="272"/>
        <v>0</v>
      </c>
      <c r="N83" s="52">
        <f t="shared" si="272"/>
        <v>0</v>
      </c>
      <c r="O83" s="52">
        <f t="shared" si="272"/>
        <v>0</v>
      </c>
      <c r="P83" s="52">
        <f t="shared" si="272"/>
        <v>0</v>
      </c>
      <c r="Q83" s="52">
        <f t="shared" si="272"/>
        <v>0</v>
      </c>
      <c r="R83" s="52">
        <f t="shared" si="272"/>
        <v>0</v>
      </c>
      <c r="S83" s="52">
        <f t="shared" si="272"/>
        <v>0</v>
      </c>
      <c r="T83" s="52">
        <f t="shared" si="272"/>
        <v>0</v>
      </c>
      <c r="U83" s="52">
        <f t="shared" si="272"/>
        <v>0</v>
      </c>
      <c r="V83" s="52">
        <f t="shared" si="272"/>
        <v>0</v>
      </c>
      <c r="W83" s="52">
        <f t="shared" si="272"/>
        <v>0</v>
      </c>
      <c r="X83" s="52">
        <f t="shared" si="272"/>
        <v>0</v>
      </c>
      <c r="Y83" s="52">
        <f t="shared" si="272"/>
        <v>0</v>
      </c>
      <c r="Z83" s="52">
        <f t="shared" si="272"/>
        <v>0</v>
      </c>
      <c r="AA83" s="52">
        <f t="shared" si="272"/>
        <v>0</v>
      </c>
      <c r="AB83" s="52">
        <f t="shared" si="272"/>
        <v>0</v>
      </c>
      <c r="AC83" s="52">
        <f t="shared" si="272"/>
        <v>0</v>
      </c>
      <c r="AD83" s="52">
        <f t="shared" si="272"/>
        <v>0</v>
      </c>
      <c r="AE83" s="52">
        <f t="shared" si="272"/>
        <v>0</v>
      </c>
      <c r="AF83" s="52">
        <f t="shared" si="272"/>
        <v>0</v>
      </c>
      <c r="AG83" s="52">
        <f t="shared" si="272"/>
        <v>0</v>
      </c>
      <c r="AH83" s="52">
        <f t="shared" si="272"/>
        <v>0</v>
      </c>
      <c r="AI83" s="52">
        <f t="shared" si="272"/>
        <v>0</v>
      </c>
      <c r="AJ83" s="52">
        <f t="shared" si="272"/>
        <v>0</v>
      </c>
      <c r="AK83" s="52">
        <f t="shared" si="272"/>
        <v>0</v>
      </c>
      <c r="AL83" s="52">
        <f t="shared" ref="AL83:BQ83" si="273">IFERROR(IF(AL$28="FALSE",0,$C$83/$C$8),0)</f>
        <v>0</v>
      </c>
      <c r="AM83" s="52">
        <f t="shared" si="273"/>
        <v>0</v>
      </c>
      <c r="AN83" s="52">
        <f t="shared" si="273"/>
        <v>0</v>
      </c>
      <c r="AO83" s="52">
        <f t="shared" si="273"/>
        <v>0</v>
      </c>
      <c r="AP83" s="52">
        <f t="shared" si="273"/>
        <v>0</v>
      </c>
      <c r="AQ83" s="52">
        <f t="shared" si="273"/>
        <v>0</v>
      </c>
      <c r="AR83" s="52">
        <f t="shared" si="273"/>
        <v>0</v>
      </c>
      <c r="AS83" s="52">
        <f t="shared" si="273"/>
        <v>0</v>
      </c>
      <c r="AT83" s="52">
        <f t="shared" si="273"/>
        <v>0</v>
      </c>
      <c r="AU83" s="52">
        <f t="shared" si="273"/>
        <v>0</v>
      </c>
      <c r="AV83" s="52">
        <f t="shared" si="273"/>
        <v>0</v>
      </c>
      <c r="AW83" s="52">
        <f t="shared" si="273"/>
        <v>0</v>
      </c>
      <c r="AX83" s="52">
        <f t="shared" si="273"/>
        <v>0</v>
      </c>
      <c r="AY83" s="52">
        <f t="shared" si="273"/>
        <v>0</v>
      </c>
      <c r="AZ83" s="52">
        <f t="shared" si="273"/>
        <v>0</v>
      </c>
      <c r="BA83" s="52">
        <f t="shared" si="273"/>
        <v>0</v>
      </c>
      <c r="BB83" s="52">
        <f t="shared" si="273"/>
        <v>0</v>
      </c>
      <c r="BC83" s="52">
        <f t="shared" si="273"/>
        <v>0</v>
      </c>
      <c r="BD83" s="52">
        <f t="shared" si="273"/>
        <v>0</v>
      </c>
      <c r="BE83" s="52">
        <f t="shared" si="273"/>
        <v>0</v>
      </c>
      <c r="BF83" s="52">
        <f t="shared" si="273"/>
        <v>0</v>
      </c>
      <c r="BG83" s="52">
        <f t="shared" si="273"/>
        <v>0</v>
      </c>
      <c r="BH83" s="52">
        <f t="shared" si="273"/>
        <v>0</v>
      </c>
      <c r="BI83" s="52">
        <f t="shared" si="273"/>
        <v>0</v>
      </c>
      <c r="BJ83" s="52">
        <f t="shared" si="273"/>
        <v>0</v>
      </c>
      <c r="BK83" s="52">
        <f t="shared" si="273"/>
        <v>0</v>
      </c>
      <c r="BL83" s="52">
        <f t="shared" si="273"/>
        <v>0</v>
      </c>
      <c r="BM83" s="52">
        <f t="shared" si="273"/>
        <v>0</v>
      </c>
      <c r="BN83" s="52">
        <f t="shared" si="273"/>
        <v>0</v>
      </c>
      <c r="BO83" s="52">
        <f t="shared" si="273"/>
        <v>0</v>
      </c>
      <c r="BP83" s="52">
        <f t="shared" si="273"/>
        <v>0</v>
      </c>
      <c r="BQ83" s="52">
        <f t="shared" si="273"/>
        <v>0</v>
      </c>
      <c r="BR83" s="52">
        <f t="shared" ref="BR83:CW83" si="274">IFERROR(IF(BR$28="FALSE",0,$C$83/$C$8),0)</f>
        <v>0</v>
      </c>
      <c r="BS83" s="52">
        <f t="shared" si="274"/>
        <v>0</v>
      </c>
      <c r="BT83" s="52">
        <f t="shared" si="274"/>
        <v>0</v>
      </c>
      <c r="BU83" s="52">
        <f t="shared" si="274"/>
        <v>0</v>
      </c>
      <c r="BV83" s="52">
        <f t="shared" si="274"/>
        <v>0</v>
      </c>
      <c r="BW83" s="52">
        <f t="shared" si="274"/>
        <v>0</v>
      </c>
      <c r="BX83" s="52">
        <f t="shared" si="274"/>
        <v>0</v>
      </c>
      <c r="BY83" s="52">
        <f t="shared" si="274"/>
        <v>0</v>
      </c>
      <c r="BZ83" s="52">
        <f t="shared" si="274"/>
        <v>0</v>
      </c>
      <c r="CA83" s="52">
        <f t="shared" si="274"/>
        <v>0</v>
      </c>
      <c r="CB83" s="52">
        <f t="shared" si="274"/>
        <v>0</v>
      </c>
      <c r="CC83" s="52">
        <f t="shared" si="274"/>
        <v>0</v>
      </c>
      <c r="CD83" s="52">
        <f t="shared" si="274"/>
        <v>0</v>
      </c>
      <c r="CE83" s="52">
        <f t="shared" si="274"/>
        <v>0</v>
      </c>
      <c r="CF83" s="52">
        <f t="shared" si="274"/>
        <v>0</v>
      </c>
      <c r="CG83" s="52">
        <f t="shared" si="274"/>
        <v>0</v>
      </c>
      <c r="CH83" s="52">
        <f t="shared" si="274"/>
        <v>0</v>
      </c>
      <c r="CI83" s="52">
        <f t="shared" si="274"/>
        <v>0</v>
      </c>
      <c r="CJ83" s="52">
        <f t="shared" si="274"/>
        <v>0</v>
      </c>
      <c r="CK83" s="52">
        <f t="shared" si="274"/>
        <v>0</v>
      </c>
      <c r="CL83" s="52">
        <f t="shared" si="274"/>
        <v>0</v>
      </c>
      <c r="CM83" s="52">
        <f t="shared" si="274"/>
        <v>0</v>
      </c>
      <c r="CN83" s="52">
        <f t="shared" si="274"/>
        <v>0</v>
      </c>
      <c r="CO83" s="52">
        <f t="shared" si="274"/>
        <v>0</v>
      </c>
      <c r="CP83" s="52">
        <f t="shared" si="274"/>
        <v>0</v>
      </c>
      <c r="CQ83" s="52">
        <f t="shared" si="274"/>
        <v>0</v>
      </c>
      <c r="CR83" s="52">
        <f t="shared" si="274"/>
        <v>0</v>
      </c>
      <c r="CS83" s="52">
        <f t="shared" si="274"/>
        <v>0</v>
      </c>
      <c r="CT83" s="52">
        <f t="shared" si="274"/>
        <v>0</v>
      </c>
      <c r="CU83" s="52">
        <f t="shared" si="274"/>
        <v>0</v>
      </c>
      <c r="CV83" s="52">
        <f t="shared" si="274"/>
        <v>0</v>
      </c>
      <c r="CW83" s="52">
        <f t="shared" si="274"/>
        <v>0</v>
      </c>
      <c r="CX83" s="52">
        <f t="shared" ref="CX83:EC83" si="275">IFERROR(IF(CX$28="FALSE",0,$C$83/$C$8),0)</f>
        <v>0</v>
      </c>
      <c r="CY83" s="52">
        <f t="shared" si="275"/>
        <v>0</v>
      </c>
      <c r="CZ83" s="52">
        <f t="shared" si="275"/>
        <v>0</v>
      </c>
      <c r="DA83" s="52">
        <f t="shared" si="275"/>
        <v>0</v>
      </c>
      <c r="DB83" s="52">
        <f t="shared" si="275"/>
        <v>0</v>
      </c>
      <c r="DC83" s="52">
        <f t="shared" si="275"/>
        <v>0</v>
      </c>
      <c r="DD83" s="52">
        <f t="shared" si="275"/>
        <v>0</v>
      </c>
      <c r="DE83" s="52">
        <f t="shared" si="275"/>
        <v>0</v>
      </c>
      <c r="DF83" s="52">
        <f t="shared" si="275"/>
        <v>0</v>
      </c>
      <c r="DG83" s="52">
        <f t="shared" si="275"/>
        <v>0</v>
      </c>
      <c r="DH83" s="52">
        <f t="shared" si="275"/>
        <v>0</v>
      </c>
      <c r="DI83" s="52">
        <f t="shared" si="275"/>
        <v>0</v>
      </c>
      <c r="DJ83" s="52">
        <f t="shared" si="275"/>
        <v>0</v>
      </c>
      <c r="DK83" s="52">
        <f t="shared" si="275"/>
        <v>0</v>
      </c>
      <c r="DL83" s="52">
        <f t="shared" si="275"/>
        <v>0</v>
      </c>
      <c r="DM83" s="52">
        <f t="shared" si="275"/>
        <v>0</v>
      </c>
      <c r="DN83" s="52">
        <f t="shared" si="275"/>
        <v>0</v>
      </c>
      <c r="DO83" s="52">
        <f t="shared" si="275"/>
        <v>0</v>
      </c>
      <c r="DP83" s="52">
        <f t="shared" si="275"/>
        <v>0</v>
      </c>
      <c r="DQ83" s="52">
        <f t="shared" si="275"/>
        <v>0</v>
      </c>
      <c r="DR83" s="52">
        <f t="shared" si="275"/>
        <v>0</v>
      </c>
      <c r="DS83" s="52">
        <f t="shared" si="275"/>
        <v>0</v>
      </c>
      <c r="DT83" s="52">
        <f t="shared" si="275"/>
        <v>0</v>
      </c>
      <c r="DU83" s="52">
        <f t="shared" si="275"/>
        <v>0</v>
      </c>
      <c r="DV83" s="52">
        <f t="shared" si="275"/>
        <v>0</v>
      </c>
      <c r="DW83" s="52">
        <f t="shared" si="275"/>
        <v>0</v>
      </c>
      <c r="DX83" s="52">
        <f t="shared" si="275"/>
        <v>0</v>
      </c>
      <c r="DY83" s="52">
        <f t="shared" si="275"/>
        <v>0</v>
      </c>
      <c r="DZ83" s="52">
        <f t="shared" si="275"/>
        <v>0</v>
      </c>
      <c r="EA83" s="52">
        <f t="shared" si="275"/>
        <v>0</v>
      </c>
      <c r="EB83" s="52">
        <f t="shared" si="275"/>
        <v>0</v>
      </c>
      <c r="EC83" s="52">
        <f t="shared" si="275"/>
        <v>0</v>
      </c>
      <c r="ED83" s="52">
        <f t="shared" ref="ED83:FD83" si="276">IFERROR(IF(ED$28="FALSE",0,$C$83/$C$8),0)</f>
        <v>0</v>
      </c>
      <c r="EE83" s="52">
        <f t="shared" si="276"/>
        <v>0</v>
      </c>
      <c r="EF83" s="52">
        <f t="shared" si="276"/>
        <v>0</v>
      </c>
      <c r="EG83" s="52">
        <f t="shared" si="276"/>
        <v>0</v>
      </c>
      <c r="EH83" s="52">
        <f t="shared" si="276"/>
        <v>0</v>
      </c>
      <c r="EI83" s="52">
        <f t="shared" si="276"/>
        <v>0</v>
      </c>
      <c r="EJ83" s="52">
        <f t="shared" si="276"/>
        <v>0</v>
      </c>
      <c r="EK83" s="52">
        <f t="shared" si="276"/>
        <v>0</v>
      </c>
      <c r="EL83" s="52">
        <f t="shared" si="276"/>
        <v>0</v>
      </c>
      <c r="EM83" s="52">
        <f t="shared" si="276"/>
        <v>0</v>
      </c>
      <c r="EN83" s="52">
        <f t="shared" si="276"/>
        <v>0</v>
      </c>
      <c r="EO83" s="52">
        <f t="shared" si="276"/>
        <v>0</v>
      </c>
      <c r="EP83" s="52">
        <f t="shared" si="276"/>
        <v>0</v>
      </c>
      <c r="EQ83" s="52">
        <f t="shared" si="276"/>
        <v>0</v>
      </c>
      <c r="ER83" s="52">
        <f t="shared" si="276"/>
        <v>0</v>
      </c>
      <c r="ES83" s="52">
        <f t="shared" si="276"/>
        <v>0</v>
      </c>
      <c r="ET83" s="52">
        <f t="shared" si="276"/>
        <v>0</v>
      </c>
      <c r="EU83" s="52">
        <f t="shared" si="276"/>
        <v>0</v>
      </c>
      <c r="EV83" s="52">
        <f t="shared" si="276"/>
        <v>0</v>
      </c>
      <c r="EW83" s="52">
        <f t="shared" si="276"/>
        <v>0</v>
      </c>
      <c r="EX83" s="52">
        <f t="shared" si="276"/>
        <v>0</v>
      </c>
      <c r="EY83" s="52">
        <f t="shared" si="276"/>
        <v>0</v>
      </c>
      <c r="EZ83" s="52">
        <f t="shared" si="276"/>
        <v>0</v>
      </c>
      <c r="FA83" s="52">
        <f t="shared" si="276"/>
        <v>0</v>
      </c>
      <c r="FB83" s="52">
        <f t="shared" si="276"/>
        <v>0</v>
      </c>
      <c r="FC83" s="52">
        <f t="shared" si="276"/>
        <v>0</v>
      </c>
      <c r="FD83" s="52">
        <f t="shared" si="276"/>
        <v>0</v>
      </c>
    </row>
    <row r="84" spans="2:160">
      <c r="B84" s="51" t="s">
        <v>164</v>
      </c>
      <c r="C84" s="52">
        <f ca="1">IF(Startup!$C$3="Project",SUMIF(Startup!$C$7:$D$27,Overview!B84,Startup!$D$7:$D$27),(SUMIF(Startup!$C$7:$D$27,Overview!B84,Startup!$D$7:$D$27)*Startup!$C$4))+IF(Pilot!$C$3="Project",SUMIF(Pilot!$C$7:$D$27,Overview!B84,Pilot!$D$7:$D$27),(SUMIF(Pilot!$C$7:$D$27,Overview!B84,Pilot!$D$7:$D$27)*Pilot!$C$4))+IF(PMO!$C$3="Project",SUMIF(PMO!$C$7:$D$27,Overview!B84,PMO!$D$7:$D$27),(SUMIF(PMO!$C$7:$D$27,Overview!B84,PMO!$D$7:$D$27)*PMO!$C$4))+IF('Design &amp; Fulfillment'!$C$3="Project",SUMIF('Design &amp; Fulfillment'!$C$7:$D$27,Overview!B84,'Design &amp; Fulfillment'!$D$7:$D$27),(SUMIF('Design &amp; Fulfillment'!$C$7:$D$27,Overview!B84,'Design &amp; Fulfillment'!$D$7:$D$27)*'Design &amp; Fulfillment'!$C$4))+IF(Workplace!$C$3="Project",SUMIF(Workplace!$C$7:$D$27,Overview!B84,Workplace!$D$7:$D$27),(SUMIF(Workplace!$C$7:$D$27,Overview!B84,Workplace!$D$7:$D$27)*Workplace!$C$4))+IF(Integration!$C$3="Project",SUMIF(Integration!$C$7:$D$27,Overview!B84,Integration!$D$7:$D$27),(SUMIF(Integration!$C$7:$D$27,Overview!B84,Integration!$D$7:$D$27)*Integration!$C$4))+IF(Logistics!$C$3="Project",SUMIF(Logistics!$C$7:$D$27,Overview!B84,Logistics!$D$7:$D$27),(SUMIF(Logistics!$C$7:$D$27,Overview!B84,Logistics!$D$7:$D$27)*Logistics!$C$4))+IF('Service Desk'!$C$3="Project",SUMIF('Service Desk'!$C$7:$D$27,Overview!B84,'Service Desk'!$D$7:$D$27),(SUMIF('Service Desk'!$C$7:$D$27,Overview!B84,'Service Desk'!$D$7:$D$27)*'Service Desk'!$C$4))+IF('Pro Services'!$C$3="Project",SUMIF('Pro Services'!$C$7:$D$27,Overview!B84,'Pro Services'!$D$7:$D$27),(SUMIF('Pro Services'!$C$7:$D$27,Overview!B84,'Pro Services'!$D$7:$D$27)*'Pro Services'!$C$4))</f>
        <v>0</v>
      </c>
      <c r="D84" s="53">
        <f ca="1">IF(Startup!$C$3="Project",SUMIF(Startup!$C$7:$H$27,Overview!B84,Startup!$H$7:$H$27),(SUMIF(Startup!$C$7:$H$27,Overview!B84,Startup!$H$7:$H$27)*Startup!$C$4))+IF(Pilot!$C$3="Project",SUMIF(Pilot!$C$7:$H$27,Overview!B84,Pilot!$H$7:$H$27),(SUMIF(Pilot!$C$7:$H$27,Overview!B84,Pilot!$H$7:$H$27)*Pilot!$C$4))+IF(PMO!$C$3="Project",SUMIF(PMO!$C$7:$H$27,Overview!B84,PMO!$H$7:$H$27),(SUMIF(PMO!$C$7:$H$27,Overview!B84,PMO!$H$7:$H$27)*PMO!$C$4))+IF('Design &amp; Fulfillment'!$C$3="Project",SUMIF('Design &amp; Fulfillment'!$C$7:$H$27,Overview!B84,'Design &amp; Fulfillment'!$H$7:$H$27),(SUMIF('Design &amp; Fulfillment'!$C$7:$H$27,Overview!B84,'Design &amp; Fulfillment'!$H$7:$H$27)*'Design &amp; Fulfillment'!$C$4))+IF(Workplace!$C$3="Project",SUMIF(Workplace!$C$7:$H$27,Overview!B84,Workplace!$H$7:$H$27),(SUMIF(Workplace!$C$7:$H$27,Overview!B84,Workplace!$H$7:$H$27)*Workplace!$C$4))+IF(Integration!$C$3="Project",SUMIF(Integration!$C$7:$H$27,Overview!B84,Integration!$H$7:$H$27),(SUMIF(Integration!$C$7:$H$27,Overview!B84,Integration!$H$7:$H$27)*Integration!$C$4))+IF(Logistics!$C$3="Project",SUMIF(Logistics!$C$7:$H$27,Overview!B84,Logistics!$H$7:$H$27),(SUMIF(Logistics!$C$7:$H$27,Overview!B84,Logistics!$H$7:$H$27)*Logistics!$C$4))+IF('Service Desk'!$C$3="Project",SUMIF('Service Desk'!$C$7:$H$27,Overview!B84,'Service Desk'!$H$7:$H$27),(SUMIF('Service Desk'!$C$7:$H$27,Overview!B84,'Service Desk'!$H$7:$H$27)*'Service Desk'!$C$4))+IF('Pro Services'!$C$3="Project",SUMIF('Pro Services'!$C$7:$H$27,Overview!B84,'Pro Services'!$H$7:$H$27),(SUMIF('Pro Services'!$C$7:$H$27,Overview!B84,'Pro Services'!$H$7:$H$27)*'Pro Services'!$C$4))</f>
        <v>0</v>
      </c>
      <c r="E84" s="52">
        <f t="shared" ca="1" si="120"/>
        <v>0</v>
      </c>
      <c r="F84" s="52">
        <f t="shared" ref="F84:AK84" si="277">IFERROR(IF(F$28="FALSE",0,$C$84/$C$8),0)</f>
        <v>0</v>
      </c>
      <c r="G84" s="52">
        <f t="shared" si="277"/>
        <v>0</v>
      </c>
      <c r="H84" s="52">
        <f t="shared" si="277"/>
        <v>0</v>
      </c>
      <c r="I84" s="52">
        <f t="shared" si="277"/>
        <v>0</v>
      </c>
      <c r="J84" s="52">
        <f t="shared" si="277"/>
        <v>0</v>
      </c>
      <c r="K84" s="52">
        <f t="shared" si="277"/>
        <v>0</v>
      </c>
      <c r="L84" s="52">
        <f t="shared" si="277"/>
        <v>0</v>
      </c>
      <c r="M84" s="52">
        <f t="shared" si="277"/>
        <v>0</v>
      </c>
      <c r="N84" s="52">
        <f t="shared" si="277"/>
        <v>0</v>
      </c>
      <c r="O84" s="52">
        <f t="shared" si="277"/>
        <v>0</v>
      </c>
      <c r="P84" s="52">
        <f t="shared" si="277"/>
        <v>0</v>
      </c>
      <c r="Q84" s="52">
        <f t="shared" si="277"/>
        <v>0</v>
      </c>
      <c r="R84" s="52">
        <f t="shared" si="277"/>
        <v>0</v>
      </c>
      <c r="S84" s="52">
        <f t="shared" si="277"/>
        <v>0</v>
      </c>
      <c r="T84" s="52">
        <f t="shared" si="277"/>
        <v>0</v>
      </c>
      <c r="U84" s="52">
        <f t="shared" si="277"/>
        <v>0</v>
      </c>
      <c r="V84" s="52">
        <f t="shared" si="277"/>
        <v>0</v>
      </c>
      <c r="W84" s="52">
        <f t="shared" si="277"/>
        <v>0</v>
      </c>
      <c r="X84" s="52">
        <f t="shared" si="277"/>
        <v>0</v>
      </c>
      <c r="Y84" s="52">
        <f t="shared" si="277"/>
        <v>0</v>
      </c>
      <c r="Z84" s="52">
        <f t="shared" si="277"/>
        <v>0</v>
      </c>
      <c r="AA84" s="52">
        <f t="shared" si="277"/>
        <v>0</v>
      </c>
      <c r="AB84" s="52">
        <f t="shared" si="277"/>
        <v>0</v>
      </c>
      <c r="AC84" s="52">
        <f t="shared" si="277"/>
        <v>0</v>
      </c>
      <c r="AD84" s="52">
        <f t="shared" si="277"/>
        <v>0</v>
      </c>
      <c r="AE84" s="52">
        <f t="shared" si="277"/>
        <v>0</v>
      </c>
      <c r="AF84" s="52">
        <f t="shared" si="277"/>
        <v>0</v>
      </c>
      <c r="AG84" s="52">
        <f t="shared" si="277"/>
        <v>0</v>
      </c>
      <c r="AH84" s="52">
        <f t="shared" si="277"/>
        <v>0</v>
      </c>
      <c r="AI84" s="52">
        <f t="shared" si="277"/>
        <v>0</v>
      </c>
      <c r="AJ84" s="52">
        <f t="shared" si="277"/>
        <v>0</v>
      </c>
      <c r="AK84" s="52">
        <f t="shared" si="277"/>
        <v>0</v>
      </c>
      <c r="AL84" s="52">
        <f t="shared" ref="AL84:BQ84" si="278">IFERROR(IF(AL$28="FALSE",0,$C$84/$C$8),0)</f>
        <v>0</v>
      </c>
      <c r="AM84" s="52">
        <f t="shared" si="278"/>
        <v>0</v>
      </c>
      <c r="AN84" s="52">
        <f t="shared" si="278"/>
        <v>0</v>
      </c>
      <c r="AO84" s="52">
        <f t="shared" si="278"/>
        <v>0</v>
      </c>
      <c r="AP84" s="52">
        <f t="shared" si="278"/>
        <v>0</v>
      </c>
      <c r="AQ84" s="52">
        <f t="shared" si="278"/>
        <v>0</v>
      </c>
      <c r="AR84" s="52">
        <f t="shared" si="278"/>
        <v>0</v>
      </c>
      <c r="AS84" s="52">
        <f t="shared" si="278"/>
        <v>0</v>
      </c>
      <c r="AT84" s="52">
        <f t="shared" si="278"/>
        <v>0</v>
      </c>
      <c r="AU84" s="52">
        <f t="shared" si="278"/>
        <v>0</v>
      </c>
      <c r="AV84" s="52">
        <f t="shared" si="278"/>
        <v>0</v>
      </c>
      <c r="AW84" s="52">
        <f t="shared" si="278"/>
        <v>0</v>
      </c>
      <c r="AX84" s="52">
        <f t="shared" si="278"/>
        <v>0</v>
      </c>
      <c r="AY84" s="52">
        <f t="shared" si="278"/>
        <v>0</v>
      </c>
      <c r="AZ84" s="52">
        <f t="shared" si="278"/>
        <v>0</v>
      </c>
      <c r="BA84" s="52">
        <f t="shared" si="278"/>
        <v>0</v>
      </c>
      <c r="BB84" s="52">
        <f t="shared" si="278"/>
        <v>0</v>
      </c>
      <c r="BC84" s="52">
        <f t="shared" si="278"/>
        <v>0</v>
      </c>
      <c r="BD84" s="52">
        <f t="shared" si="278"/>
        <v>0</v>
      </c>
      <c r="BE84" s="52">
        <f t="shared" si="278"/>
        <v>0</v>
      </c>
      <c r="BF84" s="52">
        <f t="shared" si="278"/>
        <v>0</v>
      </c>
      <c r="BG84" s="52">
        <f t="shared" si="278"/>
        <v>0</v>
      </c>
      <c r="BH84" s="52">
        <f t="shared" si="278"/>
        <v>0</v>
      </c>
      <c r="BI84" s="52">
        <f t="shared" si="278"/>
        <v>0</v>
      </c>
      <c r="BJ84" s="52">
        <f t="shared" si="278"/>
        <v>0</v>
      </c>
      <c r="BK84" s="52">
        <f t="shared" si="278"/>
        <v>0</v>
      </c>
      <c r="BL84" s="52">
        <f t="shared" si="278"/>
        <v>0</v>
      </c>
      <c r="BM84" s="52">
        <f t="shared" si="278"/>
        <v>0</v>
      </c>
      <c r="BN84" s="52">
        <f t="shared" si="278"/>
        <v>0</v>
      </c>
      <c r="BO84" s="52">
        <f t="shared" si="278"/>
        <v>0</v>
      </c>
      <c r="BP84" s="52">
        <f t="shared" si="278"/>
        <v>0</v>
      </c>
      <c r="BQ84" s="52">
        <f t="shared" si="278"/>
        <v>0</v>
      </c>
      <c r="BR84" s="52">
        <f t="shared" ref="BR84:CW84" si="279">IFERROR(IF(BR$28="FALSE",0,$C$84/$C$8),0)</f>
        <v>0</v>
      </c>
      <c r="BS84" s="52">
        <f t="shared" si="279"/>
        <v>0</v>
      </c>
      <c r="BT84" s="52">
        <f t="shared" si="279"/>
        <v>0</v>
      </c>
      <c r="BU84" s="52">
        <f t="shared" si="279"/>
        <v>0</v>
      </c>
      <c r="BV84" s="52">
        <f t="shared" si="279"/>
        <v>0</v>
      </c>
      <c r="BW84" s="52">
        <f t="shared" si="279"/>
        <v>0</v>
      </c>
      <c r="BX84" s="52">
        <f t="shared" si="279"/>
        <v>0</v>
      </c>
      <c r="BY84" s="52">
        <f t="shared" si="279"/>
        <v>0</v>
      </c>
      <c r="BZ84" s="52">
        <f t="shared" si="279"/>
        <v>0</v>
      </c>
      <c r="CA84" s="52">
        <f t="shared" si="279"/>
        <v>0</v>
      </c>
      <c r="CB84" s="52">
        <f t="shared" si="279"/>
        <v>0</v>
      </c>
      <c r="CC84" s="52">
        <f t="shared" si="279"/>
        <v>0</v>
      </c>
      <c r="CD84" s="52">
        <f t="shared" si="279"/>
        <v>0</v>
      </c>
      <c r="CE84" s="52">
        <f t="shared" si="279"/>
        <v>0</v>
      </c>
      <c r="CF84" s="52">
        <f t="shared" si="279"/>
        <v>0</v>
      </c>
      <c r="CG84" s="52">
        <f t="shared" si="279"/>
        <v>0</v>
      </c>
      <c r="CH84" s="52">
        <f t="shared" si="279"/>
        <v>0</v>
      </c>
      <c r="CI84" s="52">
        <f t="shared" si="279"/>
        <v>0</v>
      </c>
      <c r="CJ84" s="52">
        <f t="shared" si="279"/>
        <v>0</v>
      </c>
      <c r="CK84" s="52">
        <f t="shared" si="279"/>
        <v>0</v>
      </c>
      <c r="CL84" s="52">
        <f t="shared" si="279"/>
        <v>0</v>
      </c>
      <c r="CM84" s="52">
        <f t="shared" si="279"/>
        <v>0</v>
      </c>
      <c r="CN84" s="52">
        <f t="shared" si="279"/>
        <v>0</v>
      </c>
      <c r="CO84" s="52">
        <f t="shared" si="279"/>
        <v>0</v>
      </c>
      <c r="CP84" s="52">
        <f t="shared" si="279"/>
        <v>0</v>
      </c>
      <c r="CQ84" s="52">
        <f t="shared" si="279"/>
        <v>0</v>
      </c>
      <c r="CR84" s="52">
        <f t="shared" si="279"/>
        <v>0</v>
      </c>
      <c r="CS84" s="52">
        <f t="shared" si="279"/>
        <v>0</v>
      </c>
      <c r="CT84" s="52">
        <f t="shared" si="279"/>
        <v>0</v>
      </c>
      <c r="CU84" s="52">
        <f t="shared" si="279"/>
        <v>0</v>
      </c>
      <c r="CV84" s="52">
        <f t="shared" si="279"/>
        <v>0</v>
      </c>
      <c r="CW84" s="52">
        <f t="shared" si="279"/>
        <v>0</v>
      </c>
      <c r="CX84" s="52">
        <f t="shared" ref="CX84:EC84" si="280">IFERROR(IF(CX$28="FALSE",0,$C$84/$C$8),0)</f>
        <v>0</v>
      </c>
      <c r="CY84" s="52">
        <f t="shared" si="280"/>
        <v>0</v>
      </c>
      <c r="CZ84" s="52">
        <f t="shared" si="280"/>
        <v>0</v>
      </c>
      <c r="DA84" s="52">
        <f t="shared" si="280"/>
        <v>0</v>
      </c>
      <c r="DB84" s="52">
        <f t="shared" si="280"/>
        <v>0</v>
      </c>
      <c r="DC84" s="52">
        <f t="shared" si="280"/>
        <v>0</v>
      </c>
      <c r="DD84" s="52">
        <f t="shared" si="280"/>
        <v>0</v>
      </c>
      <c r="DE84" s="52">
        <f t="shared" si="280"/>
        <v>0</v>
      </c>
      <c r="DF84" s="52">
        <f t="shared" si="280"/>
        <v>0</v>
      </c>
      <c r="DG84" s="52">
        <f t="shared" si="280"/>
        <v>0</v>
      </c>
      <c r="DH84" s="52">
        <f t="shared" si="280"/>
        <v>0</v>
      </c>
      <c r="DI84" s="52">
        <f t="shared" si="280"/>
        <v>0</v>
      </c>
      <c r="DJ84" s="52">
        <f t="shared" si="280"/>
        <v>0</v>
      </c>
      <c r="DK84" s="52">
        <f t="shared" si="280"/>
        <v>0</v>
      </c>
      <c r="DL84" s="52">
        <f t="shared" si="280"/>
        <v>0</v>
      </c>
      <c r="DM84" s="52">
        <f t="shared" si="280"/>
        <v>0</v>
      </c>
      <c r="DN84" s="52">
        <f t="shared" si="280"/>
        <v>0</v>
      </c>
      <c r="DO84" s="52">
        <f t="shared" si="280"/>
        <v>0</v>
      </c>
      <c r="DP84" s="52">
        <f t="shared" si="280"/>
        <v>0</v>
      </c>
      <c r="DQ84" s="52">
        <f t="shared" si="280"/>
        <v>0</v>
      </c>
      <c r="DR84" s="52">
        <f t="shared" si="280"/>
        <v>0</v>
      </c>
      <c r="DS84" s="52">
        <f t="shared" si="280"/>
        <v>0</v>
      </c>
      <c r="DT84" s="52">
        <f t="shared" si="280"/>
        <v>0</v>
      </c>
      <c r="DU84" s="52">
        <f t="shared" si="280"/>
        <v>0</v>
      </c>
      <c r="DV84" s="52">
        <f t="shared" si="280"/>
        <v>0</v>
      </c>
      <c r="DW84" s="52">
        <f t="shared" si="280"/>
        <v>0</v>
      </c>
      <c r="DX84" s="52">
        <f t="shared" si="280"/>
        <v>0</v>
      </c>
      <c r="DY84" s="52">
        <f t="shared" si="280"/>
        <v>0</v>
      </c>
      <c r="DZ84" s="52">
        <f t="shared" si="280"/>
        <v>0</v>
      </c>
      <c r="EA84" s="52">
        <f t="shared" si="280"/>
        <v>0</v>
      </c>
      <c r="EB84" s="52">
        <f t="shared" si="280"/>
        <v>0</v>
      </c>
      <c r="EC84" s="52">
        <f t="shared" si="280"/>
        <v>0</v>
      </c>
      <c r="ED84" s="52">
        <f t="shared" ref="ED84:FD84" si="281">IFERROR(IF(ED$28="FALSE",0,$C$84/$C$8),0)</f>
        <v>0</v>
      </c>
      <c r="EE84" s="52">
        <f t="shared" si="281"/>
        <v>0</v>
      </c>
      <c r="EF84" s="52">
        <f t="shared" si="281"/>
        <v>0</v>
      </c>
      <c r="EG84" s="52">
        <f t="shared" si="281"/>
        <v>0</v>
      </c>
      <c r="EH84" s="52">
        <f t="shared" si="281"/>
        <v>0</v>
      </c>
      <c r="EI84" s="52">
        <f t="shared" si="281"/>
        <v>0</v>
      </c>
      <c r="EJ84" s="52">
        <f t="shared" si="281"/>
        <v>0</v>
      </c>
      <c r="EK84" s="52">
        <f t="shared" si="281"/>
        <v>0</v>
      </c>
      <c r="EL84" s="52">
        <f t="shared" si="281"/>
        <v>0</v>
      </c>
      <c r="EM84" s="52">
        <f t="shared" si="281"/>
        <v>0</v>
      </c>
      <c r="EN84" s="52">
        <f t="shared" si="281"/>
        <v>0</v>
      </c>
      <c r="EO84" s="52">
        <f t="shared" si="281"/>
        <v>0</v>
      </c>
      <c r="EP84" s="52">
        <f t="shared" si="281"/>
        <v>0</v>
      </c>
      <c r="EQ84" s="52">
        <f t="shared" si="281"/>
        <v>0</v>
      </c>
      <c r="ER84" s="52">
        <f t="shared" si="281"/>
        <v>0</v>
      </c>
      <c r="ES84" s="52">
        <f t="shared" si="281"/>
        <v>0</v>
      </c>
      <c r="ET84" s="52">
        <f t="shared" si="281"/>
        <v>0</v>
      </c>
      <c r="EU84" s="52">
        <f t="shared" si="281"/>
        <v>0</v>
      </c>
      <c r="EV84" s="52">
        <f t="shared" si="281"/>
        <v>0</v>
      </c>
      <c r="EW84" s="52">
        <f t="shared" si="281"/>
        <v>0</v>
      </c>
      <c r="EX84" s="52">
        <f t="shared" si="281"/>
        <v>0</v>
      </c>
      <c r="EY84" s="52">
        <f t="shared" si="281"/>
        <v>0</v>
      </c>
      <c r="EZ84" s="52">
        <f t="shared" si="281"/>
        <v>0</v>
      </c>
      <c r="FA84" s="52">
        <f t="shared" si="281"/>
        <v>0</v>
      </c>
      <c r="FB84" s="52">
        <f t="shared" si="281"/>
        <v>0</v>
      </c>
      <c r="FC84" s="52">
        <f t="shared" si="281"/>
        <v>0</v>
      </c>
      <c r="FD84" s="52">
        <f t="shared" si="281"/>
        <v>0</v>
      </c>
    </row>
    <row r="85" spans="2:160">
      <c r="B85" s="51" t="s">
        <v>165</v>
      </c>
      <c r="C85" s="52">
        <f ca="1">IF(Startup!$C$3="Project",SUMIF(Startup!$C$7:$D$27,Overview!B85,Startup!$D$7:$D$27),(SUMIF(Startup!$C$7:$D$27,Overview!B85,Startup!$D$7:$D$27)*Startup!$C$4))+IF(Pilot!$C$3="Project",SUMIF(Pilot!$C$7:$D$27,Overview!B85,Pilot!$D$7:$D$27),(SUMIF(Pilot!$C$7:$D$27,Overview!B85,Pilot!$D$7:$D$27)*Pilot!$C$4))+IF(PMO!$C$3="Project",SUMIF(PMO!$C$7:$D$27,Overview!B85,PMO!$D$7:$D$27),(SUMIF(PMO!$C$7:$D$27,Overview!B85,PMO!$D$7:$D$27)*PMO!$C$4))+IF('Design &amp; Fulfillment'!$C$3="Project",SUMIF('Design &amp; Fulfillment'!$C$7:$D$27,Overview!B85,'Design &amp; Fulfillment'!$D$7:$D$27),(SUMIF('Design &amp; Fulfillment'!$C$7:$D$27,Overview!B85,'Design &amp; Fulfillment'!$D$7:$D$27)*'Design &amp; Fulfillment'!$C$4))+IF(Workplace!$C$3="Project",SUMIF(Workplace!$C$7:$D$27,Overview!B85,Workplace!$D$7:$D$27),(SUMIF(Workplace!$C$7:$D$27,Overview!B85,Workplace!$D$7:$D$27)*Workplace!$C$4))+IF(Integration!$C$3="Project",SUMIF(Integration!$C$7:$D$27,Overview!B85,Integration!$D$7:$D$27),(SUMIF(Integration!$C$7:$D$27,Overview!B85,Integration!$D$7:$D$27)*Integration!$C$4))+IF(Logistics!$C$3="Project",SUMIF(Logistics!$C$7:$D$27,Overview!B85,Logistics!$D$7:$D$27),(SUMIF(Logistics!$C$7:$D$27,Overview!B85,Logistics!$D$7:$D$27)*Logistics!$C$4))+IF('Service Desk'!$C$3="Project",SUMIF('Service Desk'!$C$7:$D$27,Overview!B85,'Service Desk'!$D$7:$D$27),(SUMIF('Service Desk'!$C$7:$D$27,Overview!B85,'Service Desk'!$D$7:$D$27)*'Service Desk'!$C$4))+IF('Pro Services'!$C$3="Project",SUMIF('Pro Services'!$C$7:$D$27,Overview!B85,'Pro Services'!$D$7:$D$27),(SUMIF('Pro Services'!$C$7:$D$27,Overview!B85,'Pro Services'!$D$7:$D$27)*'Pro Services'!$C$4))</f>
        <v>0</v>
      </c>
      <c r="D85" s="53">
        <f ca="1">IF(Startup!$C$3="Project",SUMIF(Startup!$C$7:$H$27,Overview!B85,Startup!$H$7:$H$27),(SUMIF(Startup!$C$7:$H$27,Overview!B85,Startup!$H$7:$H$27)*Startup!$C$4))+IF(Pilot!$C$3="Project",SUMIF(Pilot!$C$7:$H$27,Overview!B85,Pilot!$H$7:$H$27),(SUMIF(Pilot!$C$7:$H$27,Overview!B85,Pilot!$H$7:$H$27)*Pilot!$C$4))+IF(PMO!$C$3="Project",SUMIF(PMO!$C$7:$H$27,Overview!B85,PMO!$H$7:$H$27),(SUMIF(PMO!$C$7:$H$27,Overview!B85,PMO!$H$7:$H$27)*PMO!$C$4))+IF('Design &amp; Fulfillment'!$C$3="Project",SUMIF('Design &amp; Fulfillment'!$C$7:$H$27,Overview!B85,'Design &amp; Fulfillment'!$H$7:$H$27),(SUMIF('Design &amp; Fulfillment'!$C$7:$H$27,Overview!B85,'Design &amp; Fulfillment'!$H$7:$H$27)*'Design &amp; Fulfillment'!$C$4))+IF(Workplace!$C$3="Project",SUMIF(Workplace!$C$7:$H$27,Overview!B85,Workplace!$H$7:$H$27),(SUMIF(Workplace!$C$7:$H$27,Overview!B85,Workplace!$H$7:$H$27)*Workplace!$C$4))+IF(Integration!$C$3="Project",SUMIF(Integration!$C$7:$H$27,Overview!B85,Integration!$H$7:$H$27),(SUMIF(Integration!$C$7:$H$27,Overview!B85,Integration!$H$7:$H$27)*Integration!$C$4))+IF(Logistics!$C$3="Project",SUMIF(Logistics!$C$7:$H$27,Overview!B85,Logistics!$H$7:$H$27),(SUMIF(Logistics!$C$7:$H$27,Overview!B85,Logistics!$H$7:$H$27)*Logistics!$C$4))+IF('Service Desk'!$C$3="Project",SUMIF('Service Desk'!$C$7:$H$27,Overview!B85,'Service Desk'!$H$7:$H$27),(SUMIF('Service Desk'!$C$7:$H$27,Overview!B85,'Service Desk'!$H$7:$H$27)*'Service Desk'!$C$4))+IF('Pro Services'!$C$3="Project",SUMIF('Pro Services'!$C$7:$H$27,Overview!B85,'Pro Services'!$H$7:$H$27),(SUMIF('Pro Services'!$C$7:$H$27,Overview!B85,'Pro Services'!$H$7:$H$27)*'Pro Services'!$C$4))</f>
        <v>0</v>
      </c>
      <c r="E85" s="52">
        <f t="shared" ca="1" si="120"/>
        <v>0</v>
      </c>
      <c r="F85" s="52">
        <f t="shared" ref="F85:AK85" si="282">IFERROR(IF(F$28="FALSE",0,$C$85/$C$8),0)</f>
        <v>0</v>
      </c>
      <c r="G85" s="52">
        <f t="shared" si="282"/>
        <v>0</v>
      </c>
      <c r="H85" s="52">
        <f t="shared" si="282"/>
        <v>0</v>
      </c>
      <c r="I85" s="52">
        <f t="shared" si="282"/>
        <v>0</v>
      </c>
      <c r="J85" s="52">
        <f t="shared" si="282"/>
        <v>0</v>
      </c>
      <c r="K85" s="52">
        <f t="shared" si="282"/>
        <v>0</v>
      </c>
      <c r="L85" s="52">
        <f t="shared" si="282"/>
        <v>0</v>
      </c>
      <c r="M85" s="52">
        <f t="shared" si="282"/>
        <v>0</v>
      </c>
      <c r="N85" s="52">
        <f t="shared" si="282"/>
        <v>0</v>
      </c>
      <c r="O85" s="52">
        <f t="shared" si="282"/>
        <v>0</v>
      </c>
      <c r="P85" s="52">
        <f t="shared" si="282"/>
        <v>0</v>
      </c>
      <c r="Q85" s="52">
        <f t="shared" si="282"/>
        <v>0</v>
      </c>
      <c r="R85" s="52">
        <f t="shared" si="282"/>
        <v>0</v>
      </c>
      <c r="S85" s="52">
        <f t="shared" si="282"/>
        <v>0</v>
      </c>
      <c r="T85" s="52">
        <f t="shared" si="282"/>
        <v>0</v>
      </c>
      <c r="U85" s="52">
        <f t="shared" si="282"/>
        <v>0</v>
      </c>
      <c r="V85" s="52">
        <f t="shared" si="282"/>
        <v>0</v>
      </c>
      <c r="W85" s="52">
        <f t="shared" si="282"/>
        <v>0</v>
      </c>
      <c r="X85" s="52">
        <f t="shared" si="282"/>
        <v>0</v>
      </c>
      <c r="Y85" s="52">
        <f t="shared" si="282"/>
        <v>0</v>
      </c>
      <c r="Z85" s="52">
        <f t="shared" si="282"/>
        <v>0</v>
      </c>
      <c r="AA85" s="52">
        <f t="shared" si="282"/>
        <v>0</v>
      </c>
      <c r="AB85" s="52">
        <f t="shared" si="282"/>
        <v>0</v>
      </c>
      <c r="AC85" s="52">
        <f t="shared" si="282"/>
        <v>0</v>
      </c>
      <c r="AD85" s="52">
        <f t="shared" si="282"/>
        <v>0</v>
      </c>
      <c r="AE85" s="52">
        <f t="shared" si="282"/>
        <v>0</v>
      </c>
      <c r="AF85" s="52">
        <f t="shared" si="282"/>
        <v>0</v>
      </c>
      <c r="AG85" s="52">
        <f t="shared" si="282"/>
        <v>0</v>
      </c>
      <c r="AH85" s="52">
        <f t="shared" si="282"/>
        <v>0</v>
      </c>
      <c r="AI85" s="52">
        <f t="shared" si="282"/>
        <v>0</v>
      </c>
      <c r="AJ85" s="52">
        <f t="shared" si="282"/>
        <v>0</v>
      </c>
      <c r="AK85" s="52">
        <f t="shared" si="282"/>
        <v>0</v>
      </c>
      <c r="AL85" s="52">
        <f t="shared" ref="AL85:BQ85" si="283">IFERROR(IF(AL$28="FALSE",0,$C$85/$C$8),0)</f>
        <v>0</v>
      </c>
      <c r="AM85" s="52">
        <f t="shared" si="283"/>
        <v>0</v>
      </c>
      <c r="AN85" s="52">
        <f t="shared" si="283"/>
        <v>0</v>
      </c>
      <c r="AO85" s="52">
        <f t="shared" si="283"/>
        <v>0</v>
      </c>
      <c r="AP85" s="52">
        <f t="shared" si="283"/>
        <v>0</v>
      </c>
      <c r="AQ85" s="52">
        <f t="shared" si="283"/>
        <v>0</v>
      </c>
      <c r="AR85" s="52">
        <f t="shared" si="283"/>
        <v>0</v>
      </c>
      <c r="AS85" s="52">
        <f t="shared" si="283"/>
        <v>0</v>
      </c>
      <c r="AT85" s="52">
        <f t="shared" si="283"/>
        <v>0</v>
      </c>
      <c r="AU85" s="52">
        <f t="shared" si="283"/>
        <v>0</v>
      </c>
      <c r="AV85" s="52">
        <f t="shared" si="283"/>
        <v>0</v>
      </c>
      <c r="AW85" s="52">
        <f t="shared" si="283"/>
        <v>0</v>
      </c>
      <c r="AX85" s="52">
        <f t="shared" si="283"/>
        <v>0</v>
      </c>
      <c r="AY85" s="52">
        <f t="shared" si="283"/>
        <v>0</v>
      </c>
      <c r="AZ85" s="52">
        <f t="shared" si="283"/>
        <v>0</v>
      </c>
      <c r="BA85" s="52">
        <f t="shared" si="283"/>
        <v>0</v>
      </c>
      <c r="BB85" s="52">
        <f t="shared" si="283"/>
        <v>0</v>
      </c>
      <c r="BC85" s="52">
        <f t="shared" si="283"/>
        <v>0</v>
      </c>
      <c r="BD85" s="52">
        <f t="shared" si="283"/>
        <v>0</v>
      </c>
      <c r="BE85" s="52">
        <f t="shared" si="283"/>
        <v>0</v>
      </c>
      <c r="BF85" s="52">
        <f t="shared" si="283"/>
        <v>0</v>
      </c>
      <c r="BG85" s="52">
        <f t="shared" si="283"/>
        <v>0</v>
      </c>
      <c r="BH85" s="52">
        <f t="shared" si="283"/>
        <v>0</v>
      </c>
      <c r="BI85" s="52">
        <f t="shared" si="283"/>
        <v>0</v>
      </c>
      <c r="BJ85" s="52">
        <f t="shared" si="283"/>
        <v>0</v>
      </c>
      <c r="BK85" s="52">
        <f t="shared" si="283"/>
        <v>0</v>
      </c>
      <c r="BL85" s="52">
        <f t="shared" si="283"/>
        <v>0</v>
      </c>
      <c r="BM85" s="52">
        <f t="shared" si="283"/>
        <v>0</v>
      </c>
      <c r="BN85" s="52">
        <f t="shared" si="283"/>
        <v>0</v>
      </c>
      <c r="BO85" s="52">
        <f t="shared" si="283"/>
        <v>0</v>
      </c>
      <c r="BP85" s="52">
        <f t="shared" si="283"/>
        <v>0</v>
      </c>
      <c r="BQ85" s="52">
        <f t="shared" si="283"/>
        <v>0</v>
      </c>
      <c r="BR85" s="52">
        <f t="shared" ref="BR85:CW85" si="284">IFERROR(IF(BR$28="FALSE",0,$C$85/$C$8),0)</f>
        <v>0</v>
      </c>
      <c r="BS85" s="52">
        <f t="shared" si="284"/>
        <v>0</v>
      </c>
      <c r="BT85" s="52">
        <f t="shared" si="284"/>
        <v>0</v>
      </c>
      <c r="BU85" s="52">
        <f t="shared" si="284"/>
        <v>0</v>
      </c>
      <c r="BV85" s="52">
        <f t="shared" si="284"/>
        <v>0</v>
      </c>
      <c r="BW85" s="52">
        <f t="shared" si="284"/>
        <v>0</v>
      </c>
      <c r="BX85" s="52">
        <f t="shared" si="284"/>
        <v>0</v>
      </c>
      <c r="BY85" s="52">
        <f t="shared" si="284"/>
        <v>0</v>
      </c>
      <c r="BZ85" s="52">
        <f t="shared" si="284"/>
        <v>0</v>
      </c>
      <c r="CA85" s="52">
        <f t="shared" si="284"/>
        <v>0</v>
      </c>
      <c r="CB85" s="52">
        <f t="shared" si="284"/>
        <v>0</v>
      </c>
      <c r="CC85" s="52">
        <f t="shared" si="284"/>
        <v>0</v>
      </c>
      <c r="CD85" s="52">
        <f t="shared" si="284"/>
        <v>0</v>
      </c>
      <c r="CE85" s="52">
        <f t="shared" si="284"/>
        <v>0</v>
      </c>
      <c r="CF85" s="52">
        <f t="shared" si="284"/>
        <v>0</v>
      </c>
      <c r="CG85" s="52">
        <f t="shared" si="284"/>
        <v>0</v>
      </c>
      <c r="CH85" s="52">
        <f t="shared" si="284"/>
        <v>0</v>
      </c>
      <c r="CI85" s="52">
        <f t="shared" si="284"/>
        <v>0</v>
      </c>
      <c r="CJ85" s="52">
        <f t="shared" si="284"/>
        <v>0</v>
      </c>
      <c r="CK85" s="52">
        <f t="shared" si="284"/>
        <v>0</v>
      </c>
      <c r="CL85" s="52">
        <f t="shared" si="284"/>
        <v>0</v>
      </c>
      <c r="CM85" s="52">
        <f t="shared" si="284"/>
        <v>0</v>
      </c>
      <c r="CN85" s="52">
        <f t="shared" si="284"/>
        <v>0</v>
      </c>
      <c r="CO85" s="52">
        <f t="shared" si="284"/>
        <v>0</v>
      </c>
      <c r="CP85" s="52">
        <f t="shared" si="284"/>
        <v>0</v>
      </c>
      <c r="CQ85" s="52">
        <f t="shared" si="284"/>
        <v>0</v>
      </c>
      <c r="CR85" s="52">
        <f t="shared" si="284"/>
        <v>0</v>
      </c>
      <c r="CS85" s="52">
        <f t="shared" si="284"/>
        <v>0</v>
      </c>
      <c r="CT85" s="52">
        <f t="shared" si="284"/>
        <v>0</v>
      </c>
      <c r="CU85" s="52">
        <f t="shared" si="284"/>
        <v>0</v>
      </c>
      <c r="CV85" s="52">
        <f t="shared" si="284"/>
        <v>0</v>
      </c>
      <c r="CW85" s="52">
        <f t="shared" si="284"/>
        <v>0</v>
      </c>
      <c r="CX85" s="52">
        <f t="shared" ref="CX85:EC85" si="285">IFERROR(IF(CX$28="FALSE",0,$C$85/$C$8),0)</f>
        <v>0</v>
      </c>
      <c r="CY85" s="52">
        <f t="shared" si="285"/>
        <v>0</v>
      </c>
      <c r="CZ85" s="52">
        <f t="shared" si="285"/>
        <v>0</v>
      </c>
      <c r="DA85" s="52">
        <f t="shared" si="285"/>
        <v>0</v>
      </c>
      <c r="DB85" s="52">
        <f t="shared" si="285"/>
        <v>0</v>
      </c>
      <c r="DC85" s="52">
        <f t="shared" si="285"/>
        <v>0</v>
      </c>
      <c r="DD85" s="52">
        <f t="shared" si="285"/>
        <v>0</v>
      </c>
      <c r="DE85" s="52">
        <f t="shared" si="285"/>
        <v>0</v>
      </c>
      <c r="DF85" s="52">
        <f t="shared" si="285"/>
        <v>0</v>
      </c>
      <c r="DG85" s="52">
        <f t="shared" si="285"/>
        <v>0</v>
      </c>
      <c r="DH85" s="52">
        <f t="shared" si="285"/>
        <v>0</v>
      </c>
      <c r="DI85" s="52">
        <f t="shared" si="285"/>
        <v>0</v>
      </c>
      <c r="DJ85" s="52">
        <f t="shared" si="285"/>
        <v>0</v>
      </c>
      <c r="DK85" s="52">
        <f t="shared" si="285"/>
        <v>0</v>
      </c>
      <c r="DL85" s="52">
        <f t="shared" si="285"/>
        <v>0</v>
      </c>
      <c r="DM85" s="52">
        <f t="shared" si="285"/>
        <v>0</v>
      </c>
      <c r="DN85" s="52">
        <f t="shared" si="285"/>
        <v>0</v>
      </c>
      <c r="DO85" s="52">
        <f t="shared" si="285"/>
        <v>0</v>
      </c>
      <c r="DP85" s="52">
        <f t="shared" si="285"/>
        <v>0</v>
      </c>
      <c r="DQ85" s="52">
        <f t="shared" si="285"/>
        <v>0</v>
      </c>
      <c r="DR85" s="52">
        <f t="shared" si="285"/>
        <v>0</v>
      </c>
      <c r="DS85" s="52">
        <f t="shared" si="285"/>
        <v>0</v>
      </c>
      <c r="DT85" s="52">
        <f t="shared" si="285"/>
        <v>0</v>
      </c>
      <c r="DU85" s="52">
        <f t="shared" si="285"/>
        <v>0</v>
      </c>
      <c r="DV85" s="52">
        <f t="shared" si="285"/>
        <v>0</v>
      </c>
      <c r="DW85" s="52">
        <f t="shared" si="285"/>
        <v>0</v>
      </c>
      <c r="DX85" s="52">
        <f t="shared" si="285"/>
        <v>0</v>
      </c>
      <c r="DY85" s="52">
        <f t="shared" si="285"/>
        <v>0</v>
      </c>
      <c r="DZ85" s="52">
        <f t="shared" si="285"/>
        <v>0</v>
      </c>
      <c r="EA85" s="52">
        <f t="shared" si="285"/>
        <v>0</v>
      </c>
      <c r="EB85" s="52">
        <f t="shared" si="285"/>
        <v>0</v>
      </c>
      <c r="EC85" s="52">
        <f t="shared" si="285"/>
        <v>0</v>
      </c>
      <c r="ED85" s="52">
        <f t="shared" ref="ED85:FD85" si="286">IFERROR(IF(ED$28="FALSE",0,$C$85/$C$8),0)</f>
        <v>0</v>
      </c>
      <c r="EE85" s="52">
        <f t="shared" si="286"/>
        <v>0</v>
      </c>
      <c r="EF85" s="52">
        <f t="shared" si="286"/>
        <v>0</v>
      </c>
      <c r="EG85" s="52">
        <f t="shared" si="286"/>
        <v>0</v>
      </c>
      <c r="EH85" s="52">
        <f t="shared" si="286"/>
        <v>0</v>
      </c>
      <c r="EI85" s="52">
        <f t="shared" si="286"/>
        <v>0</v>
      </c>
      <c r="EJ85" s="52">
        <f t="shared" si="286"/>
        <v>0</v>
      </c>
      <c r="EK85" s="52">
        <f t="shared" si="286"/>
        <v>0</v>
      </c>
      <c r="EL85" s="52">
        <f t="shared" si="286"/>
        <v>0</v>
      </c>
      <c r="EM85" s="52">
        <f t="shared" si="286"/>
        <v>0</v>
      </c>
      <c r="EN85" s="52">
        <f t="shared" si="286"/>
        <v>0</v>
      </c>
      <c r="EO85" s="52">
        <f t="shared" si="286"/>
        <v>0</v>
      </c>
      <c r="EP85" s="52">
        <f t="shared" si="286"/>
        <v>0</v>
      </c>
      <c r="EQ85" s="52">
        <f t="shared" si="286"/>
        <v>0</v>
      </c>
      <c r="ER85" s="52">
        <f t="shared" si="286"/>
        <v>0</v>
      </c>
      <c r="ES85" s="52">
        <f t="shared" si="286"/>
        <v>0</v>
      </c>
      <c r="ET85" s="52">
        <f t="shared" si="286"/>
        <v>0</v>
      </c>
      <c r="EU85" s="52">
        <f t="shared" si="286"/>
        <v>0</v>
      </c>
      <c r="EV85" s="52">
        <f t="shared" si="286"/>
        <v>0</v>
      </c>
      <c r="EW85" s="52">
        <f t="shared" si="286"/>
        <v>0</v>
      </c>
      <c r="EX85" s="52">
        <f t="shared" si="286"/>
        <v>0</v>
      </c>
      <c r="EY85" s="52">
        <f t="shared" si="286"/>
        <v>0</v>
      </c>
      <c r="EZ85" s="52">
        <f t="shared" si="286"/>
        <v>0</v>
      </c>
      <c r="FA85" s="52">
        <f t="shared" si="286"/>
        <v>0</v>
      </c>
      <c r="FB85" s="52">
        <f t="shared" si="286"/>
        <v>0</v>
      </c>
      <c r="FC85" s="52">
        <f t="shared" si="286"/>
        <v>0</v>
      </c>
      <c r="FD85" s="52">
        <f t="shared" si="286"/>
        <v>0</v>
      </c>
    </row>
    <row r="86" spans="2:160">
      <c r="B86" s="51" t="s">
        <v>166</v>
      </c>
      <c r="C86" s="52">
        <f ca="1">IF(Startup!$C$3="Project",SUMIF(Startup!$C$7:$D$27,Overview!B86,Startup!$D$7:$D$27),(SUMIF(Startup!$C$7:$D$27,Overview!B86,Startup!$D$7:$D$27)*Startup!$C$4))+IF(Pilot!$C$3="Project",SUMIF(Pilot!$C$7:$D$27,Overview!B86,Pilot!$D$7:$D$27),(SUMIF(Pilot!$C$7:$D$27,Overview!B86,Pilot!$D$7:$D$27)*Pilot!$C$4))+IF(PMO!$C$3="Project",SUMIF(PMO!$C$7:$D$27,Overview!B86,PMO!$D$7:$D$27),(SUMIF(PMO!$C$7:$D$27,Overview!B86,PMO!$D$7:$D$27)*PMO!$C$4))+IF('Design &amp; Fulfillment'!$C$3="Project",SUMIF('Design &amp; Fulfillment'!$C$7:$D$27,Overview!B86,'Design &amp; Fulfillment'!$D$7:$D$27),(SUMIF('Design &amp; Fulfillment'!$C$7:$D$27,Overview!B86,'Design &amp; Fulfillment'!$D$7:$D$27)*'Design &amp; Fulfillment'!$C$4))+IF(Workplace!$C$3="Project",SUMIF(Workplace!$C$7:$D$27,Overview!B86,Workplace!$D$7:$D$27),(SUMIF(Workplace!$C$7:$D$27,Overview!B86,Workplace!$D$7:$D$27)*Workplace!$C$4))+IF(Integration!$C$3="Project",SUMIF(Integration!$C$7:$D$27,Overview!B86,Integration!$D$7:$D$27),(SUMIF(Integration!$C$7:$D$27,Overview!B86,Integration!$D$7:$D$27)*Integration!$C$4))+IF(Logistics!$C$3="Project",SUMIF(Logistics!$C$7:$D$27,Overview!B86,Logistics!$D$7:$D$27),(SUMIF(Logistics!$C$7:$D$27,Overview!B86,Logistics!$D$7:$D$27)*Logistics!$C$4))+IF('Service Desk'!$C$3="Project",SUMIF('Service Desk'!$C$7:$D$27,Overview!B86,'Service Desk'!$D$7:$D$27),(SUMIF('Service Desk'!$C$7:$D$27,Overview!B86,'Service Desk'!$D$7:$D$27)*'Service Desk'!$C$4))+IF('Pro Services'!$C$3="Project",SUMIF('Pro Services'!$C$7:$D$27,Overview!B86,'Pro Services'!$D$7:$D$27),(SUMIF('Pro Services'!$C$7:$D$27,Overview!B86,'Pro Services'!$D$7:$D$27)*'Pro Services'!$C$4))</f>
        <v>0</v>
      </c>
      <c r="D86" s="53">
        <f ca="1">IF(Startup!$C$3="Project",SUMIF(Startup!$C$7:$H$27,Overview!B86,Startup!$H$7:$H$27),(SUMIF(Startup!$C$7:$H$27,Overview!B86,Startup!$H$7:$H$27)*Startup!$C$4))+IF(Pilot!$C$3="Project",SUMIF(Pilot!$C$7:$H$27,Overview!B86,Pilot!$H$7:$H$27),(SUMIF(Pilot!$C$7:$H$27,Overview!B86,Pilot!$H$7:$H$27)*Pilot!$C$4))+IF(PMO!$C$3="Project",SUMIF(PMO!$C$7:$H$27,Overview!B86,PMO!$H$7:$H$27),(SUMIF(PMO!$C$7:$H$27,Overview!B86,PMO!$H$7:$H$27)*PMO!$C$4))+IF('Design &amp; Fulfillment'!$C$3="Project",SUMIF('Design &amp; Fulfillment'!$C$7:$H$27,Overview!B86,'Design &amp; Fulfillment'!$H$7:$H$27),(SUMIF('Design &amp; Fulfillment'!$C$7:$H$27,Overview!B86,'Design &amp; Fulfillment'!$H$7:$H$27)*'Design &amp; Fulfillment'!$C$4))+IF(Workplace!$C$3="Project",SUMIF(Workplace!$C$7:$H$27,Overview!B86,Workplace!$H$7:$H$27),(SUMIF(Workplace!$C$7:$H$27,Overview!B86,Workplace!$H$7:$H$27)*Workplace!$C$4))+IF(Integration!$C$3="Project",SUMIF(Integration!$C$7:$H$27,Overview!B86,Integration!$H$7:$H$27),(SUMIF(Integration!$C$7:$H$27,Overview!B86,Integration!$H$7:$H$27)*Integration!$C$4))+IF(Logistics!$C$3="Project",SUMIF(Logistics!$C$7:$H$27,Overview!B86,Logistics!$H$7:$H$27),(SUMIF(Logistics!$C$7:$H$27,Overview!B86,Logistics!$H$7:$H$27)*Logistics!$C$4))+IF('Service Desk'!$C$3="Project",SUMIF('Service Desk'!$C$7:$H$27,Overview!B86,'Service Desk'!$H$7:$H$27),(SUMIF('Service Desk'!$C$7:$H$27,Overview!B86,'Service Desk'!$H$7:$H$27)*'Service Desk'!$C$4))+IF('Pro Services'!$C$3="Project",SUMIF('Pro Services'!$C$7:$H$27,Overview!B86,'Pro Services'!$H$7:$H$27),(SUMIF('Pro Services'!$C$7:$H$27,Overview!B86,'Pro Services'!$H$7:$H$27)*'Pro Services'!$C$4))</f>
        <v>0</v>
      </c>
      <c r="E86" s="52">
        <f t="shared" ca="1" si="120"/>
        <v>0</v>
      </c>
      <c r="F86" s="52">
        <f t="shared" ref="F86:AK86" si="287">IFERROR(IF(F$28="FALSE",0,$C$86/$C$8),0)</f>
        <v>0</v>
      </c>
      <c r="G86" s="52">
        <f t="shared" si="287"/>
        <v>0</v>
      </c>
      <c r="H86" s="52">
        <f t="shared" si="287"/>
        <v>0</v>
      </c>
      <c r="I86" s="52">
        <f t="shared" si="287"/>
        <v>0</v>
      </c>
      <c r="J86" s="52">
        <f t="shared" si="287"/>
        <v>0</v>
      </c>
      <c r="K86" s="52">
        <f t="shared" si="287"/>
        <v>0</v>
      </c>
      <c r="L86" s="52">
        <f t="shared" si="287"/>
        <v>0</v>
      </c>
      <c r="M86" s="52">
        <f t="shared" si="287"/>
        <v>0</v>
      </c>
      <c r="N86" s="52">
        <f t="shared" si="287"/>
        <v>0</v>
      </c>
      <c r="O86" s="52">
        <f t="shared" si="287"/>
        <v>0</v>
      </c>
      <c r="P86" s="52">
        <f t="shared" si="287"/>
        <v>0</v>
      </c>
      <c r="Q86" s="52">
        <f t="shared" si="287"/>
        <v>0</v>
      </c>
      <c r="R86" s="52">
        <f t="shared" si="287"/>
        <v>0</v>
      </c>
      <c r="S86" s="52">
        <f t="shared" si="287"/>
        <v>0</v>
      </c>
      <c r="T86" s="52">
        <f t="shared" si="287"/>
        <v>0</v>
      </c>
      <c r="U86" s="52">
        <f t="shared" si="287"/>
        <v>0</v>
      </c>
      <c r="V86" s="52">
        <f t="shared" si="287"/>
        <v>0</v>
      </c>
      <c r="W86" s="52">
        <f t="shared" si="287"/>
        <v>0</v>
      </c>
      <c r="X86" s="52">
        <f t="shared" si="287"/>
        <v>0</v>
      </c>
      <c r="Y86" s="52">
        <f t="shared" si="287"/>
        <v>0</v>
      </c>
      <c r="Z86" s="52">
        <f t="shared" si="287"/>
        <v>0</v>
      </c>
      <c r="AA86" s="52">
        <f t="shared" si="287"/>
        <v>0</v>
      </c>
      <c r="AB86" s="52">
        <f t="shared" si="287"/>
        <v>0</v>
      </c>
      <c r="AC86" s="52">
        <f t="shared" si="287"/>
        <v>0</v>
      </c>
      <c r="AD86" s="52">
        <f t="shared" si="287"/>
        <v>0</v>
      </c>
      <c r="AE86" s="52">
        <f t="shared" si="287"/>
        <v>0</v>
      </c>
      <c r="AF86" s="52">
        <f t="shared" si="287"/>
        <v>0</v>
      </c>
      <c r="AG86" s="52">
        <f t="shared" si="287"/>
        <v>0</v>
      </c>
      <c r="AH86" s="52">
        <f t="shared" si="287"/>
        <v>0</v>
      </c>
      <c r="AI86" s="52">
        <f t="shared" si="287"/>
        <v>0</v>
      </c>
      <c r="AJ86" s="52">
        <f t="shared" si="287"/>
        <v>0</v>
      </c>
      <c r="AK86" s="52">
        <f t="shared" si="287"/>
        <v>0</v>
      </c>
      <c r="AL86" s="52">
        <f t="shared" ref="AL86:BQ86" si="288">IFERROR(IF(AL$28="FALSE",0,$C$86/$C$8),0)</f>
        <v>0</v>
      </c>
      <c r="AM86" s="52">
        <f t="shared" si="288"/>
        <v>0</v>
      </c>
      <c r="AN86" s="52">
        <f t="shared" si="288"/>
        <v>0</v>
      </c>
      <c r="AO86" s="52">
        <f t="shared" si="288"/>
        <v>0</v>
      </c>
      <c r="AP86" s="52">
        <f t="shared" si="288"/>
        <v>0</v>
      </c>
      <c r="AQ86" s="52">
        <f t="shared" si="288"/>
        <v>0</v>
      </c>
      <c r="AR86" s="52">
        <f t="shared" si="288"/>
        <v>0</v>
      </c>
      <c r="AS86" s="52">
        <f t="shared" si="288"/>
        <v>0</v>
      </c>
      <c r="AT86" s="52">
        <f t="shared" si="288"/>
        <v>0</v>
      </c>
      <c r="AU86" s="52">
        <f t="shared" si="288"/>
        <v>0</v>
      </c>
      <c r="AV86" s="52">
        <f t="shared" si="288"/>
        <v>0</v>
      </c>
      <c r="AW86" s="52">
        <f t="shared" si="288"/>
        <v>0</v>
      </c>
      <c r="AX86" s="52">
        <f t="shared" si="288"/>
        <v>0</v>
      </c>
      <c r="AY86" s="52">
        <f t="shared" si="288"/>
        <v>0</v>
      </c>
      <c r="AZ86" s="52">
        <f t="shared" si="288"/>
        <v>0</v>
      </c>
      <c r="BA86" s="52">
        <f t="shared" si="288"/>
        <v>0</v>
      </c>
      <c r="BB86" s="52">
        <f t="shared" si="288"/>
        <v>0</v>
      </c>
      <c r="BC86" s="52">
        <f t="shared" si="288"/>
        <v>0</v>
      </c>
      <c r="BD86" s="52">
        <f t="shared" si="288"/>
        <v>0</v>
      </c>
      <c r="BE86" s="52">
        <f t="shared" si="288"/>
        <v>0</v>
      </c>
      <c r="BF86" s="52">
        <f t="shared" si="288"/>
        <v>0</v>
      </c>
      <c r="BG86" s="52">
        <f t="shared" si="288"/>
        <v>0</v>
      </c>
      <c r="BH86" s="52">
        <f t="shared" si="288"/>
        <v>0</v>
      </c>
      <c r="BI86" s="52">
        <f t="shared" si="288"/>
        <v>0</v>
      </c>
      <c r="BJ86" s="52">
        <f t="shared" si="288"/>
        <v>0</v>
      </c>
      <c r="BK86" s="52">
        <f t="shared" si="288"/>
        <v>0</v>
      </c>
      <c r="BL86" s="52">
        <f t="shared" si="288"/>
        <v>0</v>
      </c>
      <c r="BM86" s="52">
        <f t="shared" si="288"/>
        <v>0</v>
      </c>
      <c r="BN86" s="52">
        <f t="shared" si="288"/>
        <v>0</v>
      </c>
      <c r="BO86" s="52">
        <f t="shared" si="288"/>
        <v>0</v>
      </c>
      <c r="BP86" s="52">
        <f t="shared" si="288"/>
        <v>0</v>
      </c>
      <c r="BQ86" s="52">
        <f t="shared" si="288"/>
        <v>0</v>
      </c>
      <c r="BR86" s="52">
        <f t="shared" ref="BR86:CW86" si="289">IFERROR(IF(BR$28="FALSE",0,$C$86/$C$8),0)</f>
        <v>0</v>
      </c>
      <c r="BS86" s="52">
        <f t="shared" si="289"/>
        <v>0</v>
      </c>
      <c r="BT86" s="52">
        <f t="shared" si="289"/>
        <v>0</v>
      </c>
      <c r="BU86" s="52">
        <f t="shared" si="289"/>
        <v>0</v>
      </c>
      <c r="BV86" s="52">
        <f t="shared" si="289"/>
        <v>0</v>
      </c>
      <c r="BW86" s="52">
        <f t="shared" si="289"/>
        <v>0</v>
      </c>
      <c r="BX86" s="52">
        <f t="shared" si="289"/>
        <v>0</v>
      </c>
      <c r="BY86" s="52">
        <f t="shared" si="289"/>
        <v>0</v>
      </c>
      <c r="BZ86" s="52">
        <f t="shared" si="289"/>
        <v>0</v>
      </c>
      <c r="CA86" s="52">
        <f t="shared" si="289"/>
        <v>0</v>
      </c>
      <c r="CB86" s="52">
        <f t="shared" si="289"/>
        <v>0</v>
      </c>
      <c r="CC86" s="52">
        <f t="shared" si="289"/>
        <v>0</v>
      </c>
      <c r="CD86" s="52">
        <f t="shared" si="289"/>
        <v>0</v>
      </c>
      <c r="CE86" s="52">
        <f t="shared" si="289"/>
        <v>0</v>
      </c>
      <c r="CF86" s="52">
        <f t="shared" si="289"/>
        <v>0</v>
      </c>
      <c r="CG86" s="52">
        <f t="shared" si="289"/>
        <v>0</v>
      </c>
      <c r="CH86" s="52">
        <f t="shared" si="289"/>
        <v>0</v>
      </c>
      <c r="CI86" s="52">
        <f t="shared" si="289"/>
        <v>0</v>
      </c>
      <c r="CJ86" s="52">
        <f t="shared" si="289"/>
        <v>0</v>
      </c>
      <c r="CK86" s="52">
        <f t="shared" si="289"/>
        <v>0</v>
      </c>
      <c r="CL86" s="52">
        <f t="shared" si="289"/>
        <v>0</v>
      </c>
      <c r="CM86" s="52">
        <f t="shared" si="289"/>
        <v>0</v>
      </c>
      <c r="CN86" s="52">
        <f t="shared" si="289"/>
        <v>0</v>
      </c>
      <c r="CO86" s="52">
        <f t="shared" si="289"/>
        <v>0</v>
      </c>
      <c r="CP86" s="52">
        <f t="shared" si="289"/>
        <v>0</v>
      </c>
      <c r="CQ86" s="52">
        <f t="shared" si="289"/>
        <v>0</v>
      </c>
      <c r="CR86" s="52">
        <f t="shared" si="289"/>
        <v>0</v>
      </c>
      <c r="CS86" s="52">
        <f t="shared" si="289"/>
        <v>0</v>
      </c>
      <c r="CT86" s="52">
        <f t="shared" si="289"/>
        <v>0</v>
      </c>
      <c r="CU86" s="52">
        <f t="shared" si="289"/>
        <v>0</v>
      </c>
      <c r="CV86" s="52">
        <f t="shared" si="289"/>
        <v>0</v>
      </c>
      <c r="CW86" s="52">
        <f t="shared" si="289"/>
        <v>0</v>
      </c>
      <c r="CX86" s="52">
        <f t="shared" ref="CX86:EC86" si="290">IFERROR(IF(CX$28="FALSE",0,$C$86/$C$8),0)</f>
        <v>0</v>
      </c>
      <c r="CY86" s="52">
        <f t="shared" si="290"/>
        <v>0</v>
      </c>
      <c r="CZ86" s="52">
        <f t="shared" si="290"/>
        <v>0</v>
      </c>
      <c r="DA86" s="52">
        <f t="shared" si="290"/>
        <v>0</v>
      </c>
      <c r="DB86" s="52">
        <f t="shared" si="290"/>
        <v>0</v>
      </c>
      <c r="DC86" s="52">
        <f t="shared" si="290"/>
        <v>0</v>
      </c>
      <c r="DD86" s="52">
        <f t="shared" si="290"/>
        <v>0</v>
      </c>
      <c r="DE86" s="52">
        <f t="shared" si="290"/>
        <v>0</v>
      </c>
      <c r="DF86" s="52">
        <f t="shared" si="290"/>
        <v>0</v>
      </c>
      <c r="DG86" s="52">
        <f t="shared" si="290"/>
        <v>0</v>
      </c>
      <c r="DH86" s="52">
        <f t="shared" si="290"/>
        <v>0</v>
      </c>
      <c r="DI86" s="52">
        <f t="shared" si="290"/>
        <v>0</v>
      </c>
      <c r="DJ86" s="52">
        <f t="shared" si="290"/>
        <v>0</v>
      </c>
      <c r="DK86" s="52">
        <f t="shared" si="290"/>
        <v>0</v>
      </c>
      <c r="DL86" s="52">
        <f t="shared" si="290"/>
        <v>0</v>
      </c>
      <c r="DM86" s="52">
        <f t="shared" si="290"/>
        <v>0</v>
      </c>
      <c r="DN86" s="52">
        <f t="shared" si="290"/>
        <v>0</v>
      </c>
      <c r="DO86" s="52">
        <f t="shared" si="290"/>
        <v>0</v>
      </c>
      <c r="DP86" s="52">
        <f t="shared" si="290"/>
        <v>0</v>
      </c>
      <c r="DQ86" s="52">
        <f t="shared" si="290"/>
        <v>0</v>
      </c>
      <c r="DR86" s="52">
        <f t="shared" si="290"/>
        <v>0</v>
      </c>
      <c r="DS86" s="52">
        <f t="shared" si="290"/>
        <v>0</v>
      </c>
      <c r="DT86" s="52">
        <f t="shared" si="290"/>
        <v>0</v>
      </c>
      <c r="DU86" s="52">
        <f t="shared" si="290"/>
        <v>0</v>
      </c>
      <c r="DV86" s="52">
        <f t="shared" si="290"/>
        <v>0</v>
      </c>
      <c r="DW86" s="52">
        <f t="shared" si="290"/>
        <v>0</v>
      </c>
      <c r="DX86" s="52">
        <f t="shared" si="290"/>
        <v>0</v>
      </c>
      <c r="DY86" s="52">
        <f t="shared" si="290"/>
        <v>0</v>
      </c>
      <c r="DZ86" s="52">
        <f t="shared" si="290"/>
        <v>0</v>
      </c>
      <c r="EA86" s="52">
        <f t="shared" si="290"/>
        <v>0</v>
      </c>
      <c r="EB86" s="52">
        <f t="shared" si="290"/>
        <v>0</v>
      </c>
      <c r="EC86" s="52">
        <f t="shared" si="290"/>
        <v>0</v>
      </c>
      <c r="ED86" s="52">
        <f t="shared" ref="ED86:FD86" si="291">IFERROR(IF(ED$28="FALSE",0,$C$86/$C$8),0)</f>
        <v>0</v>
      </c>
      <c r="EE86" s="52">
        <f t="shared" si="291"/>
        <v>0</v>
      </c>
      <c r="EF86" s="52">
        <f t="shared" si="291"/>
        <v>0</v>
      </c>
      <c r="EG86" s="52">
        <f t="shared" si="291"/>
        <v>0</v>
      </c>
      <c r="EH86" s="52">
        <f t="shared" si="291"/>
        <v>0</v>
      </c>
      <c r="EI86" s="52">
        <f t="shared" si="291"/>
        <v>0</v>
      </c>
      <c r="EJ86" s="52">
        <f t="shared" si="291"/>
        <v>0</v>
      </c>
      <c r="EK86" s="52">
        <f t="shared" si="291"/>
        <v>0</v>
      </c>
      <c r="EL86" s="52">
        <f t="shared" si="291"/>
        <v>0</v>
      </c>
      <c r="EM86" s="52">
        <f t="shared" si="291"/>
        <v>0</v>
      </c>
      <c r="EN86" s="52">
        <f t="shared" si="291"/>
        <v>0</v>
      </c>
      <c r="EO86" s="52">
        <f t="shared" si="291"/>
        <v>0</v>
      </c>
      <c r="EP86" s="52">
        <f t="shared" si="291"/>
        <v>0</v>
      </c>
      <c r="EQ86" s="52">
        <f t="shared" si="291"/>
        <v>0</v>
      </c>
      <c r="ER86" s="52">
        <f t="shared" si="291"/>
        <v>0</v>
      </c>
      <c r="ES86" s="52">
        <f t="shared" si="291"/>
        <v>0</v>
      </c>
      <c r="ET86" s="52">
        <f t="shared" si="291"/>
        <v>0</v>
      </c>
      <c r="EU86" s="52">
        <f t="shared" si="291"/>
        <v>0</v>
      </c>
      <c r="EV86" s="52">
        <f t="shared" si="291"/>
        <v>0</v>
      </c>
      <c r="EW86" s="52">
        <f t="shared" si="291"/>
        <v>0</v>
      </c>
      <c r="EX86" s="52">
        <f t="shared" si="291"/>
        <v>0</v>
      </c>
      <c r="EY86" s="52">
        <f t="shared" si="291"/>
        <v>0</v>
      </c>
      <c r="EZ86" s="52">
        <f t="shared" si="291"/>
        <v>0</v>
      </c>
      <c r="FA86" s="52">
        <f t="shared" si="291"/>
        <v>0</v>
      </c>
      <c r="FB86" s="52">
        <f t="shared" si="291"/>
        <v>0</v>
      </c>
      <c r="FC86" s="52">
        <f t="shared" si="291"/>
        <v>0</v>
      </c>
      <c r="FD86" s="52">
        <f t="shared" si="291"/>
        <v>0</v>
      </c>
    </row>
    <row r="87" spans="2:160">
      <c r="B87" s="51" t="s">
        <v>167</v>
      </c>
      <c r="C87" s="52">
        <f ca="1">IF(Startup!$C$3="Project",SUMIF(Startup!$C$7:$D$27,Overview!B87,Startup!$D$7:$D$27),(SUMIF(Startup!$C$7:$D$27,Overview!B87,Startup!$D$7:$D$27)*Startup!$C$4))+IF(Pilot!$C$3="Project",SUMIF(Pilot!$C$7:$D$27,Overview!B87,Pilot!$D$7:$D$27),(SUMIF(Pilot!$C$7:$D$27,Overview!B87,Pilot!$D$7:$D$27)*Pilot!$C$4))+IF(PMO!$C$3="Project",SUMIF(PMO!$C$7:$D$27,Overview!B87,PMO!$D$7:$D$27),(SUMIF(PMO!$C$7:$D$27,Overview!B87,PMO!$D$7:$D$27)*PMO!$C$4))+IF('Design &amp; Fulfillment'!$C$3="Project",SUMIF('Design &amp; Fulfillment'!$C$7:$D$27,Overview!B87,'Design &amp; Fulfillment'!$D$7:$D$27),(SUMIF('Design &amp; Fulfillment'!$C$7:$D$27,Overview!B87,'Design &amp; Fulfillment'!$D$7:$D$27)*'Design &amp; Fulfillment'!$C$4))+IF(Workplace!$C$3="Project",SUMIF(Workplace!$C$7:$D$27,Overview!B87,Workplace!$D$7:$D$27),(SUMIF(Workplace!$C$7:$D$27,Overview!B87,Workplace!$D$7:$D$27)*Workplace!$C$4))+IF(Integration!$C$3="Project",SUMIF(Integration!$C$7:$D$27,Overview!B87,Integration!$D$7:$D$27),(SUMIF(Integration!$C$7:$D$27,Overview!B87,Integration!$D$7:$D$27)*Integration!$C$4))+IF(Logistics!$C$3="Project",SUMIF(Logistics!$C$7:$D$27,Overview!B87,Logistics!$D$7:$D$27),(SUMIF(Logistics!$C$7:$D$27,Overview!B87,Logistics!$D$7:$D$27)*Logistics!$C$4))+IF('Service Desk'!$C$3="Project",SUMIF('Service Desk'!$C$7:$D$27,Overview!B87,'Service Desk'!$D$7:$D$27),(SUMIF('Service Desk'!$C$7:$D$27,Overview!B87,'Service Desk'!$D$7:$D$27)*'Service Desk'!$C$4))+IF('Pro Services'!$C$3="Project",SUMIF('Pro Services'!$C$7:$D$27,Overview!B87,'Pro Services'!$D$7:$D$27),(SUMIF('Pro Services'!$C$7:$D$27,Overview!B87,'Pro Services'!$D$7:$D$27)*'Pro Services'!$C$4))</f>
        <v>0</v>
      </c>
      <c r="D87" s="53">
        <f ca="1">IF(Startup!$C$3="Project",SUMIF(Startup!$C$7:$H$27,Overview!B87,Startup!$H$7:$H$27),(SUMIF(Startup!$C$7:$H$27,Overview!B87,Startup!$H$7:$H$27)*Startup!$C$4))+IF(Pilot!$C$3="Project",SUMIF(Pilot!$C$7:$H$27,Overview!B87,Pilot!$H$7:$H$27),(SUMIF(Pilot!$C$7:$H$27,Overview!B87,Pilot!$H$7:$H$27)*Pilot!$C$4))+IF(PMO!$C$3="Project",SUMIF(PMO!$C$7:$H$27,Overview!B87,PMO!$H$7:$H$27),(SUMIF(PMO!$C$7:$H$27,Overview!B87,PMO!$H$7:$H$27)*PMO!$C$4))+IF('Design &amp; Fulfillment'!$C$3="Project",SUMIF('Design &amp; Fulfillment'!$C$7:$H$27,Overview!B87,'Design &amp; Fulfillment'!$H$7:$H$27),(SUMIF('Design &amp; Fulfillment'!$C$7:$H$27,Overview!B87,'Design &amp; Fulfillment'!$H$7:$H$27)*'Design &amp; Fulfillment'!$C$4))+IF(Workplace!$C$3="Project",SUMIF(Workplace!$C$7:$H$27,Overview!B87,Workplace!$H$7:$H$27),(SUMIF(Workplace!$C$7:$H$27,Overview!B87,Workplace!$H$7:$H$27)*Workplace!$C$4))+IF(Integration!$C$3="Project",SUMIF(Integration!$C$7:$H$27,Overview!B87,Integration!$H$7:$H$27),(SUMIF(Integration!$C$7:$H$27,Overview!B87,Integration!$H$7:$H$27)*Integration!$C$4))+IF(Logistics!$C$3="Project",SUMIF(Logistics!$C$7:$H$27,Overview!B87,Logistics!$H$7:$H$27),(SUMIF(Logistics!$C$7:$H$27,Overview!B87,Logistics!$H$7:$H$27)*Logistics!$C$4))+IF('Service Desk'!$C$3="Project",SUMIF('Service Desk'!$C$7:$H$27,Overview!B87,'Service Desk'!$H$7:$H$27),(SUMIF('Service Desk'!$C$7:$H$27,Overview!B87,'Service Desk'!$H$7:$H$27)*'Service Desk'!$C$4))+IF('Pro Services'!$C$3="Project",SUMIF('Pro Services'!$C$7:$H$27,Overview!B87,'Pro Services'!$H$7:$H$27),(SUMIF('Pro Services'!$C$7:$H$27,Overview!B87,'Pro Services'!$H$7:$H$27)*'Pro Services'!$C$4))</f>
        <v>0</v>
      </c>
      <c r="E87" s="52">
        <f t="shared" ca="1" si="120"/>
        <v>0</v>
      </c>
      <c r="F87" s="52">
        <f t="shared" ref="F87:AK87" si="292">IFERROR(IF(F$28="FALSE",0,$C$87/$C$8),0)</f>
        <v>0</v>
      </c>
      <c r="G87" s="52">
        <f t="shared" si="292"/>
        <v>0</v>
      </c>
      <c r="H87" s="52">
        <f t="shared" si="292"/>
        <v>0</v>
      </c>
      <c r="I87" s="52">
        <f t="shared" si="292"/>
        <v>0</v>
      </c>
      <c r="J87" s="52">
        <f t="shared" si="292"/>
        <v>0</v>
      </c>
      <c r="K87" s="52">
        <f t="shared" si="292"/>
        <v>0</v>
      </c>
      <c r="L87" s="52">
        <f t="shared" si="292"/>
        <v>0</v>
      </c>
      <c r="M87" s="52">
        <f t="shared" si="292"/>
        <v>0</v>
      </c>
      <c r="N87" s="52">
        <f t="shared" si="292"/>
        <v>0</v>
      </c>
      <c r="O87" s="52">
        <f t="shared" si="292"/>
        <v>0</v>
      </c>
      <c r="P87" s="52">
        <f t="shared" si="292"/>
        <v>0</v>
      </c>
      <c r="Q87" s="52">
        <f t="shared" si="292"/>
        <v>0</v>
      </c>
      <c r="R87" s="52">
        <f t="shared" si="292"/>
        <v>0</v>
      </c>
      <c r="S87" s="52">
        <f t="shared" si="292"/>
        <v>0</v>
      </c>
      <c r="T87" s="52">
        <f t="shared" si="292"/>
        <v>0</v>
      </c>
      <c r="U87" s="52">
        <f t="shared" si="292"/>
        <v>0</v>
      </c>
      <c r="V87" s="52">
        <f t="shared" si="292"/>
        <v>0</v>
      </c>
      <c r="W87" s="52">
        <f t="shared" si="292"/>
        <v>0</v>
      </c>
      <c r="X87" s="52">
        <f t="shared" si="292"/>
        <v>0</v>
      </c>
      <c r="Y87" s="52">
        <f t="shared" si="292"/>
        <v>0</v>
      </c>
      <c r="Z87" s="52">
        <f t="shared" si="292"/>
        <v>0</v>
      </c>
      <c r="AA87" s="52">
        <f t="shared" si="292"/>
        <v>0</v>
      </c>
      <c r="AB87" s="52">
        <f t="shared" si="292"/>
        <v>0</v>
      </c>
      <c r="AC87" s="52">
        <f t="shared" si="292"/>
        <v>0</v>
      </c>
      <c r="AD87" s="52">
        <f t="shared" si="292"/>
        <v>0</v>
      </c>
      <c r="AE87" s="52">
        <f t="shared" si="292"/>
        <v>0</v>
      </c>
      <c r="AF87" s="52">
        <f t="shared" si="292"/>
        <v>0</v>
      </c>
      <c r="AG87" s="52">
        <f t="shared" si="292"/>
        <v>0</v>
      </c>
      <c r="AH87" s="52">
        <f t="shared" si="292"/>
        <v>0</v>
      </c>
      <c r="AI87" s="52">
        <f t="shared" si="292"/>
        <v>0</v>
      </c>
      <c r="AJ87" s="52">
        <f t="shared" si="292"/>
        <v>0</v>
      </c>
      <c r="AK87" s="52">
        <f t="shared" si="292"/>
        <v>0</v>
      </c>
      <c r="AL87" s="52">
        <f t="shared" ref="AL87:BQ87" si="293">IFERROR(IF(AL$28="FALSE",0,$C$87/$C$8),0)</f>
        <v>0</v>
      </c>
      <c r="AM87" s="52">
        <f t="shared" si="293"/>
        <v>0</v>
      </c>
      <c r="AN87" s="52">
        <f t="shared" si="293"/>
        <v>0</v>
      </c>
      <c r="AO87" s="52">
        <f t="shared" si="293"/>
        <v>0</v>
      </c>
      <c r="AP87" s="52">
        <f t="shared" si="293"/>
        <v>0</v>
      </c>
      <c r="AQ87" s="52">
        <f t="shared" si="293"/>
        <v>0</v>
      </c>
      <c r="AR87" s="52">
        <f t="shared" si="293"/>
        <v>0</v>
      </c>
      <c r="AS87" s="52">
        <f t="shared" si="293"/>
        <v>0</v>
      </c>
      <c r="AT87" s="52">
        <f t="shared" si="293"/>
        <v>0</v>
      </c>
      <c r="AU87" s="52">
        <f t="shared" si="293"/>
        <v>0</v>
      </c>
      <c r="AV87" s="52">
        <f t="shared" si="293"/>
        <v>0</v>
      </c>
      <c r="AW87" s="52">
        <f t="shared" si="293"/>
        <v>0</v>
      </c>
      <c r="AX87" s="52">
        <f t="shared" si="293"/>
        <v>0</v>
      </c>
      <c r="AY87" s="52">
        <f t="shared" si="293"/>
        <v>0</v>
      </c>
      <c r="AZ87" s="52">
        <f t="shared" si="293"/>
        <v>0</v>
      </c>
      <c r="BA87" s="52">
        <f t="shared" si="293"/>
        <v>0</v>
      </c>
      <c r="BB87" s="52">
        <f t="shared" si="293"/>
        <v>0</v>
      </c>
      <c r="BC87" s="52">
        <f t="shared" si="293"/>
        <v>0</v>
      </c>
      <c r="BD87" s="52">
        <f t="shared" si="293"/>
        <v>0</v>
      </c>
      <c r="BE87" s="52">
        <f t="shared" si="293"/>
        <v>0</v>
      </c>
      <c r="BF87" s="52">
        <f t="shared" si="293"/>
        <v>0</v>
      </c>
      <c r="BG87" s="52">
        <f t="shared" si="293"/>
        <v>0</v>
      </c>
      <c r="BH87" s="52">
        <f t="shared" si="293"/>
        <v>0</v>
      </c>
      <c r="BI87" s="52">
        <f t="shared" si="293"/>
        <v>0</v>
      </c>
      <c r="BJ87" s="52">
        <f t="shared" si="293"/>
        <v>0</v>
      </c>
      <c r="BK87" s="52">
        <f t="shared" si="293"/>
        <v>0</v>
      </c>
      <c r="BL87" s="52">
        <f t="shared" si="293"/>
        <v>0</v>
      </c>
      <c r="BM87" s="52">
        <f t="shared" si="293"/>
        <v>0</v>
      </c>
      <c r="BN87" s="52">
        <f t="shared" si="293"/>
        <v>0</v>
      </c>
      <c r="BO87" s="52">
        <f t="shared" si="293"/>
        <v>0</v>
      </c>
      <c r="BP87" s="52">
        <f t="shared" si="293"/>
        <v>0</v>
      </c>
      <c r="BQ87" s="52">
        <f t="shared" si="293"/>
        <v>0</v>
      </c>
      <c r="BR87" s="52">
        <f t="shared" ref="BR87:CW87" si="294">IFERROR(IF(BR$28="FALSE",0,$C$87/$C$8),0)</f>
        <v>0</v>
      </c>
      <c r="BS87" s="52">
        <f t="shared" si="294"/>
        <v>0</v>
      </c>
      <c r="BT87" s="52">
        <f t="shared" si="294"/>
        <v>0</v>
      </c>
      <c r="BU87" s="52">
        <f t="shared" si="294"/>
        <v>0</v>
      </c>
      <c r="BV87" s="52">
        <f t="shared" si="294"/>
        <v>0</v>
      </c>
      <c r="BW87" s="52">
        <f t="shared" si="294"/>
        <v>0</v>
      </c>
      <c r="BX87" s="52">
        <f t="shared" si="294"/>
        <v>0</v>
      </c>
      <c r="BY87" s="52">
        <f t="shared" si="294"/>
        <v>0</v>
      </c>
      <c r="BZ87" s="52">
        <f t="shared" si="294"/>
        <v>0</v>
      </c>
      <c r="CA87" s="52">
        <f t="shared" si="294"/>
        <v>0</v>
      </c>
      <c r="CB87" s="52">
        <f t="shared" si="294"/>
        <v>0</v>
      </c>
      <c r="CC87" s="52">
        <f t="shared" si="294"/>
        <v>0</v>
      </c>
      <c r="CD87" s="52">
        <f t="shared" si="294"/>
        <v>0</v>
      </c>
      <c r="CE87" s="52">
        <f t="shared" si="294"/>
        <v>0</v>
      </c>
      <c r="CF87" s="52">
        <f t="shared" si="294"/>
        <v>0</v>
      </c>
      <c r="CG87" s="52">
        <f t="shared" si="294"/>
        <v>0</v>
      </c>
      <c r="CH87" s="52">
        <f t="shared" si="294"/>
        <v>0</v>
      </c>
      <c r="CI87" s="52">
        <f t="shared" si="294"/>
        <v>0</v>
      </c>
      <c r="CJ87" s="52">
        <f t="shared" si="294"/>
        <v>0</v>
      </c>
      <c r="CK87" s="52">
        <f t="shared" si="294"/>
        <v>0</v>
      </c>
      <c r="CL87" s="52">
        <f t="shared" si="294"/>
        <v>0</v>
      </c>
      <c r="CM87" s="52">
        <f t="shared" si="294"/>
        <v>0</v>
      </c>
      <c r="CN87" s="52">
        <f t="shared" si="294"/>
        <v>0</v>
      </c>
      <c r="CO87" s="52">
        <f t="shared" si="294"/>
        <v>0</v>
      </c>
      <c r="CP87" s="52">
        <f t="shared" si="294"/>
        <v>0</v>
      </c>
      <c r="CQ87" s="52">
        <f t="shared" si="294"/>
        <v>0</v>
      </c>
      <c r="CR87" s="52">
        <f t="shared" si="294"/>
        <v>0</v>
      </c>
      <c r="CS87" s="52">
        <f t="shared" si="294"/>
        <v>0</v>
      </c>
      <c r="CT87" s="52">
        <f t="shared" si="294"/>
        <v>0</v>
      </c>
      <c r="CU87" s="52">
        <f t="shared" si="294"/>
        <v>0</v>
      </c>
      <c r="CV87" s="52">
        <f t="shared" si="294"/>
        <v>0</v>
      </c>
      <c r="CW87" s="52">
        <f t="shared" si="294"/>
        <v>0</v>
      </c>
      <c r="CX87" s="52">
        <f t="shared" ref="CX87:EC87" si="295">IFERROR(IF(CX$28="FALSE",0,$C$87/$C$8),0)</f>
        <v>0</v>
      </c>
      <c r="CY87" s="52">
        <f t="shared" si="295"/>
        <v>0</v>
      </c>
      <c r="CZ87" s="52">
        <f t="shared" si="295"/>
        <v>0</v>
      </c>
      <c r="DA87" s="52">
        <f t="shared" si="295"/>
        <v>0</v>
      </c>
      <c r="DB87" s="52">
        <f t="shared" si="295"/>
        <v>0</v>
      </c>
      <c r="DC87" s="52">
        <f t="shared" si="295"/>
        <v>0</v>
      </c>
      <c r="DD87" s="52">
        <f t="shared" si="295"/>
        <v>0</v>
      </c>
      <c r="DE87" s="52">
        <f t="shared" si="295"/>
        <v>0</v>
      </c>
      <c r="DF87" s="52">
        <f t="shared" si="295"/>
        <v>0</v>
      </c>
      <c r="DG87" s="52">
        <f t="shared" si="295"/>
        <v>0</v>
      </c>
      <c r="DH87" s="52">
        <f t="shared" si="295"/>
        <v>0</v>
      </c>
      <c r="DI87" s="52">
        <f t="shared" si="295"/>
        <v>0</v>
      </c>
      <c r="DJ87" s="52">
        <f t="shared" si="295"/>
        <v>0</v>
      </c>
      <c r="DK87" s="52">
        <f t="shared" si="295"/>
        <v>0</v>
      </c>
      <c r="DL87" s="52">
        <f t="shared" si="295"/>
        <v>0</v>
      </c>
      <c r="DM87" s="52">
        <f t="shared" si="295"/>
        <v>0</v>
      </c>
      <c r="DN87" s="52">
        <f t="shared" si="295"/>
        <v>0</v>
      </c>
      <c r="DO87" s="52">
        <f t="shared" si="295"/>
        <v>0</v>
      </c>
      <c r="DP87" s="52">
        <f t="shared" si="295"/>
        <v>0</v>
      </c>
      <c r="DQ87" s="52">
        <f t="shared" si="295"/>
        <v>0</v>
      </c>
      <c r="DR87" s="52">
        <f t="shared" si="295"/>
        <v>0</v>
      </c>
      <c r="DS87" s="52">
        <f t="shared" si="295"/>
        <v>0</v>
      </c>
      <c r="DT87" s="52">
        <f t="shared" si="295"/>
        <v>0</v>
      </c>
      <c r="DU87" s="52">
        <f t="shared" si="295"/>
        <v>0</v>
      </c>
      <c r="DV87" s="52">
        <f t="shared" si="295"/>
        <v>0</v>
      </c>
      <c r="DW87" s="52">
        <f t="shared" si="295"/>
        <v>0</v>
      </c>
      <c r="DX87" s="52">
        <f t="shared" si="295"/>
        <v>0</v>
      </c>
      <c r="DY87" s="52">
        <f t="shared" si="295"/>
        <v>0</v>
      </c>
      <c r="DZ87" s="52">
        <f t="shared" si="295"/>
        <v>0</v>
      </c>
      <c r="EA87" s="52">
        <f t="shared" si="295"/>
        <v>0</v>
      </c>
      <c r="EB87" s="52">
        <f t="shared" si="295"/>
        <v>0</v>
      </c>
      <c r="EC87" s="52">
        <f t="shared" si="295"/>
        <v>0</v>
      </c>
      <c r="ED87" s="52">
        <f t="shared" ref="ED87:FD87" si="296">IFERROR(IF(ED$28="FALSE",0,$C$87/$C$8),0)</f>
        <v>0</v>
      </c>
      <c r="EE87" s="52">
        <f t="shared" si="296"/>
        <v>0</v>
      </c>
      <c r="EF87" s="52">
        <f t="shared" si="296"/>
        <v>0</v>
      </c>
      <c r="EG87" s="52">
        <f t="shared" si="296"/>
        <v>0</v>
      </c>
      <c r="EH87" s="52">
        <f t="shared" si="296"/>
        <v>0</v>
      </c>
      <c r="EI87" s="52">
        <f t="shared" si="296"/>
        <v>0</v>
      </c>
      <c r="EJ87" s="52">
        <f t="shared" si="296"/>
        <v>0</v>
      </c>
      <c r="EK87" s="52">
        <f t="shared" si="296"/>
        <v>0</v>
      </c>
      <c r="EL87" s="52">
        <f t="shared" si="296"/>
        <v>0</v>
      </c>
      <c r="EM87" s="52">
        <f t="shared" si="296"/>
        <v>0</v>
      </c>
      <c r="EN87" s="52">
        <f t="shared" si="296"/>
        <v>0</v>
      </c>
      <c r="EO87" s="52">
        <f t="shared" si="296"/>
        <v>0</v>
      </c>
      <c r="EP87" s="52">
        <f t="shared" si="296"/>
        <v>0</v>
      </c>
      <c r="EQ87" s="52">
        <f t="shared" si="296"/>
        <v>0</v>
      </c>
      <c r="ER87" s="52">
        <f t="shared" si="296"/>
        <v>0</v>
      </c>
      <c r="ES87" s="52">
        <f t="shared" si="296"/>
        <v>0</v>
      </c>
      <c r="ET87" s="52">
        <f t="shared" si="296"/>
        <v>0</v>
      </c>
      <c r="EU87" s="52">
        <f t="shared" si="296"/>
        <v>0</v>
      </c>
      <c r="EV87" s="52">
        <f t="shared" si="296"/>
        <v>0</v>
      </c>
      <c r="EW87" s="52">
        <f t="shared" si="296"/>
        <v>0</v>
      </c>
      <c r="EX87" s="52">
        <f t="shared" si="296"/>
        <v>0</v>
      </c>
      <c r="EY87" s="52">
        <f t="shared" si="296"/>
        <v>0</v>
      </c>
      <c r="EZ87" s="52">
        <f t="shared" si="296"/>
        <v>0</v>
      </c>
      <c r="FA87" s="52">
        <f t="shared" si="296"/>
        <v>0</v>
      </c>
      <c r="FB87" s="52">
        <f t="shared" si="296"/>
        <v>0</v>
      </c>
      <c r="FC87" s="52">
        <f t="shared" si="296"/>
        <v>0</v>
      </c>
      <c r="FD87" s="52">
        <f t="shared" si="296"/>
        <v>0</v>
      </c>
    </row>
    <row r="88" spans="2:160">
      <c r="B88" s="51" t="s">
        <v>168</v>
      </c>
      <c r="C88" s="52">
        <f ca="1">IF(Startup!$C$3="Project",SUMIF(Startup!$C$7:$D$27,Overview!B88,Startup!$D$7:$D$27),(SUMIF(Startup!$C$7:$D$27,Overview!B88,Startup!$D$7:$D$27)*Startup!$C$4))+IF(Pilot!$C$3="Project",SUMIF(Pilot!$C$7:$D$27,Overview!B88,Pilot!$D$7:$D$27),(SUMIF(Pilot!$C$7:$D$27,Overview!B88,Pilot!$D$7:$D$27)*Pilot!$C$4))+IF(PMO!$C$3="Project",SUMIF(PMO!$C$7:$D$27,Overview!B88,PMO!$D$7:$D$27),(SUMIF(PMO!$C$7:$D$27,Overview!B88,PMO!$D$7:$D$27)*PMO!$C$4))+IF('Design &amp; Fulfillment'!$C$3="Project",SUMIF('Design &amp; Fulfillment'!$C$7:$D$27,Overview!B88,'Design &amp; Fulfillment'!$D$7:$D$27),(SUMIF('Design &amp; Fulfillment'!$C$7:$D$27,Overview!B88,'Design &amp; Fulfillment'!$D$7:$D$27)*'Design &amp; Fulfillment'!$C$4))+IF(Workplace!$C$3="Project",SUMIF(Workplace!$C$7:$D$27,Overview!B88,Workplace!$D$7:$D$27),(SUMIF(Workplace!$C$7:$D$27,Overview!B88,Workplace!$D$7:$D$27)*Workplace!$C$4))+IF(Integration!$C$3="Project",SUMIF(Integration!$C$7:$D$27,Overview!B88,Integration!$D$7:$D$27),(SUMIF(Integration!$C$7:$D$27,Overview!B88,Integration!$D$7:$D$27)*Integration!$C$4))+IF(Logistics!$C$3="Project",SUMIF(Logistics!$C$7:$D$27,Overview!B88,Logistics!$D$7:$D$27),(SUMIF(Logistics!$C$7:$D$27,Overview!B88,Logistics!$D$7:$D$27)*Logistics!$C$4))+IF('Service Desk'!$C$3="Project",SUMIF('Service Desk'!$C$7:$D$27,Overview!B88,'Service Desk'!$D$7:$D$27),(SUMIF('Service Desk'!$C$7:$D$27,Overview!B88,'Service Desk'!$D$7:$D$27)*'Service Desk'!$C$4))+IF('Pro Services'!$C$3="Project",SUMIF('Pro Services'!$C$7:$D$27,Overview!B88,'Pro Services'!$D$7:$D$27),(SUMIF('Pro Services'!$C$7:$D$27,Overview!B88,'Pro Services'!$D$7:$D$27)*'Pro Services'!$C$4))</f>
        <v>0</v>
      </c>
      <c r="D88" s="53">
        <f ca="1">IF(Startup!$C$3="Project",SUMIF(Startup!$C$7:$H$27,Overview!B88,Startup!$H$7:$H$27),(SUMIF(Startup!$C$7:$H$27,Overview!B88,Startup!$H$7:$H$27)*Startup!$C$4))+IF(Pilot!$C$3="Project",SUMIF(Pilot!$C$7:$H$27,Overview!B88,Pilot!$H$7:$H$27),(SUMIF(Pilot!$C$7:$H$27,Overview!B88,Pilot!$H$7:$H$27)*Pilot!$C$4))+IF(PMO!$C$3="Project",SUMIF(PMO!$C$7:$H$27,Overview!B88,PMO!$H$7:$H$27),(SUMIF(PMO!$C$7:$H$27,Overview!B88,PMO!$H$7:$H$27)*PMO!$C$4))+IF('Design &amp; Fulfillment'!$C$3="Project",SUMIF('Design &amp; Fulfillment'!$C$7:$H$27,Overview!B88,'Design &amp; Fulfillment'!$H$7:$H$27),(SUMIF('Design &amp; Fulfillment'!$C$7:$H$27,Overview!B88,'Design &amp; Fulfillment'!$H$7:$H$27)*'Design &amp; Fulfillment'!$C$4))+IF(Workplace!$C$3="Project",SUMIF(Workplace!$C$7:$H$27,Overview!B88,Workplace!$H$7:$H$27),(SUMIF(Workplace!$C$7:$H$27,Overview!B88,Workplace!$H$7:$H$27)*Workplace!$C$4))+IF(Integration!$C$3="Project",SUMIF(Integration!$C$7:$H$27,Overview!B88,Integration!$H$7:$H$27),(SUMIF(Integration!$C$7:$H$27,Overview!B88,Integration!$H$7:$H$27)*Integration!$C$4))+IF(Logistics!$C$3="Project",SUMIF(Logistics!$C$7:$H$27,Overview!B88,Logistics!$H$7:$H$27),(SUMIF(Logistics!$C$7:$H$27,Overview!B88,Logistics!$H$7:$H$27)*Logistics!$C$4))+IF('Service Desk'!$C$3="Project",SUMIF('Service Desk'!$C$7:$H$27,Overview!B88,'Service Desk'!$H$7:$H$27),(SUMIF('Service Desk'!$C$7:$H$27,Overview!B88,'Service Desk'!$H$7:$H$27)*'Service Desk'!$C$4))+IF('Pro Services'!$C$3="Project",SUMIF('Pro Services'!$C$7:$H$27,Overview!B88,'Pro Services'!$H$7:$H$27),(SUMIF('Pro Services'!$C$7:$H$27,Overview!B88,'Pro Services'!$H$7:$H$27)*'Pro Services'!$C$4))</f>
        <v>0</v>
      </c>
      <c r="E88" s="52">
        <f t="shared" ca="1" si="120"/>
        <v>0</v>
      </c>
      <c r="F88" s="52">
        <f t="shared" ref="F88:AK88" si="297">IFERROR(IF(F$28="FALSE",0,$C$88/$C$8),0)</f>
        <v>0</v>
      </c>
      <c r="G88" s="52">
        <f t="shared" si="297"/>
        <v>0</v>
      </c>
      <c r="H88" s="52">
        <f t="shared" si="297"/>
        <v>0</v>
      </c>
      <c r="I88" s="52">
        <f t="shared" si="297"/>
        <v>0</v>
      </c>
      <c r="J88" s="52">
        <f t="shared" si="297"/>
        <v>0</v>
      </c>
      <c r="K88" s="52">
        <f t="shared" si="297"/>
        <v>0</v>
      </c>
      <c r="L88" s="52">
        <f t="shared" si="297"/>
        <v>0</v>
      </c>
      <c r="M88" s="52">
        <f t="shared" si="297"/>
        <v>0</v>
      </c>
      <c r="N88" s="52">
        <f t="shared" si="297"/>
        <v>0</v>
      </c>
      <c r="O88" s="52">
        <f t="shared" si="297"/>
        <v>0</v>
      </c>
      <c r="P88" s="52">
        <f t="shared" si="297"/>
        <v>0</v>
      </c>
      <c r="Q88" s="52">
        <f t="shared" si="297"/>
        <v>0</v>
      </c>
      <c r="R88" s="52">
        <f t="shared" si="297"/>
        <v>0</v>
      </c>
      <c r="S88" s="52">
        <f t="shared" si="297"/>
        <v>0</v>
      </c>
      <c r="T88" s="52">
        <f t="shared" si="297"/>
        <v>0</v>
      </c>
      <c r="U88" s="52">
        <f t="shared" si="297"/>
        <v>0</v>
      </c>
      <c r="V88" s="52">
        <f t="shared" si="297"/>
        <v>0</v>
      </c>
      <c r="W88" s="52">
        <f t="shared" si="297"/>
        <v>0</v>
      </c>
      <c r="X88" s="52">
        <f t="shared" si="297"/>
        <v>0</v>
      </c>
      <c r="Y88" s="52">
        <f t="shared" si="297"/>
        <v>0</v>
      </c>
      <c r="Z88" s="52">
        <f t="shared" si="297"/>
        <v>0</v>
      </c>
      <c r="AA88" s="52">
        <f t="shared" si="297"/>
        <v>0</v>
      </c>
      <c r="AB88" s="52">
        <f t="shared" si="297"/>
        <v>0</v>
      </c>
      <c r="AC88" s="52">
        <f t="shared" si="297"/>
        <v>0</v>
      </c>
      <c r="AD88" s="52">
        <f t="shared" si="297"/>
        <v>0</v>
      </c>
      <c r="AE88" s="52">
        <f t="shared" si="297"/>
        <v>0</v>
      </c>
      <c r="AF88" s="52">
        <f t="shared" si="297"/>
        <v>0</v>
      </c>
      <c r="AG88" s="52">
        <f t="shared" si="297"/>
        <v>0</v>
      </c>
      <c r="AH88" s="52">
        <f t="shared" si="297"/>
        <v>0</v>
      </c>
      <c r="AI88" s="52">
        <f t="shared" si="297"/>
        <v>0</v>
      </c>
      <c r="AJ88" s="52">
        <f t="shared" si="297"/>
        <v>0</v>
      </c>
      <c r="AK88" s="52">
        <f t="shared" si="297"/>
        <v>0</v>
      </c>
      <c r="AL88" s="52">
        <f t="shared" ref="AL88:BQ88" si="298">IFERROR(IF(AL$28="FALSE",0,$C$88/$C$8),0)</f>
        <v>0</v>
      </c>
      <c r="AM88" s="52">
        <f t="shared" si="298"/>
        <v>0</v>
      </c>
      <c r="AN88" s="52">
        <f t="shared" si="298"/>
        <v>0</v>
      </c>
      <c r="AO88" s="52">
        <f t="shared" si="298"/>
        <v>0</v>
      </c>
      <c r="AP88" s="52">
        <f t="shared" si="298"/>
        <v>0</v>
      </c>
      <c r="AQ88" s="52">
        <f t="shared" si="298"/>
        <v>0</v>
      </c>
      <c r="AR88" s="52">
        <f t="shared" si="298"/>
        <v>0</v>
      </c>
      <c r="AS88" s="52">
        <f t="shared" si="298"/>
        <v>0</v>
      </c>
      <c r="AT88" s="52">
        <f t="shared" si="298"/>
        <v>0</v>
      </c>
      <c r="AU88" s="52">
        <f t="shared" si="298"/>
        <v>0</v>
      </c>
      <c r="AV88" s="52">
        <f t="shared" si="298"/>
        <v>0</v>
      </c>
      <c r="AW88" s="52">
        <f t="shared" si="298"/>
        <v>0</v>
      </c>
      <c r="AX88" s="52">
        <f t="shared" si="298"/>
        <v>0</v>
      </c>
      <c r="AY88" s="52">
        <f t="shared" si="298"/>
        <v>0</v>
      </c>
      <c r="AZ88" s="52">
        <f t="shared" si="298"/>
        <v>0</v>
      </c>
      <c r="BA88" s="52">
        <f t="shared" si="298"/>
        <v>0</v>
      </c>
      <c r="BB88" s="52">
        <f t="shared" si="298"/>
        <v>0</v>
      </c>
      <c r="BC88" s="52">
        <f t="shared" si="298"/>
        <v>0</v>
      </c>
      <c r="BD88" s="52">
        <f t="shared" si="298"/>
        <v>0</v>
      </c>
      <c r="BE88" s="52">
        <f t="shared" si="298"/>
        <v>0</v>
      </c>
      <c r="BF88" s="52">
        <f t="shared" si="298"/>
        <v>0</v>
      </c>
      <c r="BG88" s="52">
        <f t="shared" si="298"/>
        <v>0</v>
      </c>
      <c r="BH88" s="52">
        <f t="shared" si="298"/>
        <v>0</v>
      </c>
      <c r="BI88" s="52">
        <f t="shared" si="298"/>
        <v>0</v>
      </c>
      <c r="BJ88" s="52">
        <f t="shared" si="298"/>
        <v>0</v>
      </c>
      <c r="BK88" s="52">
        <f t="shared" si="298"/>
        <v>0</v>
      </c>
      <c r="BL88" s="52">
        <f t="shared" si="298"/>
        <v>0</v>
      </c>
      <c r="BM88" s="52">
        <f t="shared" si="298"/>
        <v>0</v>
      </c>
      <c r="BN88" s="52">
        <f t="shared" si="298"/>
        <v>0</v>
      </c>
      <c r="BO88" s="52">
        <f t="shared" si="298"/>
        <v>0</v>
      </c>
      <c r="BP88" s="52">
        <f t="shared" si="298"/>
        <v>0</v>
      </c>
      <c r="BQ88" s="52">
        <f t="shared" si="298"/>
        <v>0</v>
      </c>
      <c r="BR88" s="52">
        <f t="shared" ref="BR88:CW88" si="299">IFERROR(IF(BR$28="FALSE",0,$C$88/$C$8),0)</f>
        <v>0</v>
      </c>
      <c r="BS88" s="52">
        <f t="shared" si="299"/>
        <v>0</v>
      </c>
      <c r="BT88" s="52">
        <f t="shared" si="299"/>
        <v>0</v>
      </c>
      <c r="BU88" s="52">
        <f t="shared" si="299"/>
        <v>0</v>
      </c>
      <c r="BV88" s="52">
        <f t="shared" si="299"/>
        <v>0</v>
      </c>
      <c r="BW88" s="52">
        <f t="shared" si="299"/>
        <v>0</v>
      </c>
      <c r="BX88" s="52">
        <f t="shared" si="299"/>
        <v>0</v>
      </c>
      <c r="BY88" s="52">
        <f t="shared" si="299"/>
        <v>0</v>
      </c>
      <c r="BZ88" s="52">
        <f t="shared" si="299"/>
        <v>0</v>
      </c>
      <c r="CA88" s="52">
        <f t="shared" si="299"/>
        <v>0</v>
      </c>
      <c r="CB88" s="52">
        <f t="shared" si="299"/>
        <v>0</v>
      </c>
      <c r="CC88" s="52">
        <f t="shared" si="299"/>
        <v>0</v>
      </c>
      <c r="CD88" s="52">
        <f t="shared" si="299"/>
        <v>0</v>
      </c>
      <c r="CE88" s="52">
        <f t="shared" si="299"/>
        <v>0</v>
      </c>
      <c r="CF88" s="52">
        <f t="shared" si="299"/>
        <v>0</v>
      </c>
      <c r="CG88" s="52">
        <f t="shared" si="299"/>
        <v>0</v>
      </c>
      <c r="CH88" s="52">
        <f t="shared" si="299"/>
        <v>0</v>
      </c>
      <c r="CI88" s="52">
        <f t="shared" si="299"/>
        <v>0</v>
      </c>
      <c r="CJ88" s="52">
        <f t="shared" si="299"/>
        <v>0</v>
      </c>
      <c r="CK88" s="52">
        <f t="shared" si="299"/>
        <v>0</v>
      </c>
      <c r="CL88" s="52">
        <f t="shared" si="299"/>
        <v>0</v>
      </c>
      <c r="CM88" s="52">
        <f t="shared" si="299"/>
        <v>0</v>
      </c>
      <c r="CN88" s="52">
        <f t="shared" si="299"/>
        <v>0</v>
      </c>
      <c r="CO88" s="52">
        <f t="shared" si="299"/>
        <v>0</v>
      </c>
      <c r="CP88" s="52">
        <f t="shared" si="299"/>
        <v>0</v>
      </c>
      <c r="CQ88" s="52">
        <f t="shared" si="299"/>
        <v>0</v>
      </c>
      <c r="CR88" s="52">
        <f t="shared" si="299"/>
        <v>0</v>
      </c>
      <c r="CS88" s="52">
        <f t="shared" si="299"/>
        <v>0</v>
      </c>
      <c r="CT88" s="52">
        <f t="shared" si="299"/>
        <v>0</v>
      </c>
      <c r="CU88" s="52">
        <f t="shared" si="299"/>
        <v>0</v>
      </c>
      <c r="CV88" s="52">
        <f t="shared" si="299"/>
        <v>0</v>
      </c>
      <c r="CW88" s="52">
        <f t="shared" si="299"/>
        <v>0</v>
      </c>
      <c r="CX88" s="52">
        <f t="shared" ref="CX88:EC88" si="300">IFERROR(IF(CX$28="FALSE",0,$C$88/$C$8),0)</f>
        <v>0</v>
      </c>
      <c r="CY88" s="52">
        <f t="shared" si="300"/>
        <v>0</v>
      </c>
      <c r="CZ88" s="52">
        <f t="shared" si="300"/>
        <v>0</v>
      </c>
      <c r="DA88" s="52">
        <f t="shared" si="300"/>
        <v>0</v>
      </c>
      <c r="DB88" s="52">
        <f t="shared" si="300"/>
        <v>0</v>
      </c>
      <c r="DC88" s="52">
        <f t="shared" si="300"/>
        <v>0</v>
      </c>
      <c r="DD88" s="52">
        <f t="shared" si="300"/>
        <v>0</v>
      </c>
      <c r="DE88" s="52">
        <f t="shared" si="300"/>
        <v>0</v>
      </c>
      <c r="DF88" s="52">
        <f t="shared" si="300"/>
        <v>0</v>
      </c>
      <c r="DG88" s="52">
        <f t="shared" si="300"/>
        <v>0</v>
      </c>
      <c r="DH88" s="52">
        <f t="shared" si="300"/>
        <v>0</v>
      </c>
      <c r="DI88" s="52">
        <f t="shared" si="300"/>
        <v>0</v>
      </c>
      <c r="DJ88" s="52">
        <f t="shared" si="300"/>
        <v>0</v>
      </c>
      <c r="DK88" s="52">
        <f t="shared" si="300"/>
        <v>0</v>
      </c>
      <c r="DL88" s="52">
        <f t="shared" si="300"/>
        <v>0</v>
      </c>
      <c r="DM88" s="52">
        <f t="shared" si="300"/>
        <v>0</v>
      </c>
      <c r="DN88" s="52">
        <f t="shared" si="300"/>
        <v>0</v>
      </c>
      <c r="DO88" s="52">
        <f t="shared" si="300"/>
        <v>0</v>
      </c>
      <c r="DP88" s="52">
        <f t="shared" si="300"/>
        <v>0</v>
      </c>
      <c r="DQ88" s="52">
        <f t="shared" si="300"/>
        <v>0</v>
      </c>
      <c r="DR88" s="52">
        <f t="shared" si="300"/>
        <v>0</v>
      </c>
      <c r="DS88" s="52">
        <f t="shared" si="300"/>
        <v>0</v>
      </c>
      <c r="DT88" s="52">
        <f t="shared" si="300"/>
        <v>0</v>
      </c>
      <c r="DU88" s="52">
        <f t="shared" si="300"/>
        <v>0</v>
      </c>
      <c r="DV88" s="52">
        <f t="shared" si="300"/>
        <v>0</v>
      </c>
      <c r="DW88" s="52">
        <f t="shared" si="300"/>
        <v>0</v>
      </c>
      <c r="DX88" s="52">
        <f t="shared" si="300"/>
        <v>0</v>
      </c>
      <c r="DY88" s="52">
        <f t="shared" si="300"/>
        <v>0</v>
      </c>
      <c r="DZ88" s="52">
        <f t="shared" si="300"/>
        <v>0</v>
      </c>
      <c r="EA88" s="52">
        <f t="shared" si="300"/>
        <v>0</v>
      </c>
      <c r="EB88" s="52">
        <f t="shared" si="300"/>
        <v>0</v>
      </c>
      <c r="EC88" s="52">
        <f t="shared" si="300"/>
        <v>0</v>
      </c>
      <c r="ED88" s="52">
        <f t="shared" ref="ED88:FD88" si="301">IFERROR(IF(ED$28="FALSE",0,$C$88/$C$8),0)</f>
        <v>0</v>
      </c>
      <c r="EE88" s="52">
        <f t="shared" si="301"/>
        <v>0</v>
      </c>
      <c r="EF88" s="52">
        <f t="shared" si="301"/>
        <v>0</v>
      </c>
      <c r="EG88" s="52">
        <f t="shared" si="301"/>
        <v>0</v>
      </c>
      <c r="EH88" s="52">
        <f t="shared" si="301"/>
        <v>0</v>
      </c>
      <c r="EI88" s="52">
        <f t="shared" si="301"/>
        <v>0</v>
      </c>
      <c r="EJ88" s="52">
        <f t="shared" si="301"/>
        <v>0</v>
      </c>
      <c r="EK88" s="52">
        <f t="shared" si="301"/>
        <v>0</v>
      </c>
      <c r="EL88" s="52">
        <f t="shared" si="301"/>
        <v>0</v>
      </c>
      <c r="EM88" s="52">
        <f t="shared" si="301"/>
        <v>0</v>
      </c>
      <c r="EN88" s="52">
        <f t="shared" si="301"/>
        <v>0</v>
      </c>
      <c r="EO88" s="52">
        <f t="shared" si="301"/>
        <v>0</v>
      </c>
      <c r="EP88" s="52">
        <f t="shared" si="301"/>
        <v>0</v>
      </c>
      <c r="EQ88" s="52">
        <f t="shared" si="301"/>
        <v>0</v>
      </c>
      <c r="ER88" s="52">
        <f t="shared" si="301"/>
        <v>0</v>
      </c>
      <c r="ES88" s="52">
        <f t="shared" si="301"/>
        <v>0</v>
      </c>
      <c r="ET88" s="52">
        <f t="shared" si="301"/>
        <v>0</v>
      </c>
      <c r="EU88" s="52">
        <f t="shared" si="301"/>
        <v>0</v>
      </c>
      <c r="EV88" s="52">
        <f t="shared" si="301"/>
        <v>0</v>
      </c>
      <c r="EW88" s="52">
        <f t="shared" si="301"/>
        <v>0</v>
      </c>
      <c r="EX88" s="52">
        <f t="shared" si="301"/>
        <v>0</v>
      </c>
      <c r="EY88" s="52">
        <f t="shared" si="301"/>
        <v>0</v>
      </c>
      <c r="EZ88" s="52">
        <f t="shared" si="301"/>
        <v>0</v>
      </c>
      <c r="FA88" s="52">
        <f t="shared" si="301"/>
        <v>0</v>
      </c>
      <c r="FB88" s="52">
        <f t="shared" si="301"/>
        <v>0</v>
      </c>
      <c r="FC88" s="52">
        <f t="shared" si="301"/>
        <v>0</v>
      </c>
      <c r="FD88" s="52">
        <f t="shared" si="301"/>
        <v>0</v>
      </c>
    </row>
    <row r="89" spans="2:160">
      <c r="B89" s="51" t="s">
        <v>169</v>
      </c>
      <c r="C89" s="52">
        <f ca="1">IF(Startup!$C$3="Project",SUMIF(Startup!$C$7:$D$27,Overview!B89,Startup!$D$7:$D$27),(SUMIF(Startup!$C$7:$D$27,Overview!B89,Startup!$D$7:$D$27)*Startup!$C$4))+IF(Pilot!$C$3="Project",SUMIF(Pilot!$C$7:$D$27,Overview!B89,Pilot!$D$7:$D$27),(SUMIF(Pilot!$C$7:$D$27,Overview!B89,Pilot!$D$7:$D$27)*Pilot!$C$4))+IF(PMO!$C$3="Project",SUMIF(PMO!$C$7:$D$27,Overview!B89,PMO!$D$7:$D$27),(SUMIF(PMO!$C$7:$D$27,Overview!B89,PMO!$D$7:$D$27)*PMO!$C$4))+IF('Design &amp; Fulfillment'!$C$3="Project",SUMIF('Design &amp; Fulfillment'!$C$7:$D$27,Overview!B89,'Design &amp; Fulfillment'!$D$7:$D$27),(SUMIF('Design &amp; Fulfillment'!$C$7:$D$27,Overview!B89,'Design &amp; Fulfillment'!$D$7:$D$27)*'Design &amp; Fulfillment'!$C$4))+IF(Workplace!$C$3="Project",SUMIF(Workplace!$C$7:$D$27,Overview!B89,Workplace!$D$7:$D$27),(SUMIF(Workplace!$C$7:$D$27,Overview!B89,Workplace!$D$7:$D$27)*Workplace!$C$4))+IF(Integration!$C$3="Project",SUMIF(Integration!$C$7:$D$27,Overview!B89,Integration!$D$7:$D$27),(SUMIF(Integration!$C$7:$D$27,Overview!B89,Integration!$D$7:$D$27)*Integration!$C$4))+IF(Logistics!$C$3="Project",SUMIF(Logistics!$C$7:$D$27,Overview!B89,Logistics!$D$7:$D$27),(SUMIF(Logistics!$C$7:$D$27,Overview!B89,Logistics!$D$7:$D$27)*Logistics!$C$4))+IF('Service Desk'!$C$3="Project",SUMIF('Service Desk'!$C$7:$D$27,Overview!B89,'Service Desk'!$D$7:$D$27),(SUMIF('Service Desk'!$C$7:$D$27,Overview!B89,'Service Desk'!$D$7:$D$27)*'Service Desk'!$C$4))+IF('Pro Services'!$C$3="Project",SUMIF('Pro Services'!$C$7:$D$27,Overview!B89,'Pro Services'!$D$7:$D$27),(SUMIF('Pro Services'!$C$7:$D$27,Overview!B89,'Pro Services'!$D$7:$D$27)*'Pro Services'!$C$4))</f>
        <v>0</v>
      </c>
      <c r="D89" s="53">
        <f ca="1">IF(Startup!$C$3="Project",SUMIF(Startup!$C$7:$H$27,Overview!B89,Startup!$H$7:$H$27),(SUMIF(Startup!$C$7:$H$27,Overview!B89,Startup!$H$7:$H$27)*Startup!$C$4))+IF(Pilot!$C$3="Project",SUMIF(Pilot!$C$7:$H$27,Overview!B89,Pilot!$H$7:$H$27),(SUMIF(Pilot!$C$7:$H$27,Overview!B89,Pilot!$H$7:$H$27)*Pilot!$C$4))+IF(PMO!$C$3="Project",SUMIF(PMO!$C$7:$H$27,Overview!B89,PMO!$H$7:$H$27),(SUMIF(PMO!$C$7:$H$27,Overview!B89,PMO!$H$7:$H$27)*PMO!$C$4))+IF('Design &amp; Fulfillment'!$C$3="Project",SUMIF('Design &amp; Fulfillment'!$C$7:$H$27,Overview!B89,'Design &amp; Fulfillment'!$H$7:$H$27),(SUMIF('Design &amp; Fulfillment'!$C$7:$H$27,Overview!B89,'Design &amp; Fulfillment'!$H$7:$H$27)*'Design &amp; Fulfillment'!$C$4))+IF(Workplace!$C$3="Project",SUMIF(Workplace!$C$7:$H$27,Overview!B89,Workplace!$H$7:$H$27),(SUMIF(Workplace!$C$7:$H$27,Overview!B89,Workplace!$H$7:$H$27)*Workplace!$C$4))+IF(Integration!$C$3="Project",SUMIF(Integration!$C$7:$H$27,Overview!B89,Integration!$H$7:$H$27),(SUMIF(Integration!$C$7:$H$27,Overview!B89,Integration!$H$7:$H$27)*Integration!$C$4))+IF(Logistics!$C$3="Project",SUMIF(Logistics!$C$7:$H$27,Overview!B89,Logistics!$H$7:$H$27),(SUMIF(Logistics!$C$7:$H$27,Overview!B89,Logistics!$H$7:$H$27)*Logistics!$C$4))+IF('Service Desk'!$C$3="Project",SUMIF('Service Desk'!$C$7:$H$27,Overview!B89,'Service Desk'!$H$7:$H$27),(SUMIF('Service Desk'!$C$7:$H$27,Overview!B89,'Service Desk'!$H$7:$H$27)*'Service Desk'!$C$4))+IF('Pro Services'!$C$3="Project",SUMIF('Pro Services'!$C$7:$H$27,Overview!B89,'Pro Services'!$H$7:$H$27),(SUMIF('Pro Services'!$C$7:$H$27,Overview!B89,'Pro Services'!$H$7:$H$27)*'Pro Services'!$C$4))</f>
        <v>0</v>
      </c>
      <c r="E89" s="52">
        <f t="shared" ca="1" si="120"/>
        <v>0</v>
      </c>
      <c r="F89" s="52">
        <f t="shared" ref="F89:AK89" si="302">IFERROR(IF(F$28="FALSE",0,$C$89/$C$8),0)</f>
        <v>0</v>
      </c>
      <c r="G89" s="52">
        <f t="shared" si="302"/>
        <v>0</v>
      </c>
      <c r="H89" s="52">
        <f t="shared" si="302"/>
        <v>0</v>
      </c>
      <c r="I89" s="52">
        <f t="shared" si="302"/>
        <v>0</v>
      </c>
      <c r="J89" s="52">
        <f t="shared" si="302"/>
        <v>0</v>
      </c>
      <c r="K89" s="52">
        <f t="shared" si="302"/>
        <v>0</v>
      </c>
      <c r="L89" s="52">
        <f t="shared" si="302"/>
        <v>0</v>
      </c>
      <c r="M89" s="52">
        <f t="shared" si="302"/>
        <v>0</v>
      </c>
      <c r="N89" s="52">
        <f t="shared" si="302"/>
        <v>0</v>
      </c>
      <c r="O89" s="52">
        <f t="shared" si="302"/>
        <v>0</v>
      </c>
      <c r="P89" s="52">
        <f t="shared" si="302"/>
        <v>0</v>
      </c>
      <c r="Q89" s="52">
        <f t="shared" si="302"/>
        <v>0</v>
      </c>
      <c r="R89" s="52">
        <f t="shared" si="302"/>
        <v>0</v>
      </c>
      <c r="S89" s="52">
        <f t="shared" si="302"/>
        <v>0</v>
      </c>
      <c r="T89" s="52">
        <f t="shared" si="302"/>
        <v>0</v>
      </c>
      <c r="U89" s="52">
        <f t="shared" si="302"/>
        <v>0</v>
      </c>
      <c r="V89" s="52">
        <f t="shared" si="302"/>
        <v>0</v>
      </c>
      <c r="W89" s="52">
        <f t="shared" si="302"/>
        <v>0</v>
      </c>
      <c r="X89" s="52">
        <f t="shared" si="302"/>
        <v>0</v>
      </c>
      <c r="Y89" s="52">
        <f t="shared" si="302"/>
        <v>0</v>
      </c>
      <c r="Z89" s="52">
        <f t="shared" si="302"/>
        <v>0</v>
      </c>
      <c r="AA89" s="52">
        <f t="shared" si="302"/>
        <v>0</v>
      </c>
      <c r="AB89" s="52">
        <f t="shared" si="302"/>
        <v>0</v>
      </c>
      <c r="AC89" s="52">
        <f t="shared" si="302"/>
        <v>0</v>
      </c>
      <c r="AD89" s="52">
        <f t="shared" si="302"/>
        <v>0</v>
      </c>
      <c r="AE89" s="52">
        <f t="shared" si="302"/>
        <v>0</v>
      </c>
      <c r="AF89" s="52">
        <f t="shared" si="302"/>
        <v>0</v>
      </c>
      <c r="AG89" s="52">
        <f t="shared" si="302"/>
        <v>0</v>
      </c>
      <c r="AH89" s="52">
        <f t="shared" si="302"/>
        <v>0</v>
      </c>
      <c r="AI89" s="52">
        <f t="shared" si="302"/>
        <v>0</v>
      </c>
      <c r="AJ89" s="52">
        <f t="shared" si="302"/>
        <v>0</v>
      </c>
      <c r="AK89" s="52">
        <f t="shared" si="302"/>
        <v>0</v>
      </c>
      <c r="AL89" s="52">
        <f t="shared" ref="AL89:BQ89" si="303">IFERROR(IF(AL$28="FALSE",0,$C$89/$C$8),0)</f>
        <v>0</v>
      </c>
      <c r="AM89" s="52">
        <f t="shared" si="303"/>
        <v>0</v>
      </c>
      <c r="AN89" s="52">
        <f t="shared" si="303"/>
        <v>0</v>
      </c>
      <c r="AO89" s="52">
        <f t="shared" si="303"/>
        <v>0</v>
      </c>
      <c r="AP89" s="52">
        <f t="shared" si="303"/>
        <v>0</v>
      </c>
      <c r="AQ89" s="52">
        <f t="shared" si="303"/>
        <v>0</v>
      </c>
      <c r="AR89" s="52">
        <f t="shared" si="303"/>
        <v>0</v>
      </c>
      <c r="AS89" s="52">
        <f t="shared" si="303"/>
        <v>0</v>
      </c>
      <c r="AT89" s="52">
        <f t="shared" si="303"/>
        <v>0</v>
      </c>
      <c r="AU89" s="52">
        <f t="shared" si="303"/>
        <v>0</v>
      </c>
      <c r="AV89" s="52">
        <f t="shared" si="303"/>
        <v>0</v>
      </c>
      <c r="AW89" s="52">
        <f t="shared" si="303"/>
        <v>0</v>
      </c>
      <c r="AX89" s="52">
        <f t="shared" si="303"/>
        <v>0</v>
      </c>
      <c r="AY89" s="52">
        <f t="shared" si="303"/>
        <v>0</v>
      </c>
      <c r="AZ89" s="52">
        <f t="shared" si="303"/>
        <v>0</v>
      </c>
      <c r="BA89" s="52">
        <f t="shared" si="303"/>
        <v>0</v>
      </c>
      <c r="BB89" s="52">
        <f t="shared" si="303"/>
        <v>0</v>
      </c>
      <c r="BC89" s="52">
        <f t="shared" si="303"/>
        <v>0</v>
      </c>
      <c r="BD89" s="52">
        <f t="shared" si="303"/>
        <v>0</v>
      </c>
      <c r="BE89" s="52">
        <f t="shared" si="303"/>
        <v>0</v>
      </c>
      <c r="BF89" s="52">
        <f t="shared" si="303"/>
        <v>0</v>
      </c>
      <c r="BG89" s="52">
        <f t="shared" si="303"/>
        <v>0</v>
      </c>
      <c r="BH89" s="52">
        <f t="shared" si="303"/>
        <v>0</v>
      </c>
      <c r="BI89" s="52">
        <f t="shared" si="303"/>
        <v>0</v>
      </c>
      <c r="BJ89" s="52">
        <f t="shared" si="303"/>
        <v>0</v>
      </c>
      <c r="BK89" s="52">
        <f t="shared" si="303"/>
        <v>0</v>
      </c>
      <c r="BL89" s="52">
        <f t="shared" si="303"/>
        <v>0</v>
      </c>
      <c r="BM89" s="52">
        <f t="shared" si="303"/>
        <v>0</v>
      </c>
      <c r="BN89" s="52">
        <f t="shared" si="303"/>
        <v>0</v>
      </c>
      <c r="BO89" s="52">
        <f t="shared" si="303"/>
        <v>0</v>
      </c>
      <c r="BP89" s="52">
        <f t="shared" si="303"/>
        <v>0</v>
      </c>
      <c r="BQ89" s="52">
        <f t="shared" si="303"/>
        <v>0</v>
      </c>
      <c r="BR89" s="52">
        <f t="shared" ref="BR89:CW89" si="304">IFERROR(IF(BR$28="FALSE",0,$C$89/$C$8),0)</f>
        <v>0</v>
      </c>
      <c r="BS89" s="52">
        <f t="shared" si="304"/>
        <v>0</v>
      </c>
      <c r="BT89" s="52">
        <f t="shared" si="304"/>
        <v>0</v>
      </c>
      <c r="BU89" s="52">
        <f t="shared" si="304"/>
        <v>0</v>
      </c>
      <c r="BV89" s="52">
        <f t="shared" si="304"/>
        <v>0</v>
      </c>
      <c r="BW89" s="52">
        <f t="shared" si="304"/>
        <v>0</v>
      </c>
      <c r="BX89" s="52">
        <f t="shared" si="304"/>
        <v>0</v>
      </c>
      <c r="BY89" s="52">
        <f t="shared" si="304"/>
        <v>0</v>
      </c>
      <c r="BZ89" s="52">
        <f t="shared" si="304"/>
        <v>0</v>
      </c>
      <c r="CA89" s="52">
        <f t="shared" si="304"/>
        <v>0</v>
      </c>
      <c r="CB89" s="52">
        <f t="shared" si="304"/>
        <v>0</v>
      </c>
      <c r="CC89" s="52">
        <f t="shared" si="304"/>
        <v>0</v>
      </c>
      <c r="CD89" s="52">
        <f t="shared" si="304"/>
        <v>0</v>
      </c>
      <c r="CE89" s="52">
        <f t="shared" si="304"/>
        <v>0</v>
      </c>
      <c r="CF89" s="52">
        <f t="shared" si="304"/>
        <v>0</v>
      </c>
      <c r="CG89" s="52">
        <f t="shared" si="304"/>
        <v>0</v>
      </c>
      <c r="CH89" s="52">
        <f t="shared" si="304"/>
        <v>0</v>
      </c>
      <c r="CI89" s="52">
        <f t="shared" si="304"/>
        <v>0</v>
      </c>
      <c r="CJ89" s="52">
        <f t="shared" si="304"/>
        <v>0</v>
      </c>
      <c r="CK89" s="52">
        <f t="shared" si="304"/>
        <v>0</v>
      </c>
      <c r="CL89" s="52">
        <f t="shared" si="304"/>
        <v>0</v>
      </c>
      <c r="CM89" s="52">
        <f t="shared" si="304"/>
        <v>0</v>
      </c>
      <c r="CN89" s="52">
        <f t="shared" si="304"/>
        <v>0</v>
      </c>
      <c r="CO89" s="52">
        <f t="shared" si="304"/>
        <v>0</v>
      </c>
      <c r="CP89" s="52">
        <f t="shared" si="304"/>
        <v>0</v>
      </c>
      <c r="CQ89" s="52">
        <f t="shared" si="304"/>
        <v>0</v>
      </c>
      <c r="CR89" s="52">
        <f t="shared" si="304"/>
        <v>0</v>
      </c>
      <c r="CS89" s="52">
        <f t="shared" si="304"/>
        <v>0</v>
      </c>
      <c r="CT89" s="52">
        <f t="shared" si="304"/>
        <v>0</v>
      </c>
      <c r="CU89" s="52">
        <f t="shared" si="304"/>
        <v>0</v>
      </c>
      <c r="CV89" s="52">
        <f t="shared" si="304"/>
        <v>0</v>
      </c>
      <c r="CW89" s="52">
        <f t="shared" si="304"/>
        <v>0</v>
      </c>
      <c r="CX89" s="52">
        <f t="shared" ref="CX89:EC89" si="305">IFERROR(IF(CX$28="FALSE",0,$C$89/$C$8),0)</f>
        <v>0</v>
      </c>
      <c r="CY89" s="52">
        <f t="shared" si="305"/>
        <v>0</v>
      </c>
      <c r="CZ89" s="52">
        <f t="shared" si="305"/>
        <v>0</v>
      </c>
      <c r="DA89" s="52">
        <f t="shared" si="305"/>
        <v>0</v>
      </c>
      <c r="DB89" s="52">
        <f t="shared" si="305"/>
        <v>0</v>
      </c>
      <c r="DC89" s="52">
        <f t="shared" si="305"/>
        <v>0</v>
      </c>
      <c r="DD89" s="52">
        <f t="shared" si="305"/>
        <v>0</v>
      </c>
      <c r="DE89" s="52">
        <f t="shared" si="305"/>
        <v>0</v>
      </c>
      <c r="DF89" s="52">
        <f t="shared" si="305"/>
        <v>0</v>
      </c>
      <c r="DG89" s="52">
        <f t="shared" si="305"/>
        <v>0</v>
      </c>
      <c r="DH89" s="52">
        <f t="shared" si="305"/>
        <v>0</v>
      </c>
      <c r="DI89" s="52">
        <f t="shared" si="305"/>
        <v>0</v>
      </c>
      <c r="DJ89" s="52">
        <f t="shared" si="305"/>
        <v>0</v>
      </c>
      <c r="DK89" s="52">
        <f t="shared" si="305"/>
        <v>0</v>
      </c>
      <c r="DL89" s="52">
        <f t="shared" si="305"/>
        <v>0</v>
      </c>
      <c r="DM89" s="52">
        <f t="shared" si="305"/>
        <v>0</v>
      </c>
      <c r="DN89" s="52">
        <f t="shared" si="305"/>
        <v>0</v>
      </c>
      <c r="DO89" s="52">
        <f t="shared" si="305"/>
        <v>0</v>
      </c>
      <c r="DP89" s="52">
        <f t="shared" si="305"/>
        <v>0</v>
      </c>
      <c r="DQ89" s="52">
        <f t="shared" si="305"/>
        <v>0</v>
      </c>
      <c r="DR89" s="52">
        <f t="shared" si="305"/>
        <v>0</v>
      </c>
      <c r="DS89" s="52">
        <f t="shared" si="305"/>
        <v>0</v>
      </c>
      <c r="DT89" s="52">
        <f t="shared" si="305"/>
        <v>0</v>
      </c>
      <c r="DU89" s="52">
        <f t="shared" si="305"/>
        <v>0</v>
      </c>
      <c r="DV89" s="52">
        <f t="shared" si="305"/>
        <v>0</v>
      </c>
      <c r="DW89" s="52">
        <f t="shared" si="305"/>
        <v>0</v>
      </c>
      <c r="DX89" s="52">
        <f t="shared" si="305"/>
        <v>0</v>
      </c>
      <c r="DY89" s="52">
        <f t="shared" si="305"/>
        <v>0</v>
      </c>
      <c r="DZ89" s="52">
        <f t="shared" si="305"/>
        <v>0</v>
      </c>
      <c r="EA89" s="52">
        <f t="shared" si="305"/>
        <v>0</v>
      </c>
      <c r="EB89" s="52">
        <f t="shared" si="305"/>
        <v>0</v>
      </c>
      <c r="EC89" s="52">
        <f t="shared" si="305"/>
        <v>0</v>
      </c>
      <c r="ED89" s="52">
        <f t="shared" ref="ED89:FD89" si="306">IFERROR(IF(ED$28="FALSE",0,$C$89/$C$8),0)</f>
        <v>0</v>
      </c>
      <c r="EE89" s="52">
        <f t="shared" si="306"/>
        <v>0</v>
      </c>
      <c r="EF89" s="52">
        <f t="shared" si="306"/>
        <v>0</v>
      </c>
      <c r="EG89" s="52">
        <f t="shared" si="306"/>
        <v>0</v>
      </c>
      <c r="EH89" s="52">
        <f t="shared" si="306"/>
        <v>0</v>
      </c>
      <c r="EI89" s="52">
        <f t="shared" si="306"/>
        <v>0</v>
      </c>
      <c r="EJ89" s="52">
        <f t="shared" si="306"/>
        <v>0</v>
      </c>
      <c r="EK89" s="52">
        <f t="shared" si="306"/>
        <v>0</v>
      </c>
      <c r="EL89" s="52">
        <f t="shared" si="306"/>
        <v>0</v>
      </c>
      <c r="EM89" s="52">
        <f t="shared" si="306"/>
        <v>0</v>
      </c>
      <c r="EN89" s="52">
        <f t="shared" si="306"/>
        <v>0</v>
      </c>
      <c r="EO89" s="52">
        <f t="shared" si="306"/>
        <v>0</v>
      </c>
      <c r="EP89" s="52">
        <f t="shared" si="306"/>
        <v>0</v>
      </c>
      <c r="EQ89" s="52">
        <f t="shared" si="306"/>
        <v>0</v>
      </c>
      <c r="ER89" s="52">
        <f t="shared" si="306"/>
        <v>0</v>
      </c>
      <c r="ES89" s="52">
        <f t="shared" si="306"/>
        <v>0</v>
      </c>
      <c r="ET89" s="52">
        <f t="shared" si="306"/>
        <v>0</v>
      </c>
      <c r="EU89" s="52">
        <f t="shared" si="306"/>
        <v>0</v>
      </c>
      <c r="EV89" s="52">
        <f t="shared" si="306"/>
        <v>0</v>
      </c>
      <c r="EW89" s="52">
        <f t="shared" si="306"/>
        <v>0</v>
      </c>
      <c r="EX89" s="52">
        <f t="shared" si="306"/>
        <v>0</v>
      </c>
      <c r="EY89" s="52">
        <f t="shared" si="306"/>
        <v>0</v>
      </c>
      <c r="EZ89" s="52">
        <f t="shared" si="306"/>
        <v>0</v>
      </c>
      <c r="FA89" s="52">
        <f t="shared" si="306"/>
        <v>0</v>
      </c>
      <c r="FB89" s="52">
        <f t="shared" si="306"/>
        <v>0</v>
      </c>
      <c r="FC89" s="52">
        <f t="shared" si="306"/>
        <v>0</v>
      </c>
      <c r="FD89" s="52">
        <f t="shared" si="306"/>
        <v>0</v>
      </c>
    </row>
    <row r="90" spans="2:160">
      <c r="B90" s="51" t="s">
        <v>170</v>
      </c>
      <c r="C90" s="52">
        <f ca="1">IF(Startup!$C$3="Project",SUMIF(Startup!$C$7:$D$27,Overview!B90,Startup!$D$7:$D$27),(SUMIF(Startup!$C$7:$D$27,Overview!B90,Startup!$D$7:$D$27)*Startup!$C$4))+IF(Pilot!$C$3="Project",SUMIF(Pilot!$C$7:$D$27,Overview!B90,Pilot!$D$7:$D$27),(SUMIF(Pilot!$C$7:$D$27,Overview!B90,Pilot!$D$7:$D$27)*Pilot!$C$4))+IF(PMO!$C$3="Project",SUMIF(PMO!$C$7:$D$27,Overview!B90,PMO!$D$7:$D$27),(SUMIF(PMO!$C$7:$D$27,Overview!B90,PMO!$D$7:$D$27)*PMO!$C$4))+IF('Design &amp; Fulfillment'!$C$3="Project",SUMIF('Design &amp; Fulfillment'!$C$7:$D$27,Overview!B90,'Design &amp; Fulfillment'!$D$7:$D$27),(SUMIF('Design &amp; Fulfillment'!$C$7:$D$27,Overview!B90,'Design &amp; Fulfillment'!$D$7:$D$27)*'Design &amp; Fulfillment'!$C$4))+IF(Workplace!$C$3="Project",SUMIF(Workplace!$C$7:$D$27,Overview!B90,Workplace!$D$7:$D$27),(SUMIF(Workplace!$C$7:$D$27,Overview!B90,Workplace!$D$7:$D$27)*Workplace!$C$4))+IF(Integration!$C$3="Project",SUMIF(Integration!$C$7:$D$27,Overview!B90,Integration!$D$7:$D$27),(SUMIF(Integration!$C$7:$D$27,Overview!B90,Integration!$D$7:$D$27)*Integration!$C$4))+IF(Logistics!$C$3="Project",SUMIF(Logistics!$C$7:$D$27,Overview!B90,Logistics!$D$7:$D$27),(SUMIF(Logistics!$C$7:$D$27,Overview!B90,Logistics!$D$7:$D$27)*Logistics!$C$4))+IF('Service Desk'!$C$3="Project",SUMIF('Service Desk'!$C$7:$D$27,Overview!B90,'Service Desk'!$D$7:$D$27),(SUMIF('Service Desk'!$C$7:$D$27,Overview!B90,'Service Desk'!$D$7:$D$27)*'Service Desk'!$C$4))+IF('Pro Services'!$C$3="Project",SUMIF('Pro Services'!$C$7:$D$27,Overview!B90,'Pro Services'!$D$7:$D$27),(SUMIF('Pro Services'!$C$7:$D$27,Overview!B90,'Pro Services'!$D$7:$D$27)*'Pro Services'!$C$4))</f>
        <v>0</v>
      </c>
      <c r="D90" s="53">
        <f ca="1">IF(Startup!$C$3="Project",SUMIF(Startup!$C$7:$H$27,Overview!B90,Startup!$H$7:$H$27),(SUMIF(Startup!$C$7:$H$27,Overview!B90,Startup!$H$7:$H$27)*Startup!$C$4))+IF(Pilot!$C$3="Project",SUMIF(Pilot!$C$7:$H$27,Overview!B90,Pilot!$H$7:$H$27),(SUMIF(Pilot!$C$7:$H$27,Overview!B90,Pilot!$H$7:$H$27)*Pilot!$C$4))+IF(PMO!$C$3="Project",SUMIF(PMO!$C$7:$H$27,Overview!B90,PMO!$H$7:$H$27),(SUMIF(PMO!$C$7:$H$27,Overview!B90,PMO!$H$7:$H$27)*PMO!$C$4))+IF('Design &amp; Fulfillment'!$C$3="Project",SUMIF('Design &amp; Fulfillment'!$C$7:$H$27,Overview!B90,'Design &amp; Fulfillment'!$H$7:$H$27),(SUMIF('Design &amp; Fulfillment'!$C$7:$H$27,Overview!B90,'Design &amp; Fulfillment'!$H$7:$H$27)*'Design &amp; Fulfillment'!$C$4))+IF(Workplace!$C$3="Project",SUMIF(Workplace!$C$7:$H$27,Overview!B90,Workplace!$H$7:$H$27),(SUMIF(Workplace!$C$7:$H$27,Overview!B90,Workplace!$H$7:$H$27)*Workplace!$C$4))+IF(Integration!$C$3="Project",SUMIF(Integration!$C$7:$H$27,Overview!B90,Integration!$H$7:$H$27),(SUMIF(Integration!$C$7:$H$27,Overview!B90,Integration!$H$7:$H$27)*Integration!$C$4))+IF(Logistics!$C$3="Project",SUMIF(Logistics!$C$7:$H$27,Overview!B90,Logistics!$H$7:$H$27),(SUMIF(Logistics!$C$7:$H$27,Overview!B90,Logistics!$H$7:$H$27)*Logistics!$C$4))+IF('Service Desk'!$C$3="Project",SUMIF('Service Desk'!$C$7:$H$27,Overview!B90,'Service Desk'!$H$7:$H$27),(SUMIF('Service Desk'!$C$7:$H$27,Overview!B90,'Service Desk'!$H$7:$H$27)*'Service Desk'!$C$4))+IF('Pro Services'!$C$3="Project",SUMIF('Pro Services'!$C$7:$H$27,Overview!B90,'Pro Services'!$H$7:$H$27),(SUMIF('Pro Services'!$C$7:$H$27,Overview!B90,'Pro Services'!$H$7:$H$27)*'Pro Services'!$C$4))</f>
        <v>0</v>
      </c>
      <c r="E90" s="52">
        <f t="shared" ca="1" si="120"/>
        <v>0</v>
      </c>
      <c r="F90" s="52">
        <f t="shared" ref="F90:AK90" si="307">IFERROR(IF(F$28="FALSE",0,$C$90/$C$8),0)</f>
        <v>0</v>
      </c>
      <c r="G90" s="52">
        <f t="shared" si="307"/>
        <v>0</v>
      </c>
      <c r="H90" s="52">
        <f t="shared" si="307"/>
        <v>0</v>
      </c>
      <c r="I90" s="52">
        <f t="shared" si="307"/>
        <v>0</v>
      </c>
      <c r="J90" s="52">
        <f t="shared" si="307"/>
        <v>0</v>
      </c>
      <c r="K90" s="52">
        <f t="shared" si="307"/>
        <v>0</v>
      </c>
      <c r="L90" s="52">
        <f t="shared" si="307"/>
        <v>0</v>
      </c>
      <c r="M90" s="52">
        <f t="shared" si="307"/>
        <v>0</v>
      </c>
      <c r="N90" s="52">
        <f t="shared" si="307"/>
        <v>0</v>
      </c>
      <c r="O90" s="52">
        <f t="shared" si="307"/>
        <v>0</v>
      </c>
      <c r="P90" s="52">
        <f t="shared" si="307"/>
        <v>0</v>
      </c>
      <c r="Q90" s="52">
        <f t="shared" si="307"/>
        <v>0</v>
      </c>
      <c r="R90" s="52">
        <f t="shared" si="307"/>
        <v>0</v>
      </c>
      <c r="S90" s="52">
        <f t="shared" si="307"/>
        <v>0</v>
      </c>
      <c r="T90" s="52">
        <f t="shared" si="307"/>
        <v>0</v>
      </c>
      <c r="U90" s="52">
        <f t="shared" si="307"/>
        <v>0</v>
      </c>
      <c r="V90" s="52">
        <f t="shared" si="307"/>
        <v>0</v>
      </c>
      <c r="W90" s="52">
        <f t="shared" si="307"/>
        <v>0</v>
      </c>
      <c r="X90" s="52">
        <f t="shared" si="307"/>
        <v>0</v>
      </c>
      <c r="Y90" s="52">
        <f t="shared" si="307"/>
        <v>0</v>
      </c>
      <c r="Z90" s="52">
        <f t="shared" si="307"/>
        <v>0</v>
      </c>
      <c r="AA90" s="52">
        <f t="shared" si="307"/>
        <v>0</v>
      </c>
      <c r="AB90" s="52">
        <f t="shared" si="307"/>
        <v>0</v>
      </c>
      <c r="AC90" s="52">
        <f t="shared" si="307"/>
        <v>0</v>
      </c>
      <c r="AD90" s="52">
        <f t="shared" si="307"/>
        <v>0</v>
      </c>
      <c r="AE90" s="52">
        <f t="shared" si="307"/>
        <v>0</v>
      </c>
      <c r="AF90" s="52">
        <f t="shared" si="307"/>
        <v>0</v>
      </c>
      <c r="AG90" s="52">
        <f t="shared" si="307"/>
        <v>0</v>
      </c>
      <c r="AH90" s="52">
        <f t="shared" si="307"/>
        <v>0</v>
      </c>
      <c r="AI90" s="52">
        <f t="shared" si="307"/>
        <v>0</v>
      </c>
      <c r="AJ90" s="52">
        <f t="shared" si="307"/>
        <v>0</v>
      </c>
      <c r="AK90" s="52">
        <f t="shared" si="307"/>
        <v>0</v>
      </c>
      <c r="AL90" s="52">
        <f t="shared" ref="AL90:BQ90" si="308">IFERROR(IF(AL$28="FALSE",0,$C$90/$C$8),0)</f>
        <v>0</v>
      </c>
      <c r="AM90" s="52">
        <f t="shared" si="308"/>
        <v>0</v>
      </c>
      <c r="AN90" s="52">
        <f t="shared" si="308"/>
        <v>0</v>
      </c>
      <c r="AO90" s="52">
        <f t="shared" si="308"/>
        <v>0</v>
      </c>
      <c r="AP90" s="52">
        <f t="shared" si="308"/>
        <v>0</v>
      </c>
      <c r="AQ90" s="52">
        <f t="shared" si="308"/>
        <v>0</v>
      </c>
      <c r="AR90" s="52">
        <f t="shared" si="308"/>
        <v>0</v>
      </c>
      <c r="AS90" s="52">
        <f t="shared" si="308"/>
        <v>0</v>
      </c>
      <c r="AT90" s="52">
        <f t="shared" si="308"/>
        <v>0</v>
      </c>
      <c r="AU90" s="52">
        <f t="shared" si="308"/>
        <v>0</v>
      </c>
      <c r="AV90" s="52">
        <f t="shared" si="308"/>
        <v>0</v>
      </c>
      <c r="AW90" s="52">
        <f t="shared" si="308"/>
        <v>0</v>
      </c>
      <c r="AX90" s="52">
        <f t="shared" si="308"/>
        <v>0</v>
      </c>
      <c r="AY90" s="52">
        <f t="shared" si="308"/>
        <v>0</v>
      </c>
      <c r="AZ90" s="52">
        <f t="shared" si="308"/>
        <v>0</v>
      </c>
      <c r="BA90" s="52">
        <f t="shared" si="308"/>
        <v>0</v>
      </c>
      <c r="BB90" s="52">
        <f t="shared" si="308"/>
        <v>0</v>
      </c>
      <c r="BC90" s="52">
        <f t="shared" si="308"/>
        <v>0</v>
      </c>
      <c r="BD90" s="52">
        <f t="shared" si="308"/>
        <v>0</v>
      </c>
      <c r="BE90" s="52">
        <f t="shared" si="308"/>
        <v>0</v>
      </c>
      <c r="BF90" s="52">
        <f t="shared" si="308"/>
        <v>0</v>
      </c>
      <c r="BG90" s="52">
        <f t="shared" si="308"/>
        <v>0</v>
      </c>
      <c r="BH90" s="52">
        <f t="shared" si="308"/>
        <v>0</v>
      </c>
      <c r="BI90" s="52">
        <f t="shared" si="308"/>
        <v>0</v>
      </c>
      <c r="BJ90" s="52">
        <f t="shared" si="308"/>
        <v>0</v>
      </c>
      <c r="BK90" s="52">
        <f t="shared" si="308"/>
        <v>0</v>
      </c>
      <c r="BL90" s="52">
        <f t="shared" si="308"/>
        <v>0</v>
      </c>
      <c r="BM90" s="52">
        <f t="shared" si="308"/>
        <v>0</v>
      </c>
      <c r="BN90" s="52">
        <f t="shared" si="308"/>
        <v>0</v>
      </c>
      <c r="BO90" s="52">
        <f t="shared" si="308"/>
        <v>0</v>
      </c>
      <c r="BP90" s="52">
        <f t="shared" si="308"/>
        <v>0</v>
      </c>
      <c r="BQ90" s="52">
        <f t="shared" si="308"/>
        <v>0</v>
      </c>
      <c r="BR90" s="52">
        <f t="shared" ref="BR90:CW90" si="309">IFERROR(IF(BR$28="FALSE",0,$C$90/$C$8),0)</f>
        <v>0</v>
      </c>
      <c r="BS90" s="52">
        <f t="shared" si="309"/>
        <v>0</v>
      </c>
      <c r="BT90" s="52">
        <f t="shared" si="309"/>
        <v>0</v>
      </c>
      <c r="BU90" s="52">
        <f t="shared" si="309"/>
        <v>0</v>
      </c>
      <c r="BV90" s="52">
        <f t="shared" si="309"/>
        <v>0</v>
      </c>
      <c r="BW90" s="52">
        <f t="shared" si="309"/>
        <v>0</v>
      </c>
      <c r="BX90" s="52">
        <f t="shared" si="309"/>
        <v>0</v>
      </c>
      <c r="BY90" s="52">
        <f t="shared" si="309"/>
        <v>0</v>
      </c>
      <c r="BZ90" s="52">
        <f t="shared" si="309"/>
        <v>0</v>
      </c>
      <c r="CA90" s="52">
        <f t="shared" si="309"/>
        <v>0</v>
      </c>
      <c r="CB90" s="52">
        <f t="shared" si="309"/>
        <v>0</v>
      </c>
      <c r="CC90" s="52">
        <f t="shared" si="309"/>
        <v>0</v>
      </c>
      <c r="CD90" s="52">
        <f t="shared" si="309"/>
        <v>0</v>
      </c>
      <c r="CE90" s="52">
        <f t="shared" si="309"/>
        <v>0</v>
      </c>
      <c r="CF90" s="52">
        <f t="shared" si="309"/>
        <v>0</v>
      </c>
      <c r="CG90" s="52">
        <f t="shared" si="309"/>
        <v>0</v>
      </c>
      <c r="CH90" s="52">
        <f t="shared" si="309"/>
        <v>0</v>
      </c>
      <c r="CI90" s="52">
        <f t="shared" si="309"/>
        <v>0</v>
      </c>
      <c r="CJ90" s="52">
        <f t="shared" si="309"/>
        <v>0</v>
      </c>
      <c r="CK90" s="52">
        <f t="shared" si="309"/>
        <v>0</v>
      </c>
      <c r="CL90" s="52">
        <f t="shared" si="309"/>
        <v>0</v>
      </c>
      <c r="CM90" s="52">
        <f t="shared" si="309"/>
        <v>0</v>
      </c>
      <c r="CN90" s="52">
        <f t="shared" si="309"/>
        <v>0</v>
      </c>
      <c r="CO90" s="52">
        <f t="shared" si="309"/>
        <v>0</v>
      </c>
      <c r="CP90" s="52">
        <f t="shared" si="309"/>
        <v>0</v>
      </c>
      <c r="CQ90" s="52">
        <f t="shared" si="309"/>
        <v>0</v>
      </c>
      <c r="CR90" s="52">
        <f t="shared" si="309"/>
        <v>0</v>
      </c>
      <c r="CS90" s="52">
        <f t="shared" si="309"/>
        <v>0</v>
      </c>
      <c r="CT90" s="52">
        <f t="shared" si="309"/>
        <v>0</v>
      </c>
      <c r="CU90" s="52">
        <f t="shared" si="309"/>
        <v>0</v>
      </c>
      <c r="CV90" s="52">
        <f t="shared" si="309"/>
        <v>0</v>
      </c>
      <c r="CW90" s="52">
        <f t="shared" si="309"/>
        <v>0</v>
      </c>
      <c r="CX90" s="52">
        <f t="shared" ref="CX90:EC90" si="310">IFERROR(IF(CX$28="FALSE",0,$C$90/$C$8),0)</f>
        <v>0</v>
      </c>
      <c r="CY90" s="52">
        <f t="shared" si="310"/>
        <v>0</v>
      </c>
      <c r="CZ90" s="52">
        <f t="shared" si="310"/>
        <v>0</v>
      </c>
      <c r="DA90" s="52">
        <f t="shared" si="310"/>
        <v>0</v>
      </c>
      <c r="DB90" s="52">
        <f t="shared" si="310"/>
        <v>0</v>
      </c>
      <c r="DC90" s="52">
        <f t="shared" si="310"/>
        <v>0</v>
      </c>
      <c r="DD90" s="52">
        <f t="shared" si="310"/>
        <v>0</v>
      </c>
      <c r="DE90" s="52">
        <f t="shared" si="310"/>
        <v>0</v>
      </c>
      <c r="DF90" s="52">
        <f t="shared" si="310"/>
        <v>0</v>
      </c>
      <c r="DG90" s="52">
        <f t="shared" si="310"/>
        <v>0</v>
      </c>
      <c r="DH90" s="52">
        <f t="shared" si="310"/>
        <v>0</v>
      </c>
      <c r="DI90" s="52">
        <f t="shared" si="310"/>
        <v>0</v>
      </c>
      <c r="DJ90" s="52">
        <f t="shared" si="310"/>
        <v>0</v>
      </c>
      <c r="DK90" s="52">
        <f t="shared" si="310"/>
        <v>0</v>
      </c>
      <c r="DL90" s="52">
        <f t="shared" si="310"/>
        <v>0</v>
      </c>
      <c r="DM90" s="52">
        <f t="shared" si="310"/>
        <v>0</v>
      </c>
      <c r="DN90" s="52">
        <f t="shared" si="310"/>
        <v>0</v>
      </c>
      <c r="DO90" s="52">
        <f t="shared" si="310"/>
        <v>0</v>
      </c>
      <c r="DP90" s="52">
        <f t="shared" si="310"/>
        <v>0</v>
      </c>
      <c r="DQ90" s="52">
        <f t="shared" si="310"/>
        <v>0</v>
      </c>
      <c r="DR90" s="52">
        <f t="shared" si="310"/>
        <v>0</v>
      </c>
      <c r="DS90" s="52">
        <f t="shared" si="310"/>
        <v>0</v>
      </c>
      <c r="DT90" s="52">
        <f t="shared" si="310"/>
        <v>0</v>
      </c>
      <c r="DU90" s="52">
        <f t="shared" si="310"/>
        <v>0</v>
      </c>
      <c r="DV90" s="52">
        <f t="shared" si="310"/>
        <v>0</v>
      </c>
      <c r="DW90" s="52">
        <f t="shared" si="310"/>
        <v>0</v>
      </c>
      <c r="DX90" s="52">
        <f t="shared" si="310"/>
        <v>0</v>
      </c>
      <c r="DY90" s="52">
        <f t="shared" si="310"/>
        <v>0</v>
      </c>
      <c r="DZ90" s="52">
        <f t="shared" si="310"/>
        <v>0</v>
      </c>
      <c r="EA90" s="52">
        <f t="shared" si="310"/>
        <v>0</v>
      </c>
      <c r="EB90" s="52">
        <f t="shared" si="310"/>
        <v>0</v>
      </c>
      <c r="EC90" s="52">
        <f t="shared" si="310"/>
        <v>0</v>
      </c>
      <c r="ED90" s="52">
        <f t="shared" ref="ED90:FD90" si="311">IFERROR(IF(ED$28="FALSE",0,$C$90/$C$8),0)</f>
        <v>0</v>
      </c>
      <c r="EE90" s="52">
        <f t="shared" si="311"/>
        <v>0</v>
      </c>
      <c r="EF90" s="52">
        <f t="shared" si="311"/>
        <v>0</v>
      </c>
      <c r="EG90" s="52">
        <f t="shared" si="311"/>
        <v>0</v>
      </c>
      <c r="EH90" s="52">
        <f t="shared" si="311"/>
        <v>0</v>
      </c>
      <c r="EI90" s="52">
        <f t="shared" si="311"/>
        <v>0</v>
      </c>
      <c r="EJ90" s="52">
        <f t="shared" si="311"/>
        <v>0</v>
      </c>
      <c r="EK90" s="52">
        <f t="shared" si="311"/>
        <v>0</v>
      </c>
      <c r="EL90" s="52">
        <f t="shared" si="311"/>
        <v>0</v>
      </c>
      <c r="EM90" s="52">
        <f t="shared" si="311"/>
        <v>0</v>
      </c>
      <c r="EN90" s="52">
        <f t="shared" si="311"/>
        <v>0</v>
      </c>
      <c r="EO90" s="52">
        <f t="shared" si="311"/>
        <v>0</v>
      </c>
      <c r="EP90" s="52">
        <f t="shared" si="311"/>
        <v>0</v>
      </c>
      <c r="EQ90" s="52">
        <f t="shared" si="311"/>
        <v>0</v>
      </c>
      <c r="ER90" s="52">
        <f t="shared" si="311"/>
        <v>0</v>
      </c>
      <c r="ES90" s="52">
        <f t="shared" si="311"/>
        <v>0</v>
      </c>
      <c r="ET90" s="52">
        <f t="shared" si="311"/>
        <v>0</v>
      </c>
      <c r="EU90" s="52">
        <f t="shared" si="311"/>
        <v>0</v>
      </c>
      <c r="EV90" s="52">
        <f t="shared" si="311"/>
        <v>0</v>
      </c>
      <c r="EW90" s="52">
        <f t="shared" si="311"/>
        <v>0</v>
      </c>
      <c r="EX90" s="52">
        <f t="shared" si="311"/>
        <v>0</v>
      </c>
      <c r="EY90" s="52">
        <f t="shared" si="311"/>
        <v>0</v>
      </c>
      <c r="EZ90" s="52">
        <f t="shared" si="311"/>
        <v>0</v>
      </c>
      <c r="FA90" s="52">
        <f t="shared" si="311"/>
        <v>0</v>
      </c>
      <c r="FB90" s="52">
        <f t="shared" si="311"/>
        <v>0</v>
      </c>
      <c r="FC90" s="52">
        <f t="shared" si="311"/>
        <v>0</v>
      </c>
      <c r="FD90" s="52">
        <f t="shared" si="311"/>
        <v>0</v>
      </c>
    </row>
    <row r="91" spans="2:160">
      <c r="B91" s="51" t="s">
        <v>171</v>
      </c>
      <c r="C91" s="52">
        <f ca="1">IF(Startup!$C$3="Project",SUMIF(Startup!$C$7:$D$27,Overview!B91,Startup!$D$7:$D$27),(SUMIF(Startup!$C$7:$D$27,Overview!B91,Startup!$D$7:$D$27)*Startup!$C$4))+IF(Pilot!$C$3="Project",SUMIF(Pilot!$C$7:$D$27,Overview!B91,Pilot!$D$7:$D$27),(SUMIF(Pilot!$C$7:$D$27,Overview!B91,Pilot!$D$7:$D$27)*Pilot!$C$4))+IF(PMO!$C$3="Project",SUMIF(PMO!$C$7:$D$27,Overview!B91,PMO!$D$7:$D$27),(SUMIF(PMO!$C$7:$D$27,Overview!B91,PMO!$D$7:$D$27)*PMO!$C$4))+IF('Design &amp; Fulfillment'!$C$3="Project",SUMIF('Design &amp; Fulfillment'!$C$7:$D$27,Overview!B91,'Design &amp; Fulfillment'!$D$7:$D$27),(SUMIF('Design &amp; Fulfillment'!$C$7:$D$27,Overview!B91,'Design &amp; Fulfillment'!$D$7:$D$27)*'Design &amp; Fulfillment'!$C$4))+IF(Workplace!$C$3="Project",SUMIF(Workplace!$C$7:$D$27,Overview!B91,Workplace!$D$7:$D$27),(SUMIF(Workplace!$C$7:$D$27,Overview!B91,Workplace!$D$7:$D$27)*Workplace!$C$4))+IF(Integration!$C$3="Project",SUMIF(Integration!$C$7:$D$27,Overview!B91,Integration!$D$7:$D$27),(SUMIF(Integration!$C$7:$D$27,Overview!B91,Integration!$D$7:$D$27)*Integration!$C$4))+IF(Logistics!$C$3="Project",SUMIF(Logistics!$C$7:$D$27,Overview!B91,Logistics!$D$7:$D$27),(SUMIF(Logistics!$C$7:$D$27,Overview!B91,Logistics!$D$7:$D$27)*Logistics!$C$4))+IF('Service Desk'!$C$3="Project",SUMIF('Service Desk'!$C$7:$D$27,Overview!B91,'Service Desk'!$D$7:$D$27),(SUMIF('Service Desk'!$C$7:$D$27,Overview!B91,'Service Desk'!$D$7:$D$27)*'Service Desk'!$C$4))+IF('Pro Services'!$C$3="Project",SUMIF('Pro Services'!$C$7:$D$27,Overview!B91,'Pro Services'!$D$7:$D$27),(SUMIF('Pro Services'!$C$7:$D$27,Overview!B91,'Pro Services'!$D$7:$D$27)*'Pro Services'!$C$4))</f>
        <v>0</v>
      </c>
      <c r="D91" s="53">
        <f ca="1">IF(Startup!$C$3="Project",SUMIF(Startup!$C$7:$H$27,Overview!B91,Startup!$H$7:$H$27),(SUMIF(Startup!$C$7:$H$27,Overview!B91,Startup!$H$7:$H$27)*Startup!$C$4))+IF(Pilot!$C$3="Project",SUMIF(Pilot!$C$7:$H$27,Overview!B91,Pilot!$H$7:$H$27),(SUMIF(Pilot!$C$7:$H$27,Overview!B91,Pilot!$H$7:$H$27)*Pilot!$C$4))+IF(PMO!$C$3="Project",SUMIF(PMO!$C$7:$H$27,Overview!B91,PMO!$H$7:$H$27),(SUMIF(PMO!$C$7:$H$27,Overview!B91,PMO!$H$7:$H$27)*PMO!$C$4))+IF('Design &amp; Fulfillment'!$C$3="Project",SUMIF('Design &amp; Fulfillment'!$C$7:$H$27,Overview!B91,'Design &amp; Fulfillment'!$H$7:$H$27),(SUMIF('Design &amp; Fulfillment'!$C$7:$H$27,Overview!B91,'Design &amp; Fulfillment'!$H$7:$H$27)*'Design &amp; Fulfillment'!$C$4))+IF(Workplace!$C$3="Project",SUMIF(Workplace!$C$7:$H$27,Overview!B91,Workplace!$H$7:$H$27),(SUMIF(Workplace!$C$7:$H$27,Overview!B91,Workplace!$H$7:$H$27)*Workplace!$C$4))+IF(Integration!$C$3="Project",SUMIF(Integration!$C$7:$H$27,Overview!B91,Integration!$H$7:$H$27),(SUMIF(Integration!$C$7:$H$27,Overview!B91,Integration!$H$7:$H$27)*Integration!$C$4))+IF(Logistics!$C$3="Project",SUMIF(Logistics!$C$7:$H$27,Overview!B91,Logistics!$H$7:$H$27),(SUMIF(Logistics!$C$7:$H$27,Overview!B91,Logistics!$H$7:$H$27)*Logistics!$C$4))+IF('Service Desk'!$C$3="Project",SUMIF('Service Desk'!$C$7:$H$27,Overview!B91,'Service Desk'!$H$7:$H$27),(SUMIF('Service Desk'!$C$7:$H$27,Overview!B91,'Service Desk'!$H$7:$H$27)*'Service Desk'!$C$4))+IF('Pro Services'!$C$3="Project",SUMIF('Pro Services'!$C$7:$H$27,Overview!B91,'Pro Services'!$H$7:$H$27),(SUMIF('Pro Services'!$C$7:$H$27,Overview!B91,'Pro Services'!$H$7:$H$27)*'Pro Services'!$C$4))</f>
        <v>0</v>
      </c>
      <c r="E91" s="52">
        <f t="shared" ca="1" si="120"/>
        <v>0</v>
      </c>
      <c r="F91" s="52">
        <f t="shared" ref="F91:AK91" si="312">IFERROR(IF(F$28="FALSE",0,$C$91/$C$8),0)</f>
        <v>0</v>
      </c>
      <c r="G91" s="52">
        <f t="shared" si="312"/>
        <v>0</v>
      </c>
      <c r="H91" s="52">
        <f t="shared" si="312"/>
        <v>0</v>
      </c>
      <c r="I91" s="52">
        <f t="shared" si="312"/>
        <v>0</v>
      </c>
      <c r="J91" s="52">
        <f t="shared" si="312"/>
        <v>0</v>
      </c>
      <c r="K91" s="52">
        <f t="shared" si="312"/>
        <v>0</v>
      </c>
      <c r="L91" s="52">
        <f t="shared" si="312"/>
        <v>0</v>
      </c>
      <c r="M91" s="52">
        <f t="shared" si="312"/>
        <v>0</v>
      </c>
      <c r="N91" s="52">
        <f t="shared" si="312"/>
        <v>0</v>
      </c>
      <c r="O91" s="52">
        <f t="shared" si="312"/>
        <v>0</v>
      </c>
      <c r="P91" s="52">
        <f t="shared" si="312"/>
        <v>0</v>
      </c>
      <c r="Q91" s="52">
        <f t="shared" si="312"/>
        <v>0</v>
      </c>
      <c r="R91" s="52">
        <f t="shared" si="312"/>
        <v>0</v>
      </c>
      <c r="S91" s="52">
        <f t="shared" si="312"/>
        <v>0</v>
      </c>
      <c r="T91" s="52">
        <f t="shared" si="312"/>
        <v>0</v>
      </c>
      <c r="U91" s="52">
        <f t="shared" si="312"/>
        <v>0</v>
      </c>
      <c r="V91" s="52">
        <f t="shared" si="312"/>
        <v>0</v>
      </c>
      <c r="W91" s="52">
        <f t="shared" si="312"/>
        <v>0</v>
      </c>
      <c r="X91" s="52">
        <f t="shared" si="312"/>
        <v>0</v>
      </c>
      <c r="Y91" s="52">
        <f t="shared" si="312"/>
        <v>0</v>
      </c>
      <c r="Z91" s="52">
        <f t="shared" si="312"/>
        <v>0</v>
      </c>
      <c r="AA91" s="52">
        <f t="shared" si="312"/>
        <v>0</v>
      </c>
      <c r="AB91" s="52">
        <f t="shared" si="312"/>
        <v>0</v>
      </c>
      <c r="AC91" s="52">
        <f t="shared" si="312"/>
        <v>0</v>
      </c>
      <c r="AD91" s="52">
        <f t="shared" si="312"/>
        <v>0</v>
      </c>
      <c r="AE91" s="52">
        <f t="shared" si="312"/>
        <v>0</v>
      </c>
      <c r="AF91" s="52">
        <f t="shared" si="312"/>
        <v>0</v>
      </c>
      <c r="AG91" s="52">
        <f t="shared" si="312"/>
        <v>0</v>
      </c>
      <c r="AH91" s="52">
        <f t="shared" si="312"/>
        <v>0</v>
      </c>
      <c r="AI91" s="52">
        <f t="shared" si="312"/>
        <v>0</v>
      </c>
      <c r="AJ91" s="52">
        <f t="shared" si="312"/>
        <v>0</v>
      </c>
      <c r="AK91" s="52">
        <f t="shared" si="312"/>
        <v>0</v>
      </c>
      <c r="AL91" s="52">
        <f t="shared" ref="AL91:BQ91" si="313">IFERROR(IF(AL$28="FALSE",0,$C$91/$C$8),0)</f>
        <v>0</v>
      </c>
      <c r="AM91" s="52">
        <f t="shared" si="313"/>
        <v>0</v>
      </c>
      <c r="AN91" s="52">
        <f t="shared" si="313"/>
        <v>0</v>
      </c>
      <c r="AO91" s="52">
        <f t="shared" si="313"/>
        <v>0</v>
      </c>
      <c r="AP91" s="52">
        <f t="shared" si="313"/>
        <v>0</v>
      </c>
      <c r="AQ91" s="52">
        <f t="shared" si="313"/>
        <v>0</v>
      </c>
      <c r="AR91" s="52">
        <f t="shared" si="313"/>
        <v>0</v>
      </c>
      <c r="AS91" s="52">
        <f t="shared" si="313"/>
        <v>0</v>
      </c>
      <c r="AT91" s="52">
        <f t="shared" si="313"/>
        <v>0</v>
      </c>
      <c r="AU91" s="52">
        <f t="shared" si="313"/>
        <v>0</v>
      </c>
      <c r="AV91" s="52">
        <f t="shared" si="313"/>
        <v>0</v>
      </c>
      <c r="AW91" s="52">
        <f t="shared" si="313"/>
        <v>0</v>
      </c>
      <c r="AX91" s="52">
        <f t="shared" si="313"/>
        <v>0</v>
      </c>
      <c r="AY91" s="52">
        <f t="shared" si="313"/>
        <v>0</v>
      </c>
      <c r="AZ91" s="52">
        <f t="shared" si="313"/>
        <v>0</v>
      </c>
      <c r="BA91" s="52">
        <f t="shared" si="313"/>
        <v>0</v>
      </c>
      <c r="BB91" s="52">
        <f t="shared" si="313"/>
        <v>0</v>
      </c>
      <c r="BC91" s="52">
        <f t="shared" si="313"/>
        <v>0</v>
      </c>
      <c r="BD91" s="52">
        <f t="shared" si="313"/>
        <v>0</v>
      </c>
      <c r="BE91" s="52">
        <f t="shared" si="313"/>
        <v>0</v>
      </c>
      <c r="BF91" s="52">
        <f t="shared" si="313"/>
        <v>0</v>
      </c>
      <c r="BG91" s="52">
        <f t="shared" si="313"/>
        <v>0</v>
      </c>
      <c r="BH91" s="52">
        <f t="shared" si="313"/>
        <v>0</v>
      </c>
      <c r="BI91" s="52">
        <f t="shared" si="313"/>
        <v>0</v>
      </c>
      <c r="BJ91" s="52">
        <f t="shared" si="313"/>
        <v>0</v>
      </c>
      <c r="BK91" s="52">
        <f t="shared" si="313"/>
        <v>0</v>
      </c>
      <c r="BL91" s="52">
        <f t="shared" si="313"/>
        <v>0</v>
      </c>
      <c r="BM91" s="52">
        <f t="shared" si="313"/>
        <v>0</v>
      </c>
      <c r="BN91" s="52">
        <f t="shared" si="313"/>
        <v>0</v>
      </c>
      <c r="BO91" s="52">
        <f t="shared" si="313"/>
        <v>0</v>
      </c>
      <c r="BP91" s="52">
        <f t="shared" si="313"/>
        <v>0</v>
      </c>
      <c r="BQ91" s="52">
        <f t="shared" si="313"/>
        <v>0</v>
      </c>
      <c r="BR91" s="52">
        <f t="shared" ref="BR91:CW91" si="314">IFERROR(IF(BR$28="FALSE",0,$C$91/$C$8),0)</f>
        <v>0</v>
      </c>
      <c r="BS91" s="52">
        <f t="shared" si="314"/>
        <v>0</v>
      </c>
      <c r="BT91" s="52">
        <f t="shared" si="314"/>
        <v>0</v>
      </c>
      <c r="BU91" s="52">
        <f t="shared" si="314"/>
        <v>0</v>
      </c>
      <c r="BV91" s="52">
        <f t="shared" si="314"/>
        <v>0</v>
      </c>
      <c r="BW91" s="52">
        <f t="shared" si="314"/>
        <v>0</v>
      </c>
      <c r="BX91" s="52">
        <f t="shared" si="314"/>
        <v>0</v>
      </c>
      <c r="BY91" s="52">
        <f t="shared" si="314"/>
        <v>0</v>
      </c>
      <c r="BZ91" s="52">
        <f t="shared" si="314"/>
        <v>0</v>
      </c>
      <c r="CA91" s="52">
        <f t="shared" si="314"/>
        <v>0</v>
      </c>
      <c r="CB91" s="52">
        <f t="shared" si="314"/>
        <v>0</v>
      </c>
      <c r="CC91" s="52">
        <f t="shared" si="314"/>
        <v>0</v>
      </c>
      <c r="CD91" s="52">
        <f t="shared" si="314"/>
        <v>0</v>
      </c>
      <c r="CE91" s="52">
        <f t="shared" si="314"/>
        <v>0</v>
      </c>
      <c r="CF91" s="52">
        <f t="shared" si="314"/>
        <v>0</v>
      </c>
      <c r="CG91" s="52">
        <f t="shared" si="314"/>
        <v>0</v>
      </c>
      <c r="CH91" s="52">
        <f t="shared" si="314"/>
        <v>0</v>
      </c>
      <c r="CI91" s="52">
        <f t="shared" si="314"/>
        <v>0</v>
      </c>
      <c r="CJ91" s="52">
        <f t="shared" si="314"/>
        <v>0</v>
      </c>
      <c r="CK91" s="52">
        <f t="shared" si="314"/>
        <v>0</v>
      </c>
      <c r="CL91" s="52">
        <f t="shared" si="314"/>
        <v>0</v>
      </c>
      <c r="CM91" s="52">
        <f t="shared" si="314"/>
        <v>0</v>
      </c>
      <c r="CN91" s="52">
        <f t="shared" si="314"/>
        <v>0</v>
      </c>
      <c r="CO91" s="52">
        <f t="shared" si="314"/>
        <v>0</v>
      </c>
      <c r="CP91" s="52">
        <f t="shared" si="314"/>
        <v>0</v>
      </c>
      <c r="CQ91" s="52">
        <f t="shared" si="314"/>
        <v>0</v>
      </c>
      <c r="CR91" s="52">
        <f t="shared" si="314"/>
        <v>0</v>
      </c>
      <c r="CS91" s="52">
        <f t="shared" si="314"/>
        <v>0</v>
      </c>
      <c r="CT91" s="52">
        <f t="shared" si="314"/>
        <v>0</v>
      </c>
      <c r="CU91" s="52">
        <f t="shared" si="314"/>
        <v>0</v>
      </c>
      <c r="CV91" s="52">
        <f t="shared" si="314"/>
        <v>0</v>
      </c>
      <c r="CW91" s="52">
        <f t="shared" si="314"/>
        <v>0</v>
      </c>
      <c r="CX91" s="52">
        <f t="shared" ref="CX91:EC91" si="315">IFERROR(IF(CX$28="FALSE",0,$C$91/$C$8),0)</f>
        <v>0</v>
      </c>
      <c r="CY91" s="52">
        <f t="shared" si="315"/>
        <v>0</v>
      </c>
      <c r="CZ91" s="52">
        <f t="shared" si="315"/>
        <v>0</v>
      </c>
      <c r="DA91" s="52">
        <f t="shared" si="315"/>
        <v>0</v>
      </c>
      <c r="DB91" s="52">
        <f t="shared" si="315"/>
        <v>0</v>
      </c>
      <c r="DC91" s="52">
        <f t="shared" si="315"/>
        <v>0</v>
      </c>
      <c r="DD91" s="52">
        <f t="shared" si="315"/>
        <v>0</v>
      </c>
      <c r="DE91" s="52">
        <f t="shared" si="315"/>
        <v>0</v>
      </c>
      <c r="DF91" s="52">
        <f t="shared" si="315"/>
        <v>0</v>
      </c>
      <c r="DG91" s="52">
        <f t="shared" si="315"/>
        <v>0</v>
      </c>
      <c r="DH91" s="52">
        <f t="shared" si="315"/>
        <v>0</v>
      </c>
      <c r="DI91" s="52">
        <f t="shared" si="315"/>
        <v>0</v>
      </c>
      <c r="DJ91" s="52">
        <f t="shared" si="315"/>
        <v>0</v>
      </c>
      <c r="DK91" s="52">
        <f t="shared" si="315"/>
        <v>0</v>
      </c>
      <c r="DL91" s="52">
        <f t="shared" si="315"/>
        <v>0</v>
      </c>
      <c r="DM91" s="52">
        <f t="shared" si="315"/>
        <v>0</v>
      </c>
      <c r="DN91" s="52">
        <f t="shared" si="315"/>
        <v>0</v>
      </c>
      <c r="DO91" s="52">
        <f t="shared" si="315"/>
        <v>0</v>
      </c>
      <c r="DP91" s="52">
        <f t="shared" si="315"/>
        <v>0</v>
      </c>
      <c r="DQ91" s="52">
        <f t="shared" si="315"/>
        <v>0</v>
      </c>
      <c r="DR91" s="52">
        <f t="shared" si="315"/>
        <v>0</v>
      </c>
      <c r="DS91" s="52">
        <f t="shared" si="315"/>
        <v>0</v>
      </c>
      <c r="DT91" s="52">
        <f t="shared" si="315"/>
        <v>0</v>
      </c>
      <c r="DU91" s="52">
        <f t="shared" si="315"/>
        <v>0</v>
      </c>
      <c r="DV91" s="52">
        <f t="shared" si="315"/>
        <v>0</v>
      </c>
      <c r="DW91" s="52">
        <f t="shared" si="315"/>
        <v>0</v>
      </c>
      <c r="DX91" s="52">
        <f t="shared" si="315"/>
        <v>0</v>
      </c>
      <c r="DY91" s="52">
        <f t="shared" si="315"/>
        <v>0</v>
      </c>
      <c r="DZ91" s="52">
        <f t="shared" si="315"/>
        <v>0</v>
      </c>
      <c r="EA91" s="52">
        <f t="shared" si="315"/>
        <v>0</v>
      </c>
      <c r="EB91" s="52">
        <f t="shared" si="315"/>
        <v>0</v>
      </c>
      <c r="EC91" s="52">
        <f t="shared" si="315"/>
        <v>0</v>
      </c>
      <c r="ED91" s="52">
        <f t="shared" ref="ED91:FD91" si="316">IFERROR(IF(ED$28="FALSE",0,$C$91/$C$8),0)</f>
        <v>0</v>
      </c>
      <c r="EE91" s="52">
        <f t="shared" si="316"/>
        <v>0</v>
      </c>
      <c r="EF91" s="52">
        <f t="shared" si="316"/>
        <v>0</v>
      </c>
      <c r="EG91" s="52">
        <f t="shared" si="316"/>
        <v>0</v>
      </c>
      <c r="EH91" s="52">
        <f t="shared" si="316"/>
        <v>0</v>
      </c>
      <c r="EI91" s="52">
        <f t="shared" si="316"/>
        <v>0</v>
      </c>
      <c r="EJ91" s="52">
        <f t="shared" si="316"/>
        <v>0</v>
      </c>
      <c r="EK91" s="52">
        <f t="shared" si="316"/>
        <v>0</v>
      </c>
      <c r="EL91" s="52">
        <f t="shared" si="316"/>
        <v>0</v>
      </c>
      <c r="EM91" s="52">
        <f t="shared" si="316"/>
        <v>0</v>
      </c>
      <c r="EN91" s="52">
        <f t="shared" si="316"/>
        <v>0</v>
      </c>
      <c r="EO91" s="52">
        <f t="shared" si="316"/>
        <v>0</v>
      </c>
      <c r="EP91" s="52">
        <f t="shared" si="316"/>
        <v>0</v>
      </c>
      <c r="EQ91" s="52">
        <f t="shared" si="316"/>
        <v>0</v>
      </c>
      <c r="ER91" s="52">
        <f t="shared" si="316"/>
        <v>0</v>
      </c>
      <c r="ES91" s="52">
        <f t="shared" si="316"/>
        <v>0</v>
      </c>
      <c r="ET91" s="52">
        <f t="shared" si="316"/>
        <v>0</v>
      </c>
      <c r="EU91" s="52">
        <f t="shared" si="316"/>
        <v>0</v>
      </c>
      <c r="EV91" s="52">
        <f t="shared" si="316"/>
        <v>0</v>
      </c>
      <c r="EW91" s="52">
        <f t="shared" si="316"/>
        <v>0</v>
      </c>
      <c r="EX91" s="52">
        <f t="shared" si="316"/>
        <v>0</v>
      </c>
      <c r="EY91" s="52">
        <f t="shared" si="316"/>
        <v>0</v>
      </c>
      <c r="EZ91" s="52">
        <f t="shared" si="316"/>
        <v>0</v>
      </c>
      <c r="FA91" s="52">
        <f t="shared" si="316"/>
        <v>0</v>
      </c>
      <c r="FB91" s="52">
        <f t="shared" si="316"/>
        <v>0</v>
      </c>
      <c r="FC91" s="52">
        <f t="shared" si="316"/>
        <v>0</v>
      </c>
      <c r="FD91" s="52">
        <f t="shared" si="316"/>
        <v>0</v>
      </c>
    </row>
    <row r="92" spans="2:160">
      <c r="B92" s="51" t="s">
        <v>172</v>
      </c>
      <c r="C92" s="52">
        <f ca="1">IF(Startup!$C$3="Project",SUMIF(Startup!$C$7:$D$27,Overview!B92,Startup!$D$7:$D$27),(SUMIF(Startup!$C$7:$D$27,Overview!B92,Startup!$D$7:$D$27)*Startup!$C$4))+IF(Pilot!$C$3="Project",SUMIF(Pilot!$C$7:$D$27,Overview!B92,Pilot!$D$7:$D$27),(SUMIF(Pilot!$C$7:$D$27,Overview!B92,Pilot!$D$7:$D$27)*Pilot!$C$4))+IF(PMO!$C$3="Project",SUMIF(PMO!$C$7:$D$27,Overview!B92,PMO!$D$7:$D$27),(SUMIF(PMO!$C$7:$D$27,Overview!B92,PMO!$D$7:$D$27)*PMO!$C$4))+IF('Design &amp; Fulfillment'!$C$3="Project",SUMIF('Design &amp; Fulfillment'!$C$7:$D$27,Overview!B92,'Design &amp; Fulfillment'!$D$7:$D$27),(SUMIF('Design &amp; Fulfillment'!$C$7:$D$27,Overview!B92,'Design &amp; Fulfillment'!$D$7:$D$27)*'Design &amp; Fulfillment'!$C$4))+IF(Workplace!$C$3="Project",SUMIF(Workplace!$C$7:$D$27,Overview!B92,Workplace!$D$7:$D$27),(SUMIF(Workplace!$C$7:$D$27,Overview!B92,Workplace!$D$7:$D$27)*Workplace!$C$4))+IF(Integration!$C$3="Project",SUMIF(Integration!$C$7:$D$27,Overview!B92,Integration!$D$7:$D$27),(SUMIF(Integration!$C$7:$D$27,Overview!B92,Integration!$D$7:$D$27)*Integration!$C$4))+IF(Logistics!$C$3="Project",SUMIF(Logistics!$C$7:$D$27,Overview!B92,Logistics!$D$7:$D$27),(SUMIF(Logistics!$C$7:$D$27,Overview!B92,Logistics!$D$7:$D$27)*Logistics!$C$4))+IF('Service Desk'!$C$3="Project",SUMIF('Service Desk'!$C$7:$D$27,Overview!B92,'Service Desk'!$D$7:$D$27),(SUMIF('Service Desk'!$C$7:$D$27,Overview!B92,'Service Desk'!$D$7:$D$27)*'Service Desk'!$C$4))+IF('Pro Services'!$C$3="Project",SUMIF('Pro Services'!$C$7:$D$27,Overview!B92,'Pro Services'!$D$7:$D$27),(SUMIF('Pro Services'!$C$7:$D$27,Overview!B92,'Pro Services'!$D$7:$D$27)*'Pro Services'!$C$4))</f>
        <v>0</v>
      </c>
      <c r="D92" s="53">
        <f ca="1">IF(Startup!$C$3="Project",SUMIF(Startup!$C$7:$H$27,Overview!B92,Startup!$H$7:$H$27),(SUMIF(Startup!$C$7:$H$27,Overview!B92,Startup!$H$7:$H$27)*Startup!$C$4))+IF(Pilot!$C$3="Project",SUMIF(Pilot!$C$7:$H$27,Overview!B92,Pilot!$H$7:$H$27),(SUMIF(Pilot!$C$7:$H$27,Overview!B92,Pilot!$H$7:$H$27)*Pilot!$C$4))+IF(PMO!$C$3="Project",SUMIF(PMO!$C$7:$H$27,Overview!B92,PMO!$H$7:$H$27),(SUMIF(PMO!$C$7:$H$27,Overview!B92,PMO!$H$7:$H$27)*PMO!$C$4))+IF('Design &amp; Fulfillment'!$C$3="Project",SUMIF('Design &amp; Fulfillment'!$C$7:$H$27,Overview!B92,'Design &amp; Fulfillment'!$H$7:$H$27),(SUMIF('Design &amp; Fulfillment'!$C$7:$H$27,Overview!B92,'Design &amp; Fulfillment'!$H$7:$H$27)*'Design &amp; Fulfillment'!$C$4))+IF(Workplace!$C$3="Project",SUMIF(Workplace!$C$7:$H$27,Overview!B92,Workplace!$H$7:$H$27),(SUMIF(Workplace!$C$7:$H$27,Overview!B92,Workplace!$H$7:$H$27)*Workplace!$C$4))+IF(Integration!$C$3="Project",SUMIF(Integration!$C$7:$H$27,Overview!B92,Integration!$H$7:$H$27),(SUMIF(Integration!$C$7:$H$27,Overview!B92,Integration!$H$7:$H$27)*Integration!$C$4))+IF(Logistics!$C$3="Project",SUMIF(Logistics!$C$7:$H$27,Overview!B92,Logistics!$H$7:$H$27),(SUMIF(Logistics!$C$7:$H$27,Overview!B92,Logistics!$H$7:$H$27)*Logistics!$C$4))+IF('Service Desk'!$C$3="Project",SUMIF('Service Desk'!$C$7:$H$27,Overview!B92,'Service Desk'!$H$7:$H$27),(SUMIF('Service Desk'!$C$7:$H$27,Overview!B92,'Service Desk'!$H$7:$H$27)*'Service Desk'!$C$4))+IF('Pro Services'!$C$3="Project",SUMIF('Pro Services'!$C$7:$H$27,Overview!B92,'Pro Services'!$H$7:$H$27),(SUMIF('Pro Services'!$C$7:$H$27,Overview!B92,'Pro Services'!$H$7:$H$27)*'Pro Services'!$C$4))</f>
        <v>0</v>
      </c>
      <c r="E92" s="52">
        <f t="shared" ca="1" si="120"/>
        <v>0</v>
      </c>
      <c r="F92" s="52">
        <f t="shared" ref="F92:AK92" si="317">IFERROR(IF(F$28="FALSE",0,$C$92/$C$8),0)</f>
        <v>0</v>
      </c>
      <c r="G92" s="52">
        <f t="shared" si="317"/>
        <v>0</v>
      </c>
      <c r="H92" s="52">
        <f t="shared" si="317"/>
        <v>0</v>
      </c>
      <c r="I92" s="52">
        <f t="shared" si="317"/>
        <v>0</v>
      </c>
      <c r="J92" s="52">
        <f t="shared" si="317"/>
        <v>0</v>
      </c>
      <c r="K92" s="52">
        <f t="shared" si="317"/>
        <v>0</v>
      </c>
      <c r="L92" s="52">
        <f t="shared" si="317"/>
        <v>0</v>
      </c>
      <c r="M92" s="52">
        <f t="shared" si="317"/>
        <v>0</v>
      </c>
      <c r="N92" s="52">
        <f t="shared" si="317"/>
        <v>0</v>
      </c>
      <c r="O92" s="52">
        <f t="shared" si="317"/>
        <v>0</v>
      </c>
      <c r="P92" s="52">
        <f t="shared" si="317"/>
        <v>0</v>
      </c>
      <c r="Q92" s="52">
        <f t="shared" si="317"/>
        <v>0</v>
      </c>
      <c r="R92" s="52">
        <f t="shared" si="317"/>
        <v>0</v>
      </c>
      <c r="S92" s="52">
        <f t="shared" si="317"/>
        <v>0</v>
      </c>
      <c r="T92" s="52">
        <f t="shared" si="317"/>
        <v>0</v>
      </c>
      <c r="U92" s="52">
        <f t="shared" si="317"/>
        <v>0</v>
      </c>
      <c r="V92" s="52">
        <f t="shared" si="317"/>
        <v>0</v>
      </c>
      <c r="W92" s="52">
        <f t="shared" si="317"/>
        <v>0</v>
      </c>
      <c r="X92" s="52">
        <f t="shared" si="317"/>
        <v>0</v>
      </c>
      <c r="Y92" s="52">
        <f t="shared" si="317"/>
        <v>0</v>
      </c>
      <c r="Z92" s="52">
        <f t="shared" si="317"/>
        <v>0</v>
      </c>
      <c r="AA92" s="52">
        <f t="shared" si="317"/>
        <v>0</v>
      </c>
      <c r="AB92" s="52">
        <f t="shared" si="317"/>
        <v>0</v>
      </c>
      <c r="AC92" s="52">
        <f t="shared" si="317"/>
        <v>0</v>
      </c>
      <c r="AD92" s="52">
        <f t="shared" si="317"/>
        <v>0</v>
      </c>
      <c r="AE92" s="52">
        <f t="shared" si="317"/>
        <v>0</v>
      </c>
      <c r="AF92" s="52">
        <f t="shared" si="317"/>
        <v>0</v>
      </c>
      <c r="AG92" s="52">
        <f t="shared" si="317"/>
        <v>0</v>
      </c>
      <c r="AH92" s="52">
        <f t="shared" si="317"/>
        <v>0</v>
      </c>
      <c r="AI92" s="52">
        <f t="shared" si="317"/>
        <v>0</v>
      </c>
      <c r="AJ92" s="52">
        <f t="shared" si="317"/>
        <v>0</v>
      </c>
      <c r="AK92" s="52">
        <f t="shared" si="317"/>
        <v>0</v>
      </c>
      <c r="AL92" s="52">
        <f t="shared" ref="AL92:BQ92" si="318">IFERROR(IF(AL$28="FALSE",0,$C$92/$C$8),0)</f>
        <v>0</v>
      </c>
      <c r="AM92" s="52">
        <f t="shared" si="318"/>
        <v>0</v>
      </c>
      <c r="AN92" s="52">
        <f t="shared" si="318"/>
        <v>0</v>
      </c>
      <c r="AO92" s="52">
        <f t="shared" si="318"/>
        <v>0</v>
      </c>
      <c r="AP92" s="52">
        <f t="shared" si="318"/>
        <v>0</v>
      </c>
      <c r="AQ92" s="52">
        <f t="shared" si="318"/>
        <v>0</v>
      </c>
      <c r="AR92" s="52">
        <f t="shared" si="318"/>
        <v>0</v>
      </c>
      <c r="AS92" s="52">
        <f t="shared" si="318"/>
        <v>0</v>
      </c>
      <c r="AT92" s="52">
        <f t="shared" si="318"/>
        <v>0</v>
      </c>
      <c r="AU92" s="52">
        <f t="shared" si="318"/>
        <v>0</v>
      </c>
      <c r="AV92" s="52">
        <f t="shared" si="318"/>
        <v>0</v>
      </c>
      <c r="AW92" s="52">
        <f t="shared" si="318"/>
        <v>0</v>
      </c>
      <c r="AX92" s="52">
        <f t="shared" si="318"/>
        <v>0</v>
      </c>
      <c r="AY92" s="52">
        <f t="shared" si="318"/>
        <v>0</v>
      </c>
      <c r="AZ92" s="52">
        <f t="shared" si="318"/>
        <v>0</v>
      </c>
      <c r="BA92" s="52">
        <f t="shared" si="318"/>
        <v>0</v>
      </c>
      <c r="BB92" s="52">
        <f t="shared" si="318"/>
        <v>0</v>
      </c>
      <c r="BC92" s="52">
        <f t="shared" si="318"/>
        <v>0</v>
      </c>
      <c r="BD92" s="52">
        <f t="shared" si="318"/>
        <v>0</v>
      </c>
      <c r="BE92" s="52">
        <f t="shared" si="318"/>
        <v>0</v>
      </c>
      <c r="BF92" s="52">
        <f t="shared" si="318"/>
        <v>0</v>
      </c>
      <c r="BG92" s="52">
        <f t="shared" si="318"/>
        <v>0</v>
      </c>
      <c r="BH92" s="52">
        <f t="shared" si="318"/>
        <v>0</v>
      </c>
      <c r="BI92" s="52">
        <f t="shared" si="318"/>
        <v>0</v>
      </c>
      <c r="BJ92" s="52">
        <f t="shared" si="318"/>
        <v>0</v>
      </c>
      <c r="BK92" s="52">
        <f t="shared" si="318"/>
        <v>0</v>
      </c>
      <c r="BL92" s="52">
        <f t="shared" si="318"/>
        <v>0</v>
      </c>
      <c r="BM92" s="52">
        <f t="shared" si="318"/>
        <v>0</v>
      </c>
      <c r="BN92" s="52">
        <f t="shared" si="318"/>
        <v>0</v>
      </c>
      <c r="BO92" s="52">
        <f t="shared" si="318"/>
        <v>0</v>
      </c>
      <c r="BP92" s="52">
        <f t="shared" si="318"/>
        <v>0</v>
      </c>
      <c r="BQ92" s="52">
        <f t="shared" si="318"/>
        <v>0</v>
      </c>
      <c r="BR92" s="52">
        <f t="shared" ref="BR92:CW92" si="319">IFERROR(IF(BR$28="FALSE",0,$C$92/$C$8),0)</f>
        <v>0</v>
      </c>
      <c r="BS92" s="52">
        <f t="shared" si="319"/>
        <v>0</v>
      </c>
      <c r="BT92" s="52">
        <f t="shared" si="319"/>
        <v>0</v>
      </c>
      <c r="BU92" s="52">
        <f t="shared" si="319"/>
        <v>0</v>
      </c>
      <c r="BV92" s="52">
        <f t="shared" si="319"/>
        <v>0</v>
      </c>
      <c r="BW92" s="52">
        <f t="shared" si="319"/>
        <v>0</v>
      </c>
      <c r="BX92" s="52">
        <f t="shared" si="319"/>
        <v>0</v>
      </c>
      <c r="BY92" s="52">
        <f t="shared" si="319"/>
        <v>0</v>
      </c>
      <c r="BZ92" s="52">
        <f t="shared" si="319"/>
        <v>0</v>
      </c>
      <c r="CA92" s="52">
        <f t="shared" si="319"/>
        <v>0</v>
      </c>
      <c r="CB92" s="52">
        <f t="shared" si="319"/>
        <v>0</v>
      </c>
      <c r="CC92" s="52">
        <f t="shared" si="319"/>
        <v>0</v>
      </c>
      <c r="CD92" s="52">
        <f t="shared" si="319"/>
        <v>0</v>
      </c>
      <c r="CE92" s="52">
        <f t="shared" si="319"/>
        <v>0</v>
      </c>
      <c r="CF92" s="52">
        <f t="shared" si="319"/>
        <v>0</v>
      </c>
      <c r="CG92" s="52">
        <f t="shared" si="319"/>
        <v>0</v>
      </c>
      <c r="CH92" s="52">
        <f t="shared" si="319"/>
        <v>0</v>
      </c>
      <c r="CI92" s="52">
        <f t="shared" si="319"/>
        <v>0</v>
      </c>
      <c r="CJ92" s="52">
        <f t="shared" si="319"/>
        <v>0</v>
      </c>
      <c r="CK92" s="52">
        <f t="shared" si="319"/>
        <v>0</v>
      </c>
      <c r="CL92" s="52">
        <f t="shared" si="319"/>
        <v>0</v>
      </c>
      <c r="CM92" s="52">
        <f t="shared" si="319"/>
        <v>0</v>
      </c>
      <c r="CN92" s="52">
        <f t="shared" si="319"/>
        <v>0</v>
      </c>
      <c r="CO92" s="52">
        <f t="shared" si="319"/>
        <v>0</v>
      </c>
      <c r="CP92" s="52">
        <f t="shared" si="319"/>
        <v>0</v>
      </c>
      <c r="CQ92" s="52">
        <f t="shared" si="319"/>
        <v>0</v>
      </c>
      <c r="CR92" s="52">
        <f t="shared" si="319"/>
        <v>0</v>
      </c>
      <c r="CS92" s="52">
        <f t="shared" si="319"/>
        <v>0</v>
      </c>
      <c r="CT92" s="52">
        <f t="shared" si="319"/>
        <v>0</v>
      </c>
      <c r="CU92" s="52">
        <f t="shared" si="319"/>
        <v>0</v>
      </c>
      <c r="CV92" s="52">
        <f t="shared" si="319"/>
        <v>0</v>
      </c>
      <c r="CW92" s="52">
        <f t="shared" si="319"/>
        <v>0</v>
      </c>
      <c r="CX92" s="52">
        <f t="shared" ref="CX92:EC92" si="320">IFERROR(IF(CX$28="FALSE",0,$C$92/$C$8),0)</f>
        <v>0</v>
      </c>
      <c r="CY92" s="52">
        <f t="shared" si="320"/>
        <v>0</v>
      </c>
      <c r="CZ92" s="52">
        <f t="shared" si="320"/>
        <v>0</v>
      </c>
      <c r="DA92" s="52">
        <f t="shared" si="320"/>
        <v>0</v>
      </c>
      <c r="DB92" s="52">
        <f t="shared" si="320"/>
        <v>0</v>
      </c>
      <c r="DC92" s="52">
        <f t="shared" si="320"/>
        <v>0</v>
      </c>
      <c r="DD92" s="52">
        <f t="shared" si="320"/>
        <v>0</v>
      </c>
      <c r="DE92" s="52">
        <f t="shared" si="320"/>
        <v>0</v>
      </c>
      <c r="DF92" s="52">
        <f t="shared" si="320"/>
        <v>0</v>
      </c>
      <c r="DG92" s="52">
        <f t="shared" si="320"/>
        <v>0</v>
      </c>
      <c r="DH92" s="52">
        <f t="shared" si="320"/>
        <v>0</v>
      </c>
      <c r="DI92" s="52">
        <f t="shared" si="320"/>
        <v>0</v>
      </c>
      <c r="DJ92" s="52">
        <f t="shared" si="320"/>
        <v>0</v>
      </c>
      <c r="DK92" s="52">
        <f t="shared" si="320"/>
        <v>0</v>
      </c>
      <c r="DL92" s="52">
        <f t="shared" si="320"/>
        <v>0</v>
      </c>
      <c r="DM92" s="52">
        <f t="shared" si="320"/>
        <v>0</v>
      </c>
      <c r="DN92" s="52">
        <f t="shared" si="320"/>
        <v>0</v>
      </c>
      <c r="DO92" s="52">
        <f t="shared" si="320"/>
        <v>0</v>
      </c>
      <c r="DP92" s="52">
        <f t="shared" si="320"/>
        <v>0</v>
      </c>
      <c r="DQ92" s="52">
        <f t="shared" si="320"/>
        <v>0</v>
      </c>
      <c r="DR92" s="52">
        <f t="shared" si="320"/>
        <v>0</v>
      </c>
      <c r="DS92" s="52">
        <f t="shared" si="320"/>
        <v>0</v>
      </c>
      <c r="DT92" s="52">
        <f t="shared" si="320"/>
        <v>0</v>
      </c>
      <c r="DU92" s="52">
        <f t="shared" si="320"/>
        <v>0</v>
      </c>
      <c r="DV92" s="52">
        <f t="shared" si="320"/>
        <v>0</v>
      </c>
      <c r="DW92" s="52">
        <f t="shared" si="320"/>
        <v>0</v>
      </c>
      <c r="DX92" s="52">
        <f t="shared" si="320"/>
        <v>0</v>
      </c>
      <c r="DY92" s="52">
        <f t="shared" si="320"/>
        <v>0</v>
      </c>
      <c r="DZ92" s="52">
        <f t="shared" si="320"/>
        <v>0</v>
      </c>
      <c r="EA92" s="52">
        <f t="shared" si="320"/>
        <v>0</v>
      </c>
      <c r="EB92" s="52">
        <f t="shared" si="320"/>
        <v>0</v>
      </c>
      <c r="EC92" s="52">
        <f t="shared" si="320"/>
        <v>0</v>
      </c>
      <c r="ED92" s="52">
        <f t="shared" ref="ED92:FD92" si="321">IFERROR(IF(ED$28="FALSE",0,$C$92/$C$8),0)</f>
        <v>0</v>
      </c>
      <c r="EE92" s="52">
        <f t="shared" si="321"/>
        <v>0</v>
      </c>
      <c r="EF92" s="52">
        <f t="shared" si="321"/>
        <v>0</v>
      </c>
      <c r="EG92" s="52">
        <f t="shared" si="321"/>
        <v>0</v>
      </c>
      <c r="EH92" s="52">
        <f t="shared" si="321"/>
        <v>0</v>
      </c>
      <c r="EI92" s="52">
        <f t="shared" si="321"/>
        <v>0</v>
      </c>
      <c r="EJ92" s="52">
        <f t="shared" si="321"/>
        <v>0</v>
      </c>
      <c r="EK92" s="52">
        <f t="shared" si="321"/>
        <v>0</v>
      </c>
      <c r="EL92" s="52">
        <f t="shared" si="321"/>
        <v>0</v>
      </c>
      <c r="EM92" s="52">
        <f t="shared" si="321"/>
        <v>0</v>
      </c>
      <c r="EN92" s="52">
        <f t="shared" si="321"/>
        <v>0</v>
      </c>
      <c r="EO92" s="52">
        <f t="shared" si="321"/>
        <v>0</v>
      </c>
      <c r="EP92" s="52">
        <f t="shared" si="321"/>
        <v>0</v>
      </c>
      <c r="EQ92" s="52">
        <f t="shared" si="321"/>
        <v>0</v>
      </c>
      <c r="ER92" s="52">
        <f t="shared" si="321"/>
        <v>0</v>
      </c>
      <c r="ES92" s="52">
        <f t="shared" si="321"/>
        <v>0</v>
      </c>
      <c r="ET92" s="52">
        <f t="shared" si="321"/>
        <v>0</v>
      </c>
      <c r="EU92" s="52">
        <f t="shared" si="321"/>
        <v>0</v>
      </c>
      <c r="EV92" s="52">
        <f t="shared" si="321"/>
        <v>0</v>
      </c>
      <c r="EW92" s="52">
        <f t="shared" si="321"/>
        <v>0</v>
      </c>
      <c r="EX92" s="52">
        <f t="shared" si="321"/>
        <v>0</v>
      </c>
      <c r="EY92" s="52">
        <f t="shared" si="321"/>
        <v>0</v>
      </c>
      <c r="EZ92" s="52">
        <f t="shared" si="321"/>
        <v>0</v>
      </c>
      <c r="FA92" s="52">
        <f t="shared" si="321"/>
        <v>0</v>
      </c>
      <c r="FB92" s="52">
        <f t="shared" si="321"/>
        <v>0</v>
      </c>
      <c r="FC92" s="52">
        <f t="shared" si="321"/>
        <v>0</v>
      </c>
      <c r="FD92" s="52">
        <f t="shared" si="321"/>
        <v>0</v>
      </c>
    </row>
    <row r="93" spans="2:160">
      <c r="B93" s="51" t="s">
        <v>173</v>
      </c>
      <c r="C93" s="52">
        <f ca="1">IF(Startup!$C$3="Project",SUMIF(Startup!$C$7:$D$27,Overview!B93,Startup!$D$7:$D$27),(SUMIF(Startup!$C$7:$D$27,Overview!B93,Startup!$D$7:$D$27)*Startup!$C$4))+IF(Pilot!$C$3="Project",SUMIF(Pilot!$C$7:$D$27,Overview!B93,Pilot!$D$7:$D$27),(SUMIF(Pilot!$C$7:$D$27,Overview!B93,Pilot!$D$7:$D$27)*Pilot!$C$4))+IF(PMO!$C$3="Project",SUMIF(PMO!$C$7:$D$27,Overview!B93,PMO!$D$7:$D$27),(SUMIF(PMO!$C$7:$D$27,Overview!B93,PMO!$D$7:$D$27)*PMO!$C$4))+IF('Design &amp; Fulfillment'!$C$3="Project",SUMIF('Design &amp; Fulfillment'!$C$7:$D$27,Overview!B93,'Design &amp; Fulfillment'!$D$7:$D$27),(SUMIF('Design &amp; Fulfillment'!$C$7:$D$27,Overview!B93,'Design &amp; Fulfillment'!$D$7:$D$27)*'Design &amp; Fulfillment'!$C$4))+IF(Workplace!$C$3="Project",SUMIF(Workplace!$C$7:$D$27,Overview!B93,Workplace!$D$7:$D$27),(SUMIF(Workplace!$C$7:$D$27,Overview!B93,Workplace!$D$7:$D$27)*Workplace!$C$4))+IF(Integration!$C$3="Project",SUMIF(Integration!$C$7:$D$27,Overview!B93,Integration!$D$7:$D$27),(SUMIF(Integration!$C$7:$D$27,Overview!B93,Integration!$D$7:$D$27)*Integration!$C$4))+IF(Logistics!$C$3="Project",SUMIF(Logistics!$C$7:$D$27,Overview!B93,Logistics!$D$7:$D$27),(SUMIF(Logistics!$C$7:$D$27,Overview!B93,Logistics!$D$7:$D$27)*Logistics!$C$4))+IF('Service Desk'!$C$3="Project",SUMIF('Service Desk'!$C$7:$D$27,Overview!B93,'Service Desk'!$D$7:$D$27),(SUMIF('Service Desk'!$C$7:$D$27,Overview!B93,'Service Desk'!$D$7:$D$27)*'Service Desk'!$C$4))+IF('Pro Services'!$C$3="Project",SUMIF('Pro Services'!$C$7:$D$27,Overview!B93,'Pro Services'!$D$7:$D$27),(SUMIF('Pro Services'!$C$7:$D$27,Overview!B93,'Pro Services'!$D$7:$D$27)*'Pro Services'!$C$4))</f>
        <v>0</v>
      </c>
      <c r="D93" s="53">
        <f ca="1">IF(Startup!$C$3="Project",SUMIF(Startup!$C$7:$H$27,Overview!B93,Startup!$H$7:$H$27),(SUMIF(Startup!$C$7:$H$27,Overview!B93,Startup!$H$7:$H$27)*Startup!$C$4))+IF(Pilot!$C$3="Project",SUMIF(Pilot!$C$7:$H$27,Overview!B93,Pilot!$H$7:$H$27),(SUMIF(Pilot!$C$7:$H$27,Overview!B93,Pilot!$H$7:$H$27)*Pilot!$C$4))+IF(PMO!$C$3="Project",SUMIF(PMO!$C$7:$H$27,Overview!B93,PMO!$H$7:$H$27),(SUMIF(PMO!$C$7:$H$27,Overview!B93,PMO!$H$7:$H$27)*PMO!$C$4))+IF('Design &amp; Fulfillment'!$C$3="Project",SUMIF('Design &amp; Fulfillment'!$C$7:$H$27,Overview!B93,'Design &amp; Fulfillment'!$H$7:$H$27),(SUMIF('Design &amp; Fulfillment'!$C$7:$H$27,Overview!B93,'Design &amp; Fulfillment'!$H$7:$H$27)*'Design &amp; Fulfillment'!$C$4))+IF(Workplace!$C$3="Project",SUMIF(Workplace!$C$7:$H$27,Overview!B93,Workplace!$H$7:$H$27),(SUMIF(Workplace!$C$7:$H$27,Overview!B93,Workplace!$H$7:$H$27)*Workplace!$C$4))+IF(Integration!$C$3="Project",SUMIF(Integration!$C$7:$H$27,Overview!B93,Integration!$H$7:$H$27),(SUMIF(Integration!$C$7:$H$27,Overview!B93,Integration!$H$7:$H$27)*Integration!$C$4))+IF(Logistics!$C$3="Project",SUMIF(Logistics!$C$7:$H$27,Overview!B93,Logistics!$H$7:$H$27),(SUMIF(Logistics!$C$7:$H$27,Overview!B93,Logistics!$H$7:$H$27)*Logistics!$C$4))+IF('Service Desk'!$C$3="Project",SUMIF('Service Desk'!$C$7:$H$27,Overview!B93,'Service Desk'!$H$7:$H$27),(SUMIF('Service Desk'!$C$7:$H$27,Overview!B93,'Service Desk'!$H$7:$H$27)*'Service Desk'!$C$4))+IF('Pro Services'!$C$3="Project",SUMIF('Pro Services'!$C$7:$H$27,Overview!B93,'Pro Services'!$H$7:$H$27),(SUMIF('Pro Services'!$C$7:$H$27,Overview!B93,'Pro Services'!$H$7:$H$27)*'Pro Services'!$C$4))</f>
        <v>0</v>
      </c>
      <c r="E93" s="52">
        <f t="shared" ca="1" si="120"/>
        <v>0</v>
      </c>
      <c r="F93" s="52">
        <f t="shared" ref="F93:AK93" si="322">IFERROR(IF(F$28="FALSE",0,$C$93/$C$8),0)</f>
        <v>0</v>
      </c>
      <c r="G93" s="52">
        <f t="shared" si="322"/>
        <v>0</v>
      </c>
      <c r="H93" s="52">
        <f t="shared" si="322"/>
        <v>0</v>
      </c>
      <c r="I93" s="52">
        <f t="shared" si="322"/>
        <v>0</v>
      </c>
      <c r="J93" s="52">
        <f t="shared" si="322"/>
        <v>0</v>
      </c>
      <c r="K93" s="52">
        <f t="shared" si="322"/>
        <v>0</v>
      </c>
      <c r="L93" s="52">
        <f t="shared" si="322"/>
        <v>0</v>
      </c>
      <c r="M93" s="52">
        <f t="shared" si="322"/>
        <v>0</v>
      </c>
      <c r="N93" s="52">
        <f t="shared" si="322"/>
        <v>0</v>
      </c>
      <c r="O93" s="52">
        <f t="shared" si="322"/>
        <v>0</v>
      </c>
      <c r="P93" s="52">
        <f t="shared" si="322"/>
        <v>0</v>
      </c>
      <c r="Q93" s="52">
        <f t="shared" si="322"/>
        <v>0</v>
      </c>
      <c r="R93" s="52">
        <f t="shared" si="322"/>
        <v>0</v>
      </c>
      <c r="S93" s="52">
        <f t="shared" si="322"/>
        <v>0</v>
      </c>
      <c r="T93" s="52">
        <f t="shared" si="322"/>
        <v>0</v>
      </c>
      <c r="U93" s="52">
        <f t="shared" si="322"/>
        <v>0</v>
      </c>
      <c r="V93" s="52">
        <f t="shared" si="322"/>
        <v>0</v>
      </c>
      <c r="W93" s="52">
        <f t="shared" si="322"/>
        <v>0</v>
      </c>
      <c r="X93" s="52">
        <f t="shared" si="322"/>
        <v>0</v>
      </c>
      <c r="Y93" s="52">
        <f t="shared" si="322"/>
        <v>0</v>
      </c>
      <c r="Z93" s="52">
        <f t="shared" si="322"/>
        <v>0</v>
      </c>
      <c r="AA93" s="52">
        <f t="shared" si="322"/>
        <v>0</v>
      </c>
      <c r="AB93" s="52">
        <f t="shared" si="322"/>
        <v>0</v>
      </c>
      <c r="AC93" s="52">
        <f t="shared" si="322"/>
        <v>0</v>
      </c>
      <c r="AD93" s="52">
        <f t="shared" si="322"/>
        <v>0</v>
      </c>
      <c r="AE93" s="52">
        <f t="shared" si="322"/>
        <v>0</v>
      </c>
      <c r="AF93" s="52">
        <f t="shared" si="322"/>
        <v>0</v>
      </c>
      <c r="AG93" s="52">
        <f t="shared" si="322"/>
        <v>0</v>
      </c>
      <c r="AH93" s="52">
        <f t="shared" si="322"/>
        <v>0</v>
      </c>
      <c r="AI93" s="52">
        <f t="shared" si="322"/>
        <v>0</v>
      </c>
      <c r="AJ93" s="52">
        <f t="shared" si="322"/>
        <v>0</v>
      </c>
      <c r="AK93" s="52">
        <f t="shared" si="322"/>
        <v>0</v>
      </c>
      <c r="AL93" s="52">
        <f t="shared" ref="AL93:BQ93" si="323">IFERROR(IF(AL$28="FALSE",0,$C$93/$C$8),0)</f>
        <v>0</v>
      </c>
      <c r="AM93" s="52">
        <f t="shared" si="323"/>
        <v>0</v>
      </c>
      <c r="AN93" s="52">
        <f t="shared" si="323"/>
        <v>0</v>
      </c>
      <c r="AO93" s="52">
        <f t="shared" si="323"/>
        <v>0</v>
      </c>
      <c r="AP93" s="52">
        <f t="shared" si="323"/>
        <v>0</v>
      </c>
      <c r="AQ93" s="52">
        <f t="shared" si="323"/>
        <v>0</v>
      </c>
      <c r="AR93" s="52">
        <f t="shared" si="323"/>
        <v>0</v>
      </c>
      <c r="AS93" s="52">
        <f t="shared" si="323"/>
        <v>0</v>
      </c>
      <c r="AT93" s="52">
        <f t="shared" si="323"/>
        <v>0</v>
      </c>
      <c r="AU93" s="52">
        <f t="shared" si="323"/>
        <v>0</v>
      </c>
      <c r="AV93" s="52">
        <f t="shared" si="323"/>
        <v>0</v>
      </c>
      <c r="AW93" s="52">
        <f t="shared" si="323"/>
        <v>0</v>
      </c>
      <c r="AX93" s="52">
        <f t="shared" si="323"/>
        <v>0</v>
      </c>
      <c r="AY93" s="52">
        <f t="shared" si="323"/>
        <v>0</v>
      </c>
      <c r="AZ93" s="52">
        <f t="shared" si="323"/>
        <v>0</v>
      </c>
      <c r="BA93" s="52">
        <f t="shared" si="323"/>
        <v>0</v>
      </c>
      <c r="BB93" s="52">
        <f t="shared" si="323"/>
        <v>0</v>
      </c>
      <c r="BC93" s="52">
        <f t="shared" si="323"/>
        <v>0</v>
      </c>
      <c r="BD93" s="52">
        <f t="shared" si="323"/>
        <v>0</v>
      </c>
      <c r="BE93" s="52">
        <f t="shared" si="323"/>
        <v>0</v>
      </c>
      <c r="BF93" s="52">
        <f t="shared" si="323"/>
        <v>0</v>
      </c>
      <c r="BG93" s="52">
        <f t="shared" si="323"/>
        <v>0</v>
      </c>
      <c r="BH93" s="52">
        <f t="shared" si="323"/>
        <v>0</v>
      </c>
      <c r="BI93" s="52">
        <f t="shared" si="323"/>
        <v>0</v>
      </c>
      <c r="BJ93" s="52">
        <f t="shared" si="323"/>
        <v>0</v>
      </c>
      <c r="BK93" s="52">
        <f t="shared" si="323"/>
        <v>0</v>
      </c>
      <c r="BL93" s="52">
        <f t="shared" si="323"/>
        <v>0</v>
      </c>
      <c r="BM93" s="52">
        <f t="shared" si="323"/>
        <v>0</v>
      </c>
      <c r="BN93" s="52">
        <f t="shared" si="323"/>
        <v>0</v>
      </c>
      <c r="BO93" s="52">
        <f t="shared" si="323"/>
        <v>0</v>
      </c>
      <c r="BP93" s="52">
        <f t="shared" si="323"/>
        <v>0</v>
      </c>
      <c r="BQ93" s="52">
        <f t="shared" si="323"/>
        <v>0</v>
      </c>
      <c r="BR93" s="52">
        <f t="shared" ref="BR93:CW93" si="324">IFERROR(IF(BR$28="FALSE",0,$C$93/$C$8),0)</f>
        <v>0</v>
      </c>
      <c r="BS93" s="52">
        <f t="shared" si="324"/>
        <v>0</v>
      </c>
      <c r="BT93" s="52">
        <f t="shared" si="324"/>
        <v>0</v>
      </c>
      <c r="BU93" s="52">
        <f t="shared" si="324"/>
        <v>0</v>
      </c>
      <c r="BV93" s="52">
        <f t="shared" si="324"/>
        <v>0</v>
      </c>
      <c r="BW93" s="52">
        <f t="shared" si="324"/>
        <v>0</v>
      </c>
      <c r="BX93" s="52">
        <f t="shared" si="324"/>
        <v>0</v>
      </c>
      <c r="BY93" s="52">
        <f t="shared" si="324"/>
        <v>0</v>
      </c>
      <c r="BZ93" s="52">
        <f t="shared" si="324"/>
        <v>0</v>
      </c>
      <c r="CA93" s="52">
        <f t="shared" si="324"/>
        <v>0</v>
      </c>
      <c r="CB93" s="52">
        <f t="shared" si="324"/>
        <v>0</v>
      </c>
      <c r="CC93" s="52">
        <f t="shared" si="324"/>
        <v>0</v>
      </c>
      <c r="CD93" s="52">
        <f t="shared" si="324"/>
        <v>0</v>
      </c>
      <c r="CE93" s="52">
        <f t="shared" si="324"/>
        <v>0</v>
      </c>
      <c r="CF93" s="52">
        <f t="shared" si="324"/>
        <v>0</v>
      </c>
      <c r="CG93" s="52">
        <f t="shared" si="324"/>
        <v>0</v>
      </c>
      <c r="CH93" s="52">
        <f t="shared" si="324"/>
        <v>0</v>
      </c>
      <c r="CI93" s="52">
        <f t="shared" si="324"/>
        <v>0</v>
      </c>
      <c r="CJ93" s="52">
        <f t="shared" si="324"/>
        <v>0</v>
      </c>
      <c r="CK93" s="52">
        <f t="shared" si="324"/>
        <v>0</v>
      </c>
      <c r="CL93" s="52">
        <f t="shared" si="324"/>
        <v>0</v>
      </c>
      <c r="CM93" s="52">
        <f t="shared" si="324"/>
        <v>0</v>
      </c>
      <c r="CN93" s="52">
        <f t="shared" si="324"/>
        <v>0</v>
      </c>
      <c r="CO93" s="52">
        <f t="shared" si="324"/>
        <v>0</v>
      </c>
      <c r="CP93" s="52">
        <f t="shared" si="324"/>
        <v>0</v>
      </c>
      <c r="CQ93" s="52">
        <f t="shared" si="324"/>
        <v>0</v>
      </c>
      <c r="CR93" s="52">
        <f t="shared" si="324"/>
        <v>0</v>
      </c>
      <c r="CS93" s="52">
        <f t="shared" si="324"/>
        <v>0</v>
      </c>
      <c r="CT93" s="52">
        <f t="shared" si="324"/>
        <v>0</v>
      </c>
      <c r="CU93" s="52">
        <f t="shared" si="324"/>
        <v>0</v>
      </c>
      <c r="CV93" s="52">
        <f t="shared" si="324"/>
        <v>0</v>
      </c>
      <c r="CW93" s="52">
        <f t="shared" si="324"/>
        <v>0</v>
      </c>
      <c r="CX93" s="52">
        <f t="shared" ref="CX93:EC93" si="325">IFERROR(IF(CX$28="FALSE",0,$C$93/$C$8),0)</f>
        <v>0</v>
      </c>
      <c r="CY93" s="52">
        <f t="shared" si="325"/>
        <v>0</v>
      </c>
      <c r="CZ93" s="52">
        <f t="shared" si="325"/>
        <v>0</v>
      </c>
      <c r="DA93" s="52">
        <f t="shared" si="325"/>
        <v>0</v>
      </c>
      <c r="DB93" s="52">
        <f t="shared" si="325"/>
        <v>0</v>
      </c>
      <c r="DC93" s="52">
        <f t="shared" si="325"/>
        <v>0</v>
      </c>
      <c r="DD93" s="52">
        <f t="shared" si="325"/>
        <v>0</v>
      </c>
      <c r="DE93" s="52">
        <f t="shared" si="325"/>
        <v>0</v>
      </c>
      <c r="DF93" s="52">
        <f t="shared" si="325"/>
        <v>0</v>
      </c>
      <c r="DG93" s="52">
        <f t="shared" si="325"/>
        <v>0</v>
      </c>
      <c r="DH93" s="52">
        <f t="shared" si="325"/>
        <v>0</v>
      </c>
      <c r="DI93" s="52">
        <f t="shared" si="325"/>
        <v>0</v>
      </c>
      <c r="DJ93" s="52">
        <f t="shared" si="325"/>
        <v>0</v>
      </c>
      <c r="DK93" s="52">
        <f t="shared" si="325"/>
        <v>0</v>
      </c>
      <c r="DL93" s="52">
        <f t="shared" si="325"/>
        <v>0</v>
      </c>
      <c r="DM93" s="52">
        <f t="shared" si="325"/>
        <v>0</v>
      </c>
      <c r="DN93" s="52">
        <f t="shared" si="325"/>
        <v>0</v>
      </c>
      <c r="DO93" s="52">
        <f t="shared" si="325"/>
        <v>0</v>
      </c>
      <c r="DP93" s="52">
        <f t="shared" si="325"/>
        <v>0</v>
      </c>
      <c r="DQ93" s="52">
        <f t="shared" si="325"/>
        <v>0</v>
      </c>
      <c r="DR93" s="52">
        <f t="shared" si="325"/>
        <v>0</v>
      </c>
      <c r="DS93" s="52">
        <f t="shared" si="325"/>
        <v>0</v>
      </c>
      <c r="DT93" s="52">
        <f t="shared" si="325"/>
        <v>0</v>
      </c>
      <c r="DU93" s="52">
        <f t="shared" si="325"/>
        <v>0</v>
      </c>
      <c r="DV93" s="52">
        <f t="shared" si="325"/>
        <v>0</v>
      </c>
      <c r="DW93" s="52">
        <f t="shared" si="325"/>
        <v>0</v>
      </c>
      <c r="DX93" s="52">
        <f t="shared" si="325"/>
        <v>0</v>
      </c>
      <c r="DY93" s="52">
        <f t="shared" si="325"/>
        <v>0</v>
      </c>
      <c r="DZ93" s="52">
        <f t="shared" si="325"/>
        <v>0</v>
      </c>
      <c r="EA93" s="52">
        <f t="shared" si="325"/>
        <v>0</v>
      </c>
      <c r="EB93" s="52">
        <f t="shared" si="325"/>
        <v>0</v>
      </c>
      <c r="EC93" s="52">
        <f t="shared" si="325"/>
        <v>0</v>
      </c>
      <c r="ED93" s="52">
        <f t="shared" ref="ED93:FD93" si="326">IFERROR(IF(ED$28="FALSE",0,$C$93/$C$8),0)</f>
        <v>0</v>
      </c>
      <c r="EE93" s="52">
        <f t="shared" si="326"/>
        <v>0</v>
      </c>
      <c r="EF93" s="52">
        <f t="shared" si="326"/>
        <v>0</v>
      </c>
      <c r="EG93" s="52">
        <f t="shared" si="326"/>
        <v>0</v>
      </c>
      <c r="EH93" s="52">
        <f t="shared" si="326"/>
        <v>0</v>
      </c>
      <c r="EI93" s="52">
        <f t="shared" si="326"/>
        <v>0</v>
      </c>
      <c r="EJ93" s="52">
        <f t="shared" si="326"/>
        <v>0</v>
      </c>
      <c r="EK93" s="52">
        <f t="shared" si="326"/>
        <v>0</v>
      </c>
      <c r="EL93" s="52">
        <f t="shared" si="326"/>
        <v>0</v>
      </c>
      <c r="EM93" s="52">
        <f t="shared" si="326"/>
        <v>0</v>
      </c>
      <c r="EN93" s="52">
        <f t="shared" si="326"/>
        <v>0</v>
      </c>
      <c r="EO93" s="52">
        <f t="shared" si="326"/>
        <v>0</v>
      </c>
      <c r="EP93" s="52">
        <f t="shared" si="326"/>
        <v>0</v>
      </c>
      <c r="EQ93" s="52">
        <f t="shared" si="326"/>
        <v>0</v>
      </c>
      <c r="ER93" s="52">
        <f t="shared" si="326"/>
        <v>0</v>
      </c>
      <c r="ES93" s="52">
        <f t="shared" si="326"/>
        <v>0</v>
      </c>
      <c r="ET93" s="52">
        <f t="shared" si="326"/>
        <v>0</v>
      </c>
      <c r="EU93" s="52">
        <f t="shared" si="326"/>
        <v>0</v>
      </c>
      <c r="EV93" s="52">
        <f t="shared" si="326"/>
        <v>0</v>
      </c>
      <c r="EW93" s="52">
        <f t="shared" si="326"/>
        <v>0</v>
      </c>
      <c r="EX93" s="52">
        <f t="shared" si="326"/>
        <v>0</v>
      </c>
      <c r="EY93" s="52">
        <f t="shared" si="326"/>
        <v>0</v>
      </c>
      <c r="EZ93" s="52">
        <f t="shared" si="326"/>
        <v>0</v>
      </c>
      <c r="FA93" s="52">
        <f t="shared" si="326"/>
        <v>0</v>
      </c>
      <c r="FB93" s="52">
        <f t="shared" si="326"/>
        <v>0</v>
      </c>
      <c r="FC93" s="52">
        <f t="shared" si="326"/>
        <v>0</v>
      </c>
      <c r="FD93" s="52">
        <f t="shared" si="326"/>
        <v>0</v>
      </c>
    </row>
    <row r="94" spans="2:160">
      <c r="B94" s="51" t="s">
        <v>174</v>
      </c>
      <c r="C94" s="52">
        <f ca="1">IF(Startup!$C$3="Project",SUMIF(Startup!$C$7:$D$27,Overview!B94,Startup!$D$7:$D$27),(SUMIF(Startup!$C$7:$D$27,Overview!B94,Startup!$D$7:$D$27)*Startup!$C$4))+IF(Pilot!$C$3="Project",SUMIF(Pilot!$C$7:$D$27,Overview!B94,Pilot!$D$7:$D$27),(SUMIF(Pilot!$C$7:$D$27,Overview!B94,Pilot!$D$7:$D$27)*Pilot!$C$4))+IF(PMO!$C$3="Project",SUMIF(PMO!$C$7:$D$27,Overview!B94,PMO!$D$7:$D$27),(SUMIF(PMO!$C$7:$D$27,Overview!B94,PMO!$D$7:$D$27)*PMO!$C$4))+IF('Design &amp; Fulfillment'!$C$3="Project",SUMIF('Design &amp; Fulfillment'!$C$7:$D$27,Overview!B94,'Design &amp; Fulfillment'!$D$7:$D$27),(SUMIF('Design &amp; Fulfillment'!$C$7:$D$27,Overview!B94,'Design &amp; Fulfillment'!$D$7:$D$27)*'Design &amp; Fulfillment'!$C$4))+IF(Workplace!$C$3="Project",SUMIF(Workplace!$C$7:$D$27,Overview!B94,Workplace!$D$7:$D$27),(SUMIF(Workplace!$C$7:$D$27,Overview!B94,Workplace!$D$7:$D$27)*Workplace!$C$4))+IF(Integration!$C$3="Project",SUMIF(Integration!$C$7:$D$27,Overview!B94,Integration!$D$7:$D$27),(SUMIF(Integration!$C$7:$D$27,Overview!B94,Integration!$D$7:$D$27)*Integration!$C$4))+IF(Logistics!$C$3="Project",SUMIF(Logistics!$C$7:$D$27,Overview!B94,Logistics!$D$7:$D$27),(SUMIF(Logistics!$C$7:$D$27,Overview!B94,Logistics!$D$7:$D$27)*Logistics!$C$4))+IF('Service Desk'!$C$3="Project",SUMIF('Service Desk'!$C$7:$D$27,Overview!B94,'Service Desk'!$D$7:$D$27),(SUMIF('Service Desk'!$C$7:$D$27,Overview!B94,'Service Desk'!$D$7:$D$27)*'Service Desk'!$C$4))+IF('Pro Services'!$C$3="Project",SUMIF('Pro Services'!$C$7:$D$27,Overview!B94,'Pro Services'!$D$7:$D$27),(SUMIF('Pro Services'!$C$7:$D$27,Overview!B94,'Pro Services'!$D$7:$D$27)*'Pro Services'!$C$4))</f>
        <v>0</v>
      </c>
      <c r="D94" s="53">
        <f ca="1">IF(Startup!$C$3="Project",SUMIF(Startup!$C$7:$H$27,Overview!B94,Startup!$H$7:$H$27),(SUMIF(Startup!$C$7:$H$27,Overview!B94,Startup!$H$7:$H$27)*Startup!$C$4))+IF(Pilot!$C$3="Project",SUMIF(Pilot!$C$7:$H$27,Overview!B94,Pilot!$H$7:$H$27),(SUMIF(Pilot!$C$7:$H$27,Overview!B94,Pilot!$H$7:$H$27)*Pilot!$C$4))+IF(PMO!$C$3="Project",SUMIF(PMO!$C$7:$H$27,Overview!B94,PMO!$H$7:$H$27),(SUMIF(PMO!$C$7:$H$27,Overview!B94,PMO!$H$7:$H$27)*PMO!$C$4))+IF('Design &amp; Fulfillment'!$C$3="Project",SUMIF('Design &amp; Fulfillment'!$C$7:$H$27,Overview!B94,'Design &amp; Fulfillment'!$H$7:$H$27),(SUMIF('Design &amp; Fulfillment'!$C$7:$H$27,Overview!B94,'Design &amp; Fulfillment'!$H$7:$H$27)*'Design &amp; Fulfillment'!$C$4))+IF(Workplace!$C$3="Project",SUMIF(Workplace!$C$7:$H$27,Overview!B94,Workplace!$H$7:$H$27),(SUMIF(Workplace!$C$7:$H$27,Overview!B94,Workplace!$H$7:$H$27)*Workplace!$C$4))+IF(Integration!$C$3="Project",SUMIF(Integration!$C$7:$H$27,Overview!B94,Integration!$H$7:$H$27),(SUMIF(Integration!$C$7:$H$27,Overview!B94,Integration!$H$7:$H$27)*Integration!$C$4))+IF(Logistics!$C$3="Project",SUMIF(Logistics!$C$7:$H$27,Overview!B94,Logistics!$H$7:$H$27),(SUMIF(Logistics!$C$7:$H$27,Overview!B94,Logistics!$H$7:$H$27)*Logistics!$C$4))+IF('Service Desk'!$C$3="Project",SUMIF('Service Desk'!$C$7:$H$27,Overview!B94,'Service Desk'!$H$7:$H$27),(SUMIF('Service Desk'!$C$7:$H$27,Overview!B94,'Service Desk'!$H$7:$H$27)*'Service Desk'!$C$4))+IF('Pro Services'!$C$3="Project",SUMIF('Pro Services'!$C$7:$H$27,Overview!B94,'Pro Services'!$H$7:$H$27),(SUMIF('Pro Services'!$C$7:$H$27,Overview!B94,'Pro Services'!$H$7:$H$27)*'Pro Services'!$C$4))</f>
        <v>0</v>
      </c>
      <c r="E94" s="52">
        <f t="shared" ca="1" si="120"/>
        <v>0</v>
      </c>
      <c r="F94" s="52">
        <f t="shared" ref="F94:AK94" si="327">IFERROR(IF(F$28="FALSE",0,$C$94/$C$8),0)</f>
        <v>0</v>
      </c>
      <c r="G94" s="52">
        <f t="shared" si="327"/>
        <v>0</v>
      </c>
      <c r="H94" s="52">
        <f t="shared" si="327"/>
        <v>0</v>
      </c>
      <c r="I94" s="52">
        <f t="shared" si="327"/>
        <v>0</v>
      </c>
      <c r="J94" s="52">
        <f t="shared" si="327"/>
        <v>0</v>
      </c>
      <c r="K94" s="52">
        <f t="shared" si="327"/>
        <v>0</v>
      </c>
      <c r="L94" s="52">
        <f t="shared" si="327"/>
        <v>0</v>
      </c>
      <c r="M94" s="52">
        <f t="shared" si="327"/>
        <v>0</v>
      </c>
      <c r="N94" s="52">
        <f t="shared" si="327"/>
        <v>0</v>
      </c>
      <c r="O94" s="52">
        <f t="shared" si="327"/>
        <v>0</v>
      </c>
      <c r="P94" s="52">
        <f t="shared" si="327"/>
        <v>0</v>
      </c>
      <c r="Q94" s="52">
        <f t="shared" si="327"/>
        <v>0</v>
      </c>
      <c r="R94" s="52">
        <f t="shared" si="327"/>
        <v>0</v>
      </c>
      <c r="S94" s="52">
        <f t="shared" si="327"/>
        <v>0</v>
      </c>
      <c r="T94" s="52">
        <f t="shared" si="327"/>
        <v>0</v>
      </c>
      <c r="U94" s="52">
        <f t="shared" si="327"/>
        <v>0</v>
      </c>
      <c r="V94" s="52">
        <f t="shared" si="327"/>
        <v>0</v>
      </c>
      <c r="W94" s="52">
        <f t="shared" si="327"/>
        <v>0</v>
      </c>
      <c r="X94" s="52">
        <f t="shared" si="327"/>
        <v>0</v>
      </c>
      <c r="Y94" s="52">
        <f t="shared" si="327"/>
        <v>0</v>
      </c>
      <c r="Z94" s="52">
        <f t="shared" si="327"/>
        <v>0</v>
      </c>
      <c r="AA94" s="52">
        <f t="shared" si="327"/>
        <v>0</v>
      </c>
      <c r="AB94" s="52">
        <f t="shared" si="327"/>
        <v>0</v>
      </c>
      <c r="AC94" s="52">
        <f t="shared" si="327"/>
        <v>0</v>
      </c>
      <c r="AD94" s="52">
        <f t="shared" si="327"/>
        <v>0</v>
      </c>
      <c r="AE94" s="52">
        <f t="shared" si="327"/>
        <v>0</v>
      </c>
      <c r="AF94" s="52">
        <f t="shared" si="327"/>
        <v>0</v>
      </c>
      <c r="AG94" s="52">
        <f t="shared" si="327"/>
        <v>0</v>
      </c>
      <c r="AH94" s="52">
        <f t="shared" si="327"/>
        <v>0</v>
      </c>
      <c r="AI94" s="52">
        <f t="shared" si="327"/>
        <v>0</v>
      </c>
      <c r="AJ94" s="52">
        <f t="shared" si="327"/>
        <v>0</v>
      </c>
      <c r="AK94" s="52">
        <f t="shared" si="327"/>
        <v>0</v>
      </c>
      <c r="AL94" s="52">
        <f t="shared" ref="AL94:BQ94" si="328">IFERROR(IF(AL$28="FALSE",0,$C$94/$C$8),0)</f>
        <v>0</v>
      </c>
      <c r="AM94" s="52">
        <f t="shared" si="328"/>
        <v>0</v>
      </c>
      <c r="AN94" s="52">
        <f t="shared" si="328"/>
        <v>0</v>
      </c>
      <c r="AO94" s="52">
        <f t="shared" si="328"/>
        <v>0</v>
      </c>
      <c r="AP94" s="52">
        <f t="shared" si="328"/>
        <v>0</v>
      </c>
      <c r="AQ94" s="52">
        <f t="shared" si="328"/>
        <v>0</v>
      </c>
      <c r="AR94" s="52">
        <f t="shared" si="328"/>
        <v>0</v>
      </c>
      <c r="AS94" s="52">
        <f t="shared" si="328"/>
        <v>0</v>
      </c>
      <c r="AT94" s="52">
        <f t="shared" si="328"/>
        <v>0</v>
      </c>
      <c r="AU94" s="52">
        <f t="shared" si="328"/>
        <v>0</v>
      </c>
      <c r="AV94" s="52">
        <f t="shared" si="328"/>
        <v>0</v>
      </c>
      <c r="AW94" s="52">
        <f t="shared" si="328"/>
        <v>0</v>
      </c>
      <c r="AX94" s="52">
        <f t="shared" si="328"/>
        <v>0</v>
      </c>
      <c r="AY94" s="52">
        <f t="shared" si="328"/>
        <v>0</v>
      </c>
      <c r="AZ94" s="52">
        <f t="shared" si="328"/>
        <v>0</v>
      </c>
      <c r="BA94" s="52">
        <f t="shared" si="328"/>
        <v>0</v>
      </c>
      <c r="BB94" s="52">
        <f t="shared" si="328"/>
        <v>0</v>
      </c>
      <c r="BC94" s="52">
        <f t="shared" si="328"/>
        <v>0</v>
      </c>
      <c r="BD94" s="52">
        <f t="shared" si="328"/>
        <v>0</v>
      </c>
      <c r="BE94" s="52">
        <f t="shared" si="328"/>
        <v>0</v>
      </c>
      <c r="BF94" s="52">
        <f t="shared" si="328"/>
        <v>0</v>
      </c>
      <c r="BG94" s="52">
        <f t="shared" si="328"/>
        <v>0</v>
      </c>
      <c r="BH94" s="52">
        <f t="shared" si="328"/>
        <v>0</v>
      </c>
      <c r="BI94" s="52">
        <f t="shared" si="328"/>
        <v>0</v>
      </c>
      <c r="BJ94" s="52">
        <f t="shared" si="328"/>
        <v>0</v>
      </c>
      <c r="BK94" s="52">
        <f t="shared" si="328"/>
        <v>0</v>
      </c>
      <c r="BL94" s="52">
        <f t="shared" si="328"/>
        <v>0</v>
      </c>
      <c r="BM94" s="52">
        <f t="shared" si="328"/>
        <v>0</v>
      </c>
      <c r="BN94" s="52">
        <f t="shared" si="328"/>
        <v>0</v>
      </c>
      <c r="BO94" s="52">
        <f t="shared" si="328"/>
        <v>0</v>
      </c>
      <c r="BP94" s="52">
        <f t="shared" si="328"/>
        <v>0</v>
      </c>
      <c r="BQ94" s="52">
        <f t="shared" si="328"/>
        <v>0</v>
      </c>
      <c r="BR94" s="52">
        <f t="shared" ref="BR94:CW94" si="329">IFERROR(IF(BR$28="FALSE",0,$C$94/$C$8),0)</f>
        <v>0</v>
      </c>
      <c r="BS94" s="52">
        <f t="shared" si="329"/>
        <v>0</v>
      </c>
      <c r="BT94" s="52">
        <f t="shared" si="329"/>
        <v>0</v>
      </c>
      <c r="BU94" s="52">
        <f t="shared" si="329"/>
        <v>0</v>
      </c>
      <c r="BV94" s="52">
        <f t="shared" si="329"/>
        <v>0</v>
      </c>
      <c r="BW94" s="52">
        <f t="shared" si="329"/>
        <v>0</v>
      </c>
      <c r="BX94" s="52">
        <f t="shared" si="329"/>
        <v>0</v>
      </c>
      <c r="BY94" s="52">
        <f t="shared" si="329"/>
        <v>0</v>
      </c>
      <c r="BZ94" s="52">
        <f t="shared" si="329"/>
        <v>0</v>
      </c>
      <c r="CA94" s="52">
        <f t="shared" si="329"/>
        <v>0</v>
      </c>
      <c r="CB94" s="52">
        <f t="shared" si="329"/>
        <v>0</v>
      </c>
      <c r="CC94" s="52">
        <f t="shared" si="329"/>
        <v>0</v>
      </c>
      <c r="CD94" s="52">
        <f t="shared" si="329"/>
        <v>0</v>
      </c>
      <c r="CE94" s="52">
        <f t="shared" si="329"/>
        <v>0</v>
      </c>
      <c r="CF94" s="52">
        <f t="shared" si="329"/>
        <v>0</v>
      </c>
      <c r="CG94" s="52">
        <f t="shared" si="329"/>
        <v>0</v>
      </c>
      <c r="CH94" s="52">
        <f t="shared" si="329"/>
        <v>0</v>
      </c>
      <c r="CI94" s="52">
        <f t="shared" si="329"/>
        <v>0</v>
      </c>
      <c r="CJ94" s="52">
        <f t="shared" si="329"/>
        <v>0</v>
      </c>
      <c r="CK94" s="52">
        <f t="shared" si="329"/>
        <v>0</v>
      </c>
      <c r="CL94" s="52">
        <f t="shared" si="329"/>
        <v>0</v>
      </c>
      <c r="CM94" s="52">
        <f t="shared" si="329"/>
        <v>0</v>
      </c>
      <c r="CN94" s="52">
        <f t="shared" si="329"/>
        <v>0</v>
      </c>
      <c r="CO94" s="52">
        <f t="shared" si="329"/>
        <v>0</v>
      </c>
      <c r="CP94" s="52">
        <f t="shared" si="329"/>
        <v>0</v>
      </c>
      <c r="CQ94" s="52">
        <f t="shared" si="329"/>
        <v>0</v>
      </c>
      <c r="CR94" s="52">
        <f t="shared" si="329"/>
        <v>0</v>
      </c>
      <c r="CS94" s="52">
        <f t="shared" si="329"/>
        <v>0</v>
      </c>
      <c r="CT94" s="52">
        <f t="shared" si="329"/>
        <v>0</v>
      </c>
      <c r="CU94" s="52">
        <f t="shared" si="329"/>
        <v>0</v>
      </c>
      <c r="CV94" s="52">
        <f t="shared" si="329"/>
        <v>0</v>
      </c>
      <c r="CW94" s="52">
        <f t="shared" si="329"/>
        <v>0</v>
      </c>
      <c r="CX94" s="52">
        <f t="shared" ref="CX94:EC94" si="330">IFERROR(IF(CX$28="FALSE",0,$C$94/$C$8),0)</f>
        <v>0</v>
      </c>
      <c r="CY94" s="52">
        <f t="shared" si="330"/>
        <v>0</v>
      </c>
      <c r="CZ94" s="52">
        <f t="shared" si="330"/>
        <v>0</v>
      </c>
      <c r="DA94" s="52">
        <f t="shared" si="330"/>
        <v>0</v>
      </c>
      <c r="DB94" s="52">
        <f t="shared" si="330"/>
        <v>0</v>
      </c>
      <c r="DC94" s="52">
        <f t="shared" si="330"/>
        <v>0</v>
      </c>
      <c r="DD94" s="52">
        <f t="shared" si="330"/>
        <v>0</v>
      </c>
      <c r="DE94" s="52">
        <f t="shared" si="330"/>
        <v>0</v>
      </c>
      <c r="DF94" s="52">
        <f t="shared" si="330"/>
        <v>0</v>
      </c>
      <c r="DG94" s="52">
        <f t="shared" si="330"/>
        <v>0</v>
      </c>
      <c r="DH94" s="52">
        <f t="shared" si="330"/>
        <v>0</v>
      </c>
      <c r="DI94" s="52">
        <f t="shared" si="330"/>
        <v>0</v>
      </c>
      <c r="DJ94" s="52">
        <f t="shared" si="330"/>
        <v>0</v>
      </c>
      <c r="DK94" s="52">
        <f t="shared" si="330"/>
        <v>0</v>
      </c>
      <c r="DL94" s="52">
        <f t="shared" si="330"/>
        <v>0</v>
      </c>
      <c r="DM94" s="52">
        <f t="shared" si="330"/>
        <v>0</v>
      </c>
      <c r="DN94" s="52">
        <f t="shared" si="330"/>
        <v>0</v>
      </c>
      <c r="DO94" s="52">
        <f t="shared" si="330"/>
        <v>0</v>
      </c>
      <c r="DP94" s="52">
        <f t="shared" si="330"/>
        <v>0</v>
      </c>
      <c r="DQ94" s="52">
        <f t="shared" si="330"/>
        <v>0</v>
      </c>
      <c r="DR94" s="52">
        <f t="shared" si="330"/>
        <v>0</v>
      </c>
      <c r="DS94" s="52">
        <f t="shared" si="330"/>
        <v>0</v>
      </c>
      <c r="DT94" s="52">
        <f t="shared" si="330"/>
        <v>0</v>
      </c>
      <c r="DU94" s="52">
        <f t="shared" si="330"/>
        <v>0</v>
      </c>
      <c r="DV94" s="52">
        <f t="shared" si="330"/>
        <v>0</v>
      </c>
      <c r="DW94" s="52">
        <f t="shared" si="330"/>
        <v>0</v>
      </c>
      <c r="DX94" s="52">
        <f t="shared" si="330"/>
        <v>0</v>
      </c>
      <c r="DY94" s="52">
        <f t="shared" si="330"/>
        <v>0</v>
      </c>
      <c r="DZ94" s="52">
        <f t="shared" si="330"/>
        <v>0</v>
      </c>
      <c r="EA94" s="52">
        <f t="shared" si="330"/>
        <v>0</v>
      </c>
      <c r="EB94" s="52">
        <f t="shared" si="330"/>
        <v>0</v>
      </c>
      <c r="EC94" s="52">
        <f t="shared" si="330"/>
        <v>0</v>
      </c>
      <c r="ED94" s="52">
        <f t="shared" ref="ED94:FD94" si="331">IFERROR(IF(ED$28="FALSE",0,$C$94/$C$8),0)</f>
        <v>0</v>
      </c>
      <c r="EE94" s="52">
        <f t="shared" si="331"/>
        <v>0</v>
      </c>
      <c r="EF94" s="52">
        <f t="shared" si="331"/>
        <v>0</v>
      </c>
      <c r="EG94" s="52">
        <f t="shared" si="331"/>
        <v>0</v>
      </c>
      <c r="EH94" s="52">
        <f t="shared" si="331"/>
        <v>0</v>
      </c>
      <c r="EI94" s="52">
        <f t="shared" si="331"/>
        <v>0</v>
      </c>
      <c r="EJ94" s="52">
        <f t="shared" si="331"/>
        <v>0</v>
      </c>
      <c r="EK94" s="52">
        <f t="shared" si="331"/>
        <v>0</v>
      </c>
      <c r="EL94" s="52">
        <f t="shared" si="331"/>
        <v>0</v>
      </c>
      <c r="EM94" s="52">
        <f t="shared" si="331"/>
        <v>0</v>
      </c>
      <c r="EN94" s="52">
        <f t="shared" si="331"/>
        <v>0</v>
      </c>
      <c r="EO94" s="52">
        <f t="shared" si="331"/>
        <v>0</v>
      </c>
      <c r="EP94" s="52">
        <f t="shared" si="331"/>
        <v>0</v>
      </c>
      <c r="EQ94" s="52">
        <f t="shared" si="331"/>
        <v>0</v>
      </c>
      <c r="ER94" s="52">
        <f t="shared" si="331"/>
        <v>0</v>
      </c>
      <c r="ES94" s="52">
        <f t="shared" si="331"/>
        <v>0</v>
      </c>
      <c r="ET94" s="52">
        <f t="shared" si="331"/>
        <v>0</v>
      </c>
      <c r="EU94" s="52">
        <f t="shared" si="331"/>
        <v>0</v>
      </c>
      <c r="EV94" s="52">
        <f t="shared" si="331"/>
        <v>0</v>
      </c>
      <c r="EW94" s="52">
        <f t="shared" si="331"/>
        <v>0</v>
      </c>
      <c r="EX94" s="52">
        <f t="shared" si="331"/>
        <v>0</v>
      </c>
      <c r="EY94" s="52">
        <f t="shared" si="331"/>
        <v>0</v>
      </c>
      <c r="EZ94" s="52">
        <f t="shared" si="331"/>
        <v>0</v>
      </c>
      <c r="FA94" s="52">
        <f t="shared" si="331"/>
        <v>0</v>
      </c>
      <c r="FB94" s="52">
        <f t="shared" si="331"/>
        <v>0</v>
      </c>
      <c r="FC94" s="52">
        <f t="shared" si="331"/>
        <v>0</v>
      </c>
      <c r="FD94" s="52">
        <f t="shared" si="331"/>
        <v>0</v>
      </c>
    </row>
    <row r="95" spans="2:160">
      <c r="B95" s="51" t="s">
        <v>175</v>
      </c>
      <c r="C95" s="52">
        <f ca="1">IF(Startup!$C$3="Project",SUMIF(Startup!$C$7:$D$27,Overview!B95,Startup!$D$7:$D$27),(SUMIF(Startup!$C$7:$D$27,Overview!B95,Startup!$D$7:$D$27)*Startup!$C$4))+IF(Pilot!$C$3="Project",SUMIF(Pilot!$C$7:$D$27,Overview!B95,Pilot!$D$7:$D$27),(SUMIF(Pilot!$C$7:$D$27,Overview!B95,Pilot!$D$7:$D$27)*Pilot!$C$4))+IF(PMO!$C$3="Project",SUMIF(PMO!$C$7:$D$27,Overview!B95,PMO!$D$7:$D$27),(SUMIF(PMO!$C$7:$D$27,Overview!B95,PMO!$D$7:$D$27)*PMO!$C$4))+IF('Design &amp; Fulfillment'!$C$3="Project",SUMIF('Design &amp; Fulfillment'!$C$7:$D$27,Overview!B95,'Design &amp; Fulfillment'!$D$7:$D$27),(SUMIF('Design &amp; Fulfillment'!$C$7:$D$27,Overview!B95,'Design &amp; Fulfillment'!$D$7:$D$27)*'Design &amp; Fulfillment'!$C$4))+IF(Workplace!$C$3="Project",SUMIF(Workplace!$C$7:$D$27,Overview!B95,Workplace!$D$7:$D$27),(SUMIF(Workplace!$C$7:$D$27,Overview!B95,Workplace!$D$7:$D$27)*Workplace!$C$4))+IF(Integration!$C$3="Project",SUMIF(Integration!$C$7:$D$27,Overview!B95,Integration!$D$7:$D$27),(SUMIF(Integration!$C$7:$D$27,Overview!B95,Integration!$D$7:$D$27)*Integration!$C$4))+IF(Logistics!$C$3="Project",SUMIF(Logistics!$C$7:$D$27,Overview!B95,Logistics!$D$7:$D$27),(SUMIF(Logistics!$C$7:$D$27,Overview!B95,Logistics!$D$7:$D$27)*Logistics!$C$4))+IF('Service Desk'!$C$3="Project",SUMIF('Service Desk'!$C$7:$D$27,Overview!B95,'Service Desk'!$D$7:$D$27),(SUMIF('Service Desk'!$C$7:$D$27,Overview!B95,'Service Desk'!$D$7:$D$27)*'Service Desk'!$C$4))+IF('Pro Services'!$C$3="Project",SUMIF('Pro Services'!$C$7:$D$27,Overview!B95,'Pro Services'!$D$7:$D$27),(SUMIF('Pro Services'!$C$7:$D$27,Overview!B95,'Pro Services'!$D$7:$D$27)*'Pro Services'!$C$4))</f>
        <v>0</v>
      </c>
      <c r="D95" s="53">
        <f ca="1">IF(Startup!$C$3="Project",SUMIF(Startup!$C$7:$H$27,Overview!B95,Startup!$H$7:$H$27),(SUMIF(Startup!$C$7:$H$27,Overview!B95,Startup!$H$7:$H$27)*Startup!$C$4))+IF(Pilot!$C$3="Project",SUMIF(Pilot!$C$7:$H$27,Overview!B95,Pilot!$H$7:$H$27),(SUMIF(Pilot!$C$7:$H$27,Overview!B95,Pilot!$H$7:$H$27)*Pilot!$C$4))+IF(PMO!$C$3="Project",SUMIF(PMO!$C$7:$H$27,Overview!B95,PMO!$H$7:$H$27),(SUMIF(PMO!$C$7:$H$27,Overview!B95,PMO!$H$7:$H$27)*PMO!$C$4))+IF('Design &amp; Fulfillment'!$C$3="Project",SUMIF('Design &amp; Fulfillment'!$C$7:$H$27,Overview!B95,'Design &amp; Fulfillment'!$H$7:$H$27),(SUMIF('Design &amp; Fulfillment'!$C$7:$H$27,Overview!B95,'Design &amp; Fulfillment'!$H$7:$H$27)*'Design &amp; Fulfillment'!$C$4))+IF(Workplace!$C$3="Project",SUMIF(Workplace!$C$7:$H$27,Overview!B95,Workplace!$H$7:$H$27),(SUMIF(Workplace!$C$7:$H$27,Overview!B95,Workplace!$H$7:$H$27)*Workplace!$C$4))+IF(Integration!$C$3="Project",SUMIF(Integration!$C$7:$H$27,Overview!B95,Integration!$H$7:$H$27),(SUMIF(Integration!$C$7:$H$27,Overview!B95,Integration!$H$7:$H$27)*Integration!$C$4))+IF(Logistics!$C$3="Project",SUMIF(Logistics!$C$7:$H$27,Overview!B95,Logistics!$H$7:$H$27),(SUMIF(Logistics!$C$7:$H$27,Overview!B95,Logistics!$H$7:$H$27)*Logistics!$C$4))+IF('Service Desk'!$C$3="Project",SUMIF('Service Desk'!$C$7:$H$27,Overview!B95,'Service Desk'!$H$7:$H$27),(SUMIF('Service Desk'!$C$7:$H$27,Overview!B95,'Service Desk'!$H$7:$H$27)*'Service Desk'!$C$4))+IF('Pro Services'!$C$3="Project",SUMIF('Pro Services'!$C$7:$H$27,Overview!B95,'Pro Services'!$H$7:$H$27),(SUMIF('Pro Services'!$C$7:$H$27,Overview!B95,'Pro Services'!$H$7:$H$27)*'Pro Services'!$C$4))</f>
        <v>0</v>
      </c>
      <c r="E95" s="52">
        <f t="shared" ca="1" si="120"/>
        <v>0</v>
      </c>
      <c r="F95" s="52">
        <f t="shared" ref="F95:AK95" si="332">IFERROR(IF(F$28="FALSE",0,$C$95/$C$8),0)</f>
        <v>0</v>
      </c>
      <c r="G95" s="52">
        <f t="shared" si="332"/>
        <v>0</v>
      </c>
      <c r="H95" s="52">
        <f t="shared" si="332"/>
        <v>0</v>
      </c>
      <c r="I95" s="52">
        <f t="shared" si="332"/>
        <v>0</v>
      </c>
      <c r="J95" s="52">
        <f t="shared" si="332"/>
        <v>0</v>
      </c>
      <c r="K95" s="52">
        <f t="shared" si="332"/>
        <v>0</v>
      </c>
      <c r="L95" s="52">
        <f t="shared" si="332"/>
        <v>0</v>
      </c>
      <c r="M95" s="52">
        <f t="shared" si="332"/>
        <v>0</v>
      </c>
      <c r="N95" s="52">
        <f t="shared" si="332"/>
        <v>0</v>
      </c>
      <c r="O95" s="52">
        <f t="shared" si="332"/>
        <v>0</v>
      </c>
      <c r="P95" s="52">
        <f t="shared" si="332"/>
        <v>0</v>
      </c>
      <c r="Q95" s="52">
        <f t="shared" si="332"/>
        <v>0</v>
      </c>
      <c r="R95" s="52">
        <f t="shared" si="332"/>
        <v>0</v>
      </c>
      <c r="S95" s="52">
        <f t="shared" si="332"/>
        <v>0</v>
      </c>
      <c r="T95" s="52">
        <f t="shared" si="332"/>
        <v>0</v>
      </c>
      <c r="U95" s="52">
        <f t="shared" si="332"/>
        <v>0</v>
      </c>
      <c r="V95" s="52">
        <f t="shared" si="332"/>
        <v>0</v>
      </c>
      <c r="W95" s="52">
        <f t="shared" si="332"/>
        <v>0</v>
      </c>
      <c r="X95" s="52">
        <f t="shared" si="332"/>
        <v>0</v>
      </c>
      <c r="Y95" s="52">
        <f t="shared" si="332"/>
        <v>0</v>
      </c>
      <c r="Z95" s="52">
        <f t="shared" si="332"/>
        <v>0</v>
      </c>
      <c r="AA95" s="52">
        <f t="shared" si="332"/>
        <v>0</v>
      </c>
      <c r="AB95" s="52">
        <f t="shared" si="332"/>
        <v>0</v>
      </c>
      <c r="AC95" s="52">
        <f t="shared" si="332"/>
        <v>0</v>
      </c>
      <c r="AD95" s="52">
        <f t="shared" si="332"/>
        <v>0</v>
      </c>
      <c r="AE95" s="52">
        <f t="shared" si="332"/>
        <v>0</v>
      </c>
      <c r="AF95" s="52">
        <f t="shared" si="332"/>
        <v>0</v>
      </c>
      <c r="AG95" s="52">
        <f t="shared" si="332"/>
        <v>0</v>
      </c>
      <c r="AH95" s="52">
        <f t="shared" si="332"/>
        <v>0</v>
      </c>
      <c r="AI95" s="52">
        <f t="shared" si="332"/>
        <v>0</v>
      </c>
      <c r="AJ95" s="52">
        <f t="shared" si="332"/>
        <v>0</v>
      </c>
      <c r="AK95" s="52">
        <f t="shared" si="332"/>
        <v>0</v>
      </c>
      <c r="AL95" s="52">
        <f t="shared" ref="AL95:BQ95" si="333">IFERROR(IF(AL$28="FALSE",0,$C$95/$C$8),0)</f>
        <v>0</v>
      </c>
      <c r="AM95" s="52">
        <f t="shared" si="333"/>
        <v>0</v>
      </c>
      <c r="AN95" s="52">
        <f t="shared" si="333"/>
        <v>0</v>
      </c>
      <c r="AO95" s="52">
        <f t="shared" si="333"/>
        <v>0</v>
      </c>
      <c r="AP95" s="52">
        <f t="shared" si="333"/>
        <v>0</v>
      </c>
      <c r="AQ95" s="52">
        <f t="shared" si="333"/>
        <v>0</v>
      </c>
      <c r="AR95" s="52">
        <f t="shared" si="333"/>
        <v>0</v>
      </c>
      <c r="AS95" s="52">
        <f t="shared" si="333"/>
        <v>0</v>
      </c>
      <c r="AT95" s="52">
        <f t="shared" si="333"/>
        <v>0</v>
      </c>
      <c r="AU95" s="52">
        <f t="shared" si="333"/>
        <v>0</v>
      </c>
      <c r="AV95" s="52">
        <f t="shared" si="333"/>
        <v>0</v>
      </c>
      <c r="AW95" s="52">
        <f t="shared" si="333"/>
        <v>0</v>
      </c>
      <c r="AX95" s="52">
        <f t="shared" si="333"/>
        <v>0</v>
      </c>
      <c r="AY95" s="52">
        <f t="shared" si="333"/>
        <v>0</v>
      </c>
      <c r="AZ95" s="52">
        <f t="shared" si="333"/>
        <v>0</v>
      </c>
      <c r="BA95" s="52">
        <f t="shared" si="333"/>
        <v>0</v>
      </c>
      <c r="BB95" s="52">
        <f t="shared" si="333"/>
        <v>0</v>
      </c>
      <c r="BC95" s="52">
        <f t="shared" si="333"/>
        <v>0</v>
      </c>
      <c r="BD95" s="52">
        <f t="shared" si="333"/>
        <v>0</v>
      </c>
      <c r="BE95" s="52">
        <f t="shared" si="333"/>
        <v>0</v>
      </c>
      <c r="BF95" s="52">
        <f t="shared" si="333"/>
        <v>0</v>
      </c>
      <c r="BG95" s="52">
        <f t="shared" si="333"/>
        <v>0</v>
      </c>
      <c r="BH95" s="52">
        <f t="shared" si="333"/>
        <v>0</v>
      </c>
      <c r="BI95" s="52">
        <f t="shared" si="333"/>
        <v>0</v>
      </c>
      <c r="BJ95" s="52">
        <f t="shared" si="333"/>
        <v>0</v>
      </c>
      <c r="BK95" s="52">
        <f t="shared" si="333"/>
        <v>0</v>
      </c>
      <c r="BL95" s="52">
        <f t="shared" si="333"/>
        <v>0</v>
      </c>
      <c r="BM95" s="52">
        <f t="shared" si="333"/>
        <v>0</v>
      </c>
      <c r="BN95" s="52">
        <f t="shared" si="333"/>
        <v>0</v>
      </c>
      <c r="BO95" s="52">
        <f t="shared" si="333"/>
        <v>0</v>
      </c>
      <c r="BP95" s="52">
        <f t="shared" si="333"/>
        <v>0</v>
      </c>
      <c r="BQ95" s="52">
        <f t="shared" si="333"/>
        <v>0</v>
      </c>
      <c r="BR95" s="52">
        <f t="shared" ref="BR95:CW95" si="334">IFERROR(IF(BR$28="FALSE",0,$C$95/$C$8),0)</f>
        <v>0</v>
      </c>
      <c r="BS95" s="52">
        <f t="shared" si="334"/>
        <v>0</v>
      </c>
      <c r="BT95" s="52">
        <f t="shared" si="334"/>
        <v>0</v>
      </c>
      <c r="BU95" s="52">
        <f t="shared" si="334"/>
        <v>0</v>
      </c>
      <c r="BV95" s="52">
        <f t="shared" si="334"/>
        <v>0</v>
      </c>
      <c r="BW95" s="52">
        <f t="shared" si="334"/>
        <v>0</v>
      </c>
      <c r="BX95" s="52">
        <f t="shared" si="334"/>
        <v>0</v>
      </c>
      <c r="BY95" s="52">
        <f t="shared" si="334"/>
        <v>0</v>
      </c>
      <c r="BZ95" s="52">
        <f t="shared" si="334"/>
        <v>0</v>
      </c>
      <c r="CA95" s="52">
        <f t="shared" si="334"/>
        <v>0</v>
      </c>
      <c r="CB95" s="52">
        <f t="shared" si="334"/>
        <v>0</v>
      </c>
      <c r="CC95" s="52">
        <f t="shared" si="334"/>
        <v>0</v>
      </c>
      <c r="CD95" s="52">
        <f t="shared" si="334"/>
        <v>0</v>
      </c>
      <c r="CE95" s="52">
        <f t="shared" si="334"/>
        <v>0</v>
      </c>
      <c r="CF95" s="52">
        <f t="shared" si="334"/>
        <v>0</v>
      </c>
      <c r="CG95" s="52">
        <f t="shared" si="334"/>
        <v>0</v>
      </c>
      <c r="CH95" s="52">
        <f t="shared" si="334"/>
        <v>0</v>
      </c>
      <c r="CI95" s="52">
        <f t="shared" si="334"/>
        <v>0</v>
      </c>
      <c r="CJ95" s="52">
        <f t="shared" si="334"/>
        <v>0</v>
      </c>
      <c r="CK95" s="52">
        <f t="shared" si="334"/>
        <v>0</v>
      </c>
      <c r="CL95" s="52">
        <f t="shared" si="334"/>
        <v>0</v>
      </c>
      <c r="CM95" s="52">
        <f t="shared" si="334"/>
        <v>0</v>
      </c>
      <c r="CN95" s="52">
        <f t="shared" si="334"/>
        <v>0</v>
      </c>
      <c r="CO95" s="52">
        <f t="shared" si="334"/>
        <v>0</v>
      </c>
      <c r="CP95" s="52">
        <f t="shared" si="334"/>
        <v>0</v>
      </c>
      <c r="CQ95" s="52">
        <f t="shared" si="334"/>
        <v>0</v>
      </c>
      <c r="CR95" s="52">
        <f t="shared" si="334"/>
        <v>0</v>
      </c>
      <c r="CS95" s="52">
        <f t="shared" si="334"/>
        <v>0</v>
      </c>
      <c r="CT95" s="52">
        <f t="shared" si="334"/>
        <v>0</v>
      </c>
      <c r="CU95" s="52">
        <f t="shared" si="334"/>
        <v>0</v>
      </c>
      <c r="CV95" s="52">
        <f t="shared" si="334"/>
        <v>0</v>
      </c>
      <c r="CW95" s="52">
        <f t="shared" si="334"/>
        <v>0</v>
      </c>
      <c r="CX95" s="52">
        <f t="shared" ref="CX95:EC95" si="335">IFERROR(IF(CX$28="FALSE",0,$C$95/$C$8),0)</f>
        <v>0</v>
      </c>
      <c r="CY95" s="52">
        <f t="shared" si="335"/>
        <v>0</v>
      </c>
      <c r="CZ95" s="52">
        <f t="shared" si="335"/>
        <v>0</v>
      </c>
      <c r="DA95" s="52">
        <f t="shared" si="335"/>
        <v>0</v>
      </c>
      <c r="DB95" s="52">
        <f t="shared" si="335"/>
        <v>0</v>
      </c>
      <c r="DC95" s="52">
        <f t="shared" si="335"/>
        <v>0</v>
      </c>
      <c r="DD95" s="52">
        <f t="shared" si="335"/>
        <v>0</v>
      </c>
      <c r="DE95" s="52">
        <f t="shared" si="335"/>
        <v>0</v>
      </c>
      <c r="DF95" s="52">
        <f t="shared" si="335"/>
        <v>0</v>
      </c>
      <c r="DG95" s="52">
        <f t="shared" si="335"/>
        <v>0</v>
      </c>
      <c r="DH95" s="52">
        <f t="shared" si="335"/>
        <v>0</v>
      </c>
      <c r="DI95" s="52">
        <f t="shared" si="335"/>
        <v>0</v>
      </c>
      <c r="DJ95" s="52">
        <f t="shared" si="335"/>
        <v>0</v>
      </c>
      <c r="DK95" s="52">
        <f t="shared" si="335"/>
        <v>0</v>
      </c>
      <c r="DL95" s="52">
        <f t="shared" si="335"/>
        <v>0</v>
      </c>
      <c r="DM95" s="52">
        <f t="shared" si="335"/>
        <v>0</v>
      </c>
      <c r="DN95" s="52">
        <f t="shared" si="335"/>
        <v>0</v>
      </c>
      <c r="DO95" s="52">
        <f t="shared" si="335"/>
        <v>0</v>
      </c>
      <c r="DP95" s="52">
        <f t="shared" si="335"/>
        <v>0</v>
      </c>
      <c r="DQ95" s="52">
        <f t="shared" si="335"/>
        <v>0</v>
      </c>
      <c r="DR95" s="52">
        <f t="shared" si="335"/>
        <v>0</v>
      </c>
      <c r="DS95" s="52">
        <f t="shared" si="335"/>
        <v>0</v>
      </c>
      <c r="DT95" s="52">
        <f t="shared" si="335"/>
        <v>0</v>
      </c>
      <c r="DU95" s="52">
        <f t="shared" si="335"/>
        <v>0</v>
      </c>
      <c r="DV95" s="52">
        <f t="shared" si="335"/>
        <v>0</v>
      </c>
      <c r="DW95" s="52">
        <f t="shared" si="335"/>
        <v>0</v>
      </c>
      <c r="DX95" s="52">
        <f t="shared" si="335"/>
        <v>0</v>
      </c>
      <c r="DY95" s="52">
        <f t="shared" si="335"/>
        <v>0</v>
      </c>
      <c r="DZ95" s="52">
        <f t="shared" si="335"/>
        <v>0</v>
      </c>
      <c r="EA95" s="52">
        <f t="shared" si="335"/>
        <v>0</v>
      </c>
      <c r="EB95" s="52">
        <f t="shared" si="335"/>
        <v>0</v>
      </c>
      <c r="EC95" s="52">
        <f t="shared" si="335"/>
        <v>0</v>
      </c>
      <c r="ED95" s="52">
        <f t="shared" ref="ED95:FD95" si="336">IFERROR(IF(ED$28="FALSE",0,$C$95/$C$8),0)</f>
        <v>0</v>
      </c>
      <c r="EE95" s="52">
        <f t="shared" si="336"/>
        <v>0</v>
      </c>
      <c r="EF95" s="52">
        <f t="shared" si="336"/>
        <v>0</v>
      </c>
      <c r="EG95" s="52">
        <f t="shared" si="336"/>
        <v>0</v>
      </c>
      <c r="EH95" s="52">
        <f t="shared" si="336"/>
        <v>0</v>
      </c>
      <c r="EI95" s="52">
        <f t="shared" si="336"/>
        <v>0</v>
      </c>
      <c r="EJ95" s="52">
        <f t="shared" si="336"/>
        <v>0</v>
      </c>
      <c r="EK95" s="52">
        <f t="shared" si="336"/>
        <v>0</v>
      </c>
      <c r="EL95" s="52">
        <f t="shared" si="336"/>
        <v>0</v>
      </c>
      <c r="EM95" s="52">
        <f t="shared" si="336"/>
        <v>0</v>
      </c>
      <c r="EN95" s="52">
        <f t="shared" si="336"/>
        <v>0</v>
      </c>
      <c r="EO95" s="52">
        <f t="shared" si="336"/>
        <v>0</v>
      </c>
      <c r="EP95" s="52">
        <f t="shared" si="336"/>
        <v>0</v>
      </c>
      <c r="EQ95" s="52">
        <f t="shared" si="336"/>
        <v>0</v>
      </c>
      <c r="ER95" s="52">
        <f t="shared" si="336"/>
        <v>0</v>
      </c>
      <c r="ES95" s="52">
        <f t="shared" si="336"/>
        <v>0</v>
      </c>
      <c r="ET95" s="52">
        <f t="shared" si="336"/>
        <v>0</v>
      </c>
      <c r="EU95" s="52">
        <f t="shared" si="336"/>
        <v>0</v>
      </c>
      <c r="EV95" s="52">
        <f t="shared" si="336"/>
        <v>0</v>
      </c>
      <c r="EW95" s="52">
        <f t="shared" si="336"/>
        <v>0</v>
      </c>
      <c r="EX95" s="52">
        <f t="shared" si="336"/>
        <v>0</v>
      </c>
      <c r="EY95" s="52">
        <f t="shared" si="336"/>
        <v>0</v>
      </c>
      <c r="EZ95" s="52">
        <f t="shared" si="336"/>
        <v>0</v>
      </c>
      <c r="FA95" s="52">
        <f t="shared" si="336"/>
        <v>0</v>
      </c>
      <c r="FB95" s="52">
        <f t="shared" si="336"/>
        <v>0</v>
      </c>
      <c r="FC95" s="52">
        <f t="shared" si="336"/>
        <v>0</v>
      </c>
      <c r="FD95" s="52">
        <f t="shared" si="336"/>
        <v>0</v>
      </c>
    </row>
    <row r="96" spans="2:160">
      <c r="B96" s="51" t="s">
        <v>176</v>
      </c>
      <c r="C96" s="52">
        <f ca="1">IF(Startup!$C$3="Project",SUMIF(Startup!$C$7:$D$27,Overview!B96,Startup!$D$7:$D$27),(SUMIF(Startup!$C$7:$D$27,Overview!B96,Startup!$D$7:$D$27)*Startup!$C$4))+IF(Pilot!$C$3="Project",SUMIF(Pilot!$C$7:$D$27,Overview!B96,Pilot!$D$7:$D$27),(SUMIF(Pilot!$C$7:$D$27,Overview!B96,Pilot!$D$7:$D$27)*Pilot!$C$4))+IF(PMO!$C$3="Project",SUMIF(PMO!$C$7:$D$27,Overview!B96,PMO!$D$7:$D$27),(SUMIF(PMO!$C$7:$D$27,Overview!B96,PMO!$D$7:$D$27)*PMO!$C$4))+IF('Design &amp; Fulfillment'!$C$3="Project",SUMIF('Design &amp; Fulfillment'!$C$7:$D$27,Overview!B96,'Design &amp; Fulfillment'!$D$7:$D$27),(SUMIF('Design &amp; Fulfillment'!$C$7:$D$27,Overview!B96,'Design &amp; Fulfillment'!$D$7:$D$27)*'Design &amp; Fulfillment'!$C$4))+IF(Workplace!$C$3="Project",SUMIF(Workplace!$C$7:$D$27,Overview!B96,Workplace!$D$7:$D$27),(SUMIF(Workplace!$C$7:$D$27,Overview!B96,Workplace!$D$7:$D$27)*Workplace!$C$4))+IF(Integration!$C$3="Project",SUMIF(Integration!$C$7:$D$27,Overview!B96,Integration!$D$7:$D$27),(SUMIF(Integration!$C$7:$D$27,Overview!B96,Integration!$D$7:$D$27)*Integration!$C$4))+IF(Logistics!$C$3="Project",SUMIF(Logistics!$C$7:$D$27,Overview!B96,Logistics!$D$7:$D$27),(SUMIF(Logistics!$C$7:$D$27,Overview!B96,Logistics!$D$7:$D$27)*Logistics!$C$4))+IF('Service Desk'!$C$3="Project",SUMIF('Service Desk'!$C$7:$D$27,Overview!B96,'Service Desk'!$D$7:$D$27),(SUMIF('Service Desk'!$C$7:$D$27,Overview!B96,'Service Desk'!$D$7:$D$27)*'Service Desk'!$C$4))+IF('Pro Services'!$C$3="Project",SUMIF('Pro Services'!$C$7:$D$27,Overview!B96,'Pro Services'!$D$7:$D$27),(SUMIF('Pro Services'!$C$7:$D$27,Overview!B96,'Pro Services'!$D$7:$D$27)*'Pro Services'!$C$4))</f>
        <v>0</v>
      </c>
      <c r="D96" s="53">
        <f ca="1">IF(Startup!$C$3="Project",SUMIF(Startup!$C$7:$H$27,Overview!B96,Startup!$H$7:$H$27),(SUMIF(Startup!$C$7:$H$27,Overview!B96,Startup!$H$7:$H$27)*Startup!$C$4))+IF(Pilot!$C$3="Project",SUMIF(Pilot!$C$7:$H$27,Overview!B96,Pilot!$H$7:$H$27),(SUMIF(Pilot!$C$7:$H$27,Overview!B96,Pilot!$H$7:$H$27)*Pilot!$C$4))+IF(PMO!$C$3="Project",SUMIF(PMO!$C$7:$H$27,Overview!B96,PMO!$H$7:$H$27),(SUMIF(PMO!$C$7:$H$27,Overview!B96,PMO!$H$7:$H$27)*PMO!$C$4))+IF('Design &amp; Fulfillment'!$C$3="Project",SUMIF('Design &amp; Fulfillment'!$C$7:$H$27,Overview!B96,'Design &amp; Fulfillment'!$H$7:$H$27),(SUMIF('Design &amp; Fulfillment'!$C$7:$H$27,Overview!B96,'Design &amp; Fulfillment'!$H$7:$H$27)*'Design &amp; Fulfillment'!$C$4))+IF(Workplace!$C$3="Project",SUMIF(Workplace!$C$7:$H$27,Overview!B96,Workplace!$H$7:$H$27),(SUMIF(Workplace!$C$7:$H$27,Overview!B96,Workplace!$H$7:$H$27)*Workplace!$C$4))+IF(Integration!$C$3="Project",SUMIF(Integration!$C$7:$H$27,Overview!B96,Integration!$H$7:$H$27),(SUMIF(Integration!$C$7:$H$27,Overview!B96,Integration!$H$7:$H$27)*Integration!$C$4))+IF(Logistics!$C$3="Project",SUMIF(Logistics!$C$7:$H$27,Overview!B96,Logistics!$H$7:$H$27),(SUMIF(Logistics!$C$7:$H$27,Overview!B96,Logistics!$H$7:$H$27)*Logistics!$C$4))+IF('Service Desk'!$C$3="Project",SUMIF('Service Desk'!$C$7:$H$27,Overview!B96,'Service Desk'!$H$7:$H$27),(SUMIF('Service Desk'!$C$7:$H$27,Overview!B96,'Service Desk'!$H$7:$H$27)*'Service Desk'!$C$4))+IF('Pro Services'!$C$3="Project",SUMIF('Pro Services'!$C$7:$H$27,Overview!B96,'Pro Services'!$H$7:$H$27),(SUMIF('Pro Services'!$C$7:$H$27,Overview!B96,'Pro Services'!$H$7:$H$27)*'Pro Services'!$C$4))</f>
        <v>0</v>
      </c>
      <c r="E96" s="52">
        <f t="shared" ca="1" si="120"/>
        <v>0</v>
      </c>
      <c r="F96" s="52">
        <f t="shared" ref="F96:AK96" si="337">IFERROR(IF(F$28="FALSE",0,$C$96/$C$8),0)</f>
        <v>0</v>
      </c>
      <c r="G96" s="52">
        <f t="shared" si="337"/>
        <v>0</v>
      </c>
      <c r="H96" s="52">
        <f t="shared" si="337"/>
        <v>0</v>
      </c>
      <c r="I96" s="52">
        <f t="shared" si="337"/>
        <v>0</v>
      </c>
      <c r="J96" s="52">
        <f t="shared" si="337"/>
        <v>0</v>
      </c>
      <c r="K96" s="52">
        <f t="shared" si="337"/>
        <v>0</v>
      </c>
      <c r="L96" s="52">
        <f t="shared" si="337"/>
        <v>0</v>
      </c>
      <c r="M96" s="52">
        <f t="shared" si="337"/>
        <v>0</v>
      </c>
      <c r="N96" s="52">
        <f t="shared" si="337"/>
        <v>0</v>
      </c>
      <c r="O96" s="52">
        <f t="shared" si="337"/>
        <v>0</v>
      </c>
      <c r="P96" s="52">
        <f t="shared" si="337"/>
        <v>0</v>
      </c>
      <c r="Q96" s="52">
        <f t="shared" si="337"/>
        <v>0</v>
      </c>
      <c r="R96" s="52">
        <f t="shared" si="337"/>
        <v>0</v>
      </c>
      <c r="S96" s="52">
        <f t="shared" si="337"/>
        <v>0</v>
      </c>
      <c r="T96" s="52">
        <f t="shared" si="337"/>
        <v>0</v>
      </c>
      <c r="U96" s="52">
        <f t="shared" si="337"/>
        <v>0</v>
      </c>
      <c r="V96" s="52">
        <f t="shared" si="337"/>
        <v>0</v>
      </c>
      <c r="W96" s="52">
        <f t="shared" si="337"/>
        <v>0</v>
      </c>
      <c r="X96" s="52">
        <f t="shared" si="337"/>
        <v>0</v>
      </c>
      <c r="Y96" s="52">
        <f t="shared" si="337"/>
        <v>0</v>
      </c>
      <c r="Z96" s="52">
        <f t="shared" si="337"/>
        <v>0</v>
      </c>
      <c r="AA96" s="52">
        <f t="shared" si="337"/>
        <v>0</v>
      </c>
      <c r="AB96" s="52">
        <f t="shared" si="337"/>
        <v>0</v>
      </c>
      <c r="AC96" s="52">
        <f t="shared" si="337"/>
        <v>0</v>
      </c>
      <c r="AD96" s="52">
        <f t="shared" si="337"/>
        <v>0</v>
      </c>
      <c r="AE96" s="52">
        <f t="shared" si="337"/>
        <v>0</v>
      </c>
      <c r="AF96" s="52">
        <f t="shared" si="337"/>
        <v>0</v>
      </c>
      <c r="AG96" s="52">
        <f t="shared" si="337"/>
        <v>0</v>
      </c>
      <c r="AH96" s="52">
        <f t="shared" si="337"/>
        <v>0</v>
      </c>
      <c r="AI96" s="52">
        <f t="shared" si="337"/>
        <v>0</v>
      </c>
      <c r="AJ96" s="52">
        <f t="shared" si="337"/>
        <v>0</v>
      </c>
      <c r="AK96" s="52">
        <f t="shared" si="337"/>
        <v>0</v>
      </c>
      <c r="AL96" s="52">
        <f t="shared" ref="AL96:BQ96" si="338">IFERROR(IF(AL$28="FALSE",0,$C$96/$C$8),0)</f>
        <v>0</v>
      </c>
      <c r="AM96" s="52">
        <f t="shared" si="338"/>
        <v>0</v>
      </c>
      <c r="AN96" s="52">
        <f t="shared" si="338"/>
        <v>0</v>
      </c>
      <c r="AO96" s="52">
        <f t="shared" si="338"/>
        <v>0</v>
      </c>
      <c r="AP96" s="52">
        <f t="shared" si="338"/>
        <v>0</v>
      </c>
      <c r="AQ96" s="52">
        <f t="shared" si="338"/>
        <v>0</v>
      </c>
      <c r="AR96" s="52">
        <f t="shared" si="338"/>
        <v>0</v>
      </c>
      <c r="AS96" s="52">
        <f t="shared" si="338"/>
        <v>0</v>
      </c>
      <c r="AT96" s="52">
        <f t="shared" si="338"/>
        <v>0</v>
      </c>
      <c r="AU96" s="52">
        <f t="shared" si="338"/>
        <v>0</v>
      </c>
      <c r="AV96" s="52">
        <f t="shared" si="338"/>
        <v>0</v>
      </c>
      <c r="AW96" s="52">
        <f t="shared" si="338"/>
        <v>0</v>
      </c>
      <c r="AX96" s="52">
        <f t="shared" si="338"/>
        <v>0</v>
      </c>
      <c r="AY96" s="52">
        <f t="shared" si="338"/>
        <v>0</v>
      </c>
      <c r="AZ96" s="52">
        <f t="shared" si="338"/>
        <v>0</v>
      </c>
      <c r="BA96" s="52">
        <f t="shared" si="338"/>
        <v>0</v>
      </c>
      <c r="BB96" s="52">
        <f t="shared" si="338"/>
        <v>0</v>
      </c>
      <c r="BC96" s="52">
        <f t="shared" si="338"/>
        <v>0</v>
      </c>
      <c r="BD96" s="52">
        <f t="shared" si="338"/>
        <v>0</v>
      </c>
      <c r="BE96" s="52">
        <f t="shared" si="338"/>
        <v>0</v>
      </c>
      <c r="BF96" s="52">
        <f t="shared" si="338"/>
        <v>0</v>
      </c>
      <c r="BG96" s="52">
        <f t="shared" si="338"/>
        <v>0</v>
      </c>
      <c r="BH96" s="52">
        <f t="shared" si="338"/>
        <v>0</v>
      </c>
      <c r="BI96" s="52">
        <f t="shared" si="338"/>
        <v>0</v>
      </c>
      <c r="BJ96" s="52">
        <f t="shared" si="338"/>
        <v>0</v>
      </c>
      <c r="BK96" s="52">
        <f t="shared" si="338"/>
        <v>0</v>
      </c>
      <c r="BL96" s="52">
        <f t="shared" si="338"/>
        <v>0</v>
      </c>
      <c r="BM96" s="52">
        <f t="shared" si="338"/>
        <v>0</v>
      </c>
      <c r="BN96" s="52">
        <f t="shared" si="338"/>
        <v>0</v>
      </c>
      <c r="BO96" s="52">
        <f t="shared" si="338"/>
        <v>0</v>
      </c>
      <c r="BP96" s="52">
        <f t="shared" si="338"/>
        <v>0</v>
      </c>
      <c r="BQ96" s="52">
        <f t="shared" si="338"/>
        <v>0</v>
      </c>
      <c r="BR96" s="52">
        <f t="shared" ref="BR96:CW96" si="339">IFERROR(IF(BR$28="FALSE",0,$C$96/$C$8),0)</f>
        <v>0</v>
      </c>
      <c r="BS96" s="52">
        <f t="shared" si="339"/>
        <v>0</v>
      </c>
      <c r="BT96" s="52">
        <f t="shared" si="339"/>
        <v>0</v>
      </c>
      <c r="BU96" s="52">
        <f t="shared" si="339"/>
        <v>0</v>
      </c>
      <c r="BV96" s="52">
        <f t="shared" si="339"/>
        <v>0</v>
      </c>
      <c r="BW96" s="52">
        <f t="shared" si="339"/>
        <v>0</v>
      </c>
      <c r="BX96" s="52">
        <f t="shared" si="339"/>
        <v>0</v>
      </c>
      <c r="BY96" s="52">
        <f t="shared" si="339"/>
        <v>0</v>
      </c>
      <c r="BZ96" s="52">
        <f t="shared" si="339"/>
        <v>0</v>
      </c>
      <c r="CA96" s="52">
        <f t="shared" si="339"/>
        <v>0</v>
      </c>
      <c r="CB96" s="52">
        <f t="shared" si="339"/>
        <v>0</v>
      </c>
      <c r="CC96" s="52">
        <f t="shared" si="339"/>
        <v>0</v>
      </c>
      <c r="CD96" s="52">
        <f t="shared" si="339"/>
        <v>0</v>
      </c>
      <c r="CE96" s="52">
        <f t="shared" si="339"/>
        <v>0</v>
      </c>
      <c r="CF96" s="52">
        <f t="shared" si="339"/>
        <v>0</v>
      </c>
      <c r="CG96" s="52">
        <f t="shared" si="339"/>
        <v>0</v>
      </c>
      <c r="CH96" s="52">
        <f t="shared" si="339"/>
        <v>0</v>
      </c>
      <c r="CI96" s="52">
        <f t="shared" si="339"/>
        <v>0</v>
      </c>
      <c r="CJ96" s="52">
        <f t="shared" si="339"/>
        <v>0</v>
      </c>
      <c r="CK96" s="52">
        <f t="shared" si="339"/>
        <v>0</v>
      </c>
      <c r="CL96" s="52">
        <f t="shared" si="339"/>
        <v>0</v>
      </c>
      <c r="CM96" s="52">
        <f t="shared" si="339"/>
        <v>0</v>
      </c>
      <c r="CN96" s="52">
        <f t="shared" si="339"/>
        <v>0</v>
      </c>
      <c r="CO96" s="52">
        <f t="shared" si="339"/>
        <v>0</v>
      </c>
      <c r="CP96" s="52">
        <f t="shared" si="339"/>
        <v>0</v>
      </c>
      <c r="CQ96" s="52">
        <f t="shared" si="339"/>
        <v>0</v>
      </c>
      <c r="CR96" s="52">
        <f t="shared" si="339"/>
        <v>0</v>
      </c>
      <c r="CS96" s="52">
        <f t="shared" si="339"/>
        <v>0</v>
      </c>
      <c r="CT96" s="52">
        <f t="shared" si="339"/>
        <v>0</v>
      </c>
      <c r="CU96" s="52">
        <f t="shared" si="339"/>
        <v>0</v>
      </c>
      <c r="CV96" s="52">
        <f t="shared" si="339"/>
        <v>0</v>
      </c>
      <c r="CW96" s="52">
        <f t="shared" si="339"/>
        <v>0</v>
      </c>
      <c r="CX96" s="52">
        <f t="shared" ref="CX96:EC96" si="340">IFERROR(IF(CX$28="FALSE",0,$C$96/$C$8),0)</f>
        <v>0</v>
      </c>
      <c r="CY96" s="52">
        <f t="shared" si="340"/>
        <v>0</v>
      </c>
      <c r="CZ96" s="52">
        <f t="shared" si="340"/>
        <v>0</v>
      </c>
      <c r="DA96" s="52">
        <f t="shared" si="340"/>
        <v>0</v>
      </c>
      <c r="DB96" s="52">
        <f t="shared" si="340"/>
        <v>0</v>
      </c>
      <c r="DC96" s="52">
        <f t="shared" si="340"/>
        <v>0</v>
      </c>
      <c r="DD96" s="52">
        <f t="shared" si="340"/>
        <v>0</v>
      </c>
      <c r="DE96" s="52">
        <f t="shared" si="340"/>
        <v>0</v>
      </c>
      <c r="DF96" s="52">
        <f t="shared" si="340"/>
        <v>0</v>
      </c>
      <c r="DG96" s="52">
        <f t="shared" si="340"/>
        <v>0</v>
      </c>
      <c r="DH96" s="52">
        <f t="shared" si="340"/>
        <v>0</v>
      </c>
      <c r="DI96" s="52">
        <f t="shared" si="340"/>
        <v>0</v>
      </c>
      <c r="DJ96" s="52">
        <f t="shared" si="340"/>
        <v>0</v>
      </c>
      <c r="DK96" s="52">
        <f t="shared" si="340"/>
        <v>0</v>
      </c>
      <c r="DL96" s="52">
        <f t="shared" si="340"/>
        <v>0</v>
      </c>
      <c r="DM96" s="52">
        <f t="shared" si="340"/>
        <v>0</v>
      </c>
      <c r="DN96" s="52">
        <f t="shared" si="340"/>
        <v>0</v>
      </c>
      <c r="DO96" s="52">
        <f t="shared" si="340"/>
        <v>0</v>
      </c>
      <c r="DP96" s="52">
        <f t="shared" si="340"/>
        <v>0</v>
      </c>
      <c r="DQ96" s="52">
        <f t="shared" si="340"/>
        <v>0</v>
      </c>
      <c r="DR96" s="52">
        <f t="shared" si="340"/>
        <v>0</v>
      </c>
      <c r="DS96" s="52">
        <f t="shared" si="340"/>
        <v>0</v>
      </c>
      <c r="DT96" s="52">
        <f t="shared" si="340"/>
        <v>0</v>
      </c>
      <c r="DU96" s="52">
        <f t="shared" si="340"/>
        <v>0</v>
      </c>
      <c r="DV96" s="52">
        <f t="shared" si="340"/>
        <v>0</v>
      </c>
      <c r="DW96" s="52">
        <f t="shared" si="340"/>
        <v>0</v>
      </c>
      <c r="DX96" s="52">
        <f t="shared" si="340"/>
        <v>0</v>
      </c>
      <c r="DY96" s="52">
        <f t="shared" si="340"/>
        <v>0</v>
      </c>
      <c r="DZ96" s="52">
        <f t="shared" si="340"/>
        <v>0</v>
      </c>
      <c r="EA96" s="52">
        <f t="shared" si="340"/>
        <v>0</v>
      </c>
      <c r="EB96" s="52">
        <f t="shared" si="340"/>
        <v>0</v>
      </c>
      <c r="EC96" s="52">
        <f t="shared" si="340"/>
        <v>0</v>
      </c>
      <c r="ED96" s="52">
        <f t="shared" ref="ED96:FD96" si="341">IFERROR(IF(ED$28="FALSE",0,$C$96/$C$8),0)</f>
        <v>0</v>
      </c>
      <c r="EE96" s="52">
        <f t="shared" si="341"/>
        <v>0</v>
      </c>
      <c r="EF96" s="52">
        <f t="shared" si="341"/>
        <v>0</v>
      </c>
      <c r="EG96" s="52">
        <f t="shared" si="341"/>
        <v>0</v>
      </c>
      <c r="EH96" s="52">
        <f t="shared" si="341"/>
        <v>0</v>
      </c>
      <c r="EI96" s="52">
        <f t="shared" si="341"/>
        <v>0</v>
      </c>
      <c r="EJ96" s="52">
        <f t="shared" si="341"/>
        <v>0</v>
      </c>
      <c r="EK96" s="52">
        <f t="shared" si="341"/>
        <v>0</v>
      </c>
      <c r="EL96" s="52">
        <f t="shared" si="341"/>
        <v>0</v>
      </c>
      <c r="EM96" s="52">
        <f t="shared" si="341"/>
        <v>0</v>
      </c>
      <c r="EN96" s="52">
        <f t="shared" si="341"/>
        <v>0</v>
      </c>
      <c r="EO96" s="52">
        <f t="shared" si="341"/>
        <v>0</v>
      </c>
      <c r="EP96" s="52">
        <f t="shared" si="341"/>
        <v>0</v>
      </c>
      <c r="EQ96" s="52">
        <f t="shared" si="341"/>
        <v>0</v>
      </c>
      <c r="ER96" s="52">
        <f t="shared" si="341"/>
        <v>0</v>
      </c>
      <c r="ES96" s="52">
        <f t="shared" si="341"/>
        <v>0</v>
      </c>
      <c r="ET96" s="52">
        <f t="shared" si="341"/>
        <v>0</v>
      </c>
      <c r="EU96" s="52">
        <f t="shared" si="341"/>
        <v>0</v>
      </c>
      <c r="EV96" s="52">
        <f t="shared" si="341"/>
        <v>0</v>
      </c>
      <c r="EW96" s="52">
        <f t="shared" si="341"/>
        <v>0</v>
      </c>
      <c r="EX96" s="52">
        <f t="shared" si="341"/>
        <v>0</v>
      </c>
      <c r="EY96" s="52">
        <f t="shared" si="341"/>
        <v>0</v>
      </c>
      <c r="EZ96" s="52">
        <f t="shared" si="341"/>
        <v>0</v>
      </c>
      <c r="FA96" s="52">
        <f t="shared" si="341"/>
        <v>0</v>
      </c>
      <c r="FB96" s="52">
        <f t="shared" si="341"/>
        <v>0</v>
      </c>
      <c r="FC96" s="52">
        <f t="shared" si="341"/>
        <v>0</v>
      </c>
      <c r="FD96" s="52">
        <f t="shared" si="341"/>
        <v>0</v>
      </c>
    </row>
    <row r="97" spans="2:160">
      <c r="B97" s="51" t="s">
        <v>177</v>
      </c>
      <c r="C97" s="52">
        <f ca="1">IF(Startup!$C$3="Project",SUMIF(Startup!$C$7:$D$27,Overview!B97,Startup!$D$7:$D$27),(SUMIF(Startup!$C$7:$D$27,Overview!B97,Startup!$D$7:$D$27)*Startup!$C$4))+IF(Pilot!$C$3="Project",SUMIF(Pilot!$C$7:$D$27,Overview!B97,Pilot!$D$7:$D$27),(SUMIF(Pilot!$C$7:$D$27,Overview!B97,Pilot!$D$7:$D$27)*Pilot!$C$4))+IF(PMO!$C$3="Project",SUMIF(PMO!$C$7:$D$27,Overview!B97,PMO!$D$7:$D$27),(SUMIF(PMO!$C$7:$D$27,Overview!B97,PMO!$D$7:$D$27)*PMO!$C$4))+IF('Design &amp; Fulfillment'!$C$3="Project",SUMIF('Design &amp; Fulfillment'!$C$7:$D$27,Overview!B97,'Design &amp; Fulfillment'!$D$7:$D$27),(SUMIF('Design &amp; Fulfillment'!$C$7:$D$27,Overview!B97,'Design &amp; Fulfillment'!$D$7:$D$27)*'Design &amp; Fulfillment'!$C$4))+IF(Workplace!$C$3="Project",SUMIF(Workplace!$C$7:$D$27,Overview!B97,Workplace!$D$7:$D$27),(SUMIF(Workplace!$C$7:$D$27,Overview!B97,Workplace!$D$7:$D$27)*Workplace!$C$4))+IF(Integration!$C$3="Project",SUMIF(Integration!$C$7:$D$27,Overview!B97,Integration!$D$7:$D$27),(SUMIF(Integration!$C$7:$D$27,Overview!B97,Integration!$D$7:$D$27)*Integration!$C$4))+IF(Logistics!$C$3="Project",SUMIF(Logistics!$C$7:$D$27,Overview!B97,Logistics!$D$7:$D$27),(SUMIF(Logistics!$C$7:$D$27,Overview!B97,Logistics!$D$7:$D$27)*Logistics!$C$4))+IF('Service Desk'!$C$3="Project",SUMIF('Service Desk'!$C$7:$D$27,Overview!B97,'Service Desk'!$D$7:$D$27),(SUMIF('Service Desk'!$C$7:$D$27,Overview!B97,'Service Desk'!$D$7:$D$27)*'Service Desk'!$C$4))+IF('Pro Services'!$C$3="Project",SUMIF('Pro Services'!$C$7:$D$27,Overview!B97,'Pro Services'!$D$7:$D$27),(SUMIF('Pro Services'!$C$7:$D$27,Overview!B97,'Pro Services'!$D$7:$D$27)*'Pro Services'!$C$4))</f>
        <v>0</v>
      </c>
      <c r="D97" s="53">
        <f ca="1">IF(Startup!$C$3="Project",SUMIF(Startup!$C$7:$H$27,Overview!B97,Startup!$H$7:$H$27),(SUMIF(Startup!$C$7:$H$27,Overview!B97,Startup!$H$7:$H$27)*Startup!$C$4))+IF(Pilot!$C$3="Project",SUMIF(Pilot!$C$7:$H$27,Overview!B97,Pilot!$H$7:$H$27),(SUMIF(Pilot!$C$7:$H$27,Overview!B97,Pilot!$H$7:$H$27)*Pilot!$C$4))+IF(PMO!$C$3="Project",SUMIF(PMO!$C$7:$H$27,Overview!B97,PMO!$H$7:$H$27),(SUMIF(PMO!$C$7:$H$27,Overview!B97,PMO!$H$7:$H$27)*PMO!$C$4))+IF('Design &amp; Fulfillment'!$C$3="Project",SUMIF('Design &amp; Fulfillment'!$C$7:$H$27,Overview!B97,'Design &amp; Fulfillment'!$H$7:$H$27),(SUMIF('Design &amp; Fulfillment'!$C$7:$H$27,Overview!B97,'Design &amp; Fulfillment'!$H$7:$H$27)*'Design &amp; Fulfillment'!$C$4))+IF(Workplace!$C$3="Project",SUMIF(Workplace!$C$7:$H$27,Overview!B97,Workplace!$H$7:$H$27),(SUMIF(Workplace!$C$7:$H$27,Overview!B97,Workplace!$H$7:$H$27)*Workplace!$C$4))+IF(Integration!$C$3="Project",SUMIF(Integration!$C$7:$H$27,Overview!B97,Integration!$H$7:$H$27),(SUMIF(Integration!$C$7:$H$27,Overview!B97,Integration!$H$7:$H$27)*Integration!$C$4))+IF(Logistics!$C$3="Project",SUMIF(Logistics!$C$7:$H$27,Overview!B97,Logistics!$H$7:$H$27),(SUMIF(Logistics!$C$7:$H$27,Overview!B97,Logistics!$H$7:$H$27)*Logistics!$C$4))+IF('Service Desk'!$C$3="Project",SUMIF('Service Desk'!$C$7:$H$27,Overview!B97,'Service Desk'!$H$7:$H$27),(SUMIF('Service Desk'!$C$7:$H$27,Overview!B97,'Service Desk'!$H$7:$H$27)*'Service Desk'!$C$4))+IF('Pro Services'!$C$3="Project",SUMIF('Pro Services'!$C$7:$H$27,Overview!B97,'Pro Services'!$H$7:$H$27),(SUMIF('Pro Services'!$C$7:$H$27,Overview!B97,'Pro Services'!$H$7:$H$27)*'Pro Services'!$C$4))</f>
        <v>0</v>
      </c>
      <c r="E97" s="52">
        <f t="shared" ca="1" si="120"/>
        <v>0</v>
      </c>
      <c r="F97" s="52">
        <f t="shared" ref="F97:AK97" si="342">IFERROR(IF(F$28="FALSE",0,$C$97/$C$8),0)</f>
        <v>0</v>
      </c>
      <c r="G97" s="52">
        <f t="shared" si="342"/>
        <v>0</v>
      </c>
      <c r="H97" s="52">
        <f t="shared" si="342"/>
        <v>0</v>
      </c>
      <c r="I97" s="52">
        <f t="shared" si="342"/>
        <v>0</v>
      </c>
      <c r="J97" s="52">
        <f t="shared" si="342"/>
        <v>0</v>
      </c>
      <c r="K97" s="52">
        <f t="shared" si="342"/>
        <v>0</v>
      </c>
      <c r="L97" s="52">
        <f t="shared" si="342"/>
        <v>0</v>
      </c>
      <c r="M97" s="52">
        <f t="shared" si="342"/>
        <v>0</v>
      </c>
      <c r="N97" s="52">
        <f t="shared" si="342"/>
        <v>0</v>
      </c>
      <c r="O97" s="52">
        <f t="shared" si="342"/>
        <v>0</v>
      </c>
      <c r="P97" s="52">
        <f t="shared" si="342"/>
        <v>0</v>
      </c>
      <c r="Q97" s="52">
        <f t="shared" si="342"/>
        <v>0</v>
      </c>
      <c r="R97" s="52">
        <f t="shared" si="342"/>
        <v>0</v>
      </c>
      <c r="S97" s="52">
        <f t="shared" si="342"/>
        <v>0</v>
      </c>
      <c r="T97" s="52">
        <f t="shared" si="342"/>
        <v>0</v>
      </c>
      <c r="U97" s="52">
        <f t="shared" si="342"/>
        <v>0</v>
      </c>
      <c r="V97" s="52">
        <f t="shared" si="342"/>
        <v>0</v>
      </c>
      <c r="W97" s="52">
        <f t="shared" si="342"/>
        <v>0</v>
      </c>
      <c r="X97" s="52">
        <f t="shared" si="342"/>
        <v>0</v>
      </c>
      <c r="Y97" s="52">
        <f t="shared" si="342"/>
        <v>0</v>
      </c>
      <c r="Z97" s="52">
        <f t="shared" si="342"/>
        <v>0</v>
      </c>
      <c r="AA97" s="52">
        <f t="shared" si="342"/>
        <v>0</v>
      </c>
      <c r="AB97" s="52">
        <f t="shared" si="342"/>
        <v>0</v>
      </c>
      <c r="AC97" s="52">
        <f t="shared" si="342"/>
        <v>0</v>
      </c>
      <c r="AD97" s="52">
        <f t="shared" si="342"/>
        <v>0</v>
      </c>
      <c r="AE97" s="52">
        <f t="shared" si="342"/>
        <v>0</v>
      </c>
      <c r="AF97" s="52">
        <f t="shared" si="342"/>
        <v>0</v>
      </c>
      <c r="AG97" s="52">
        <f t="shared" si="342"/>
        <v>0</v>
      </c>
      <c r="AH97" s="52">
        <f t="shared" si="342"/>
        <v>0</v>
      </c>
      <c r="AI97" s="52">
        <f t="shared" si="342"/>
        <v>0</v>
      </c>
      <c r="AJ97" s="52">
        <f t="shared" si="342"/>
        <v>0</v>
      </c>
      <c r="AK97" s="52">
        <f t="shared" si="342"/>
        <v>0</v>
      </c>
      <c r="AL97" s="52">
        <f t="shared" ref="AL97:BQ97" si="343">IFERROR(IF(AL$28="FALSE",0,$C$97/$C$8),0)</f>
        <v>0</v>
      </c>
      <c r="AM97" s="52">
        <f t="shared" si="343"/>
        <v>0</v>
      </c>
      <c r="AN97" s="52">
        <f t="shared" si="343"/>
        <v>0</v>
      </c>
      <c r="AO97" s="52">
        <f t="shared" si="343"/>
        <v>0</v>
      </c>
      <c r="AP97" s="52">
        <f t="shared" si="343"/>
        <v>0</v>
      </c>
      <c r="AQ97" s="52">
        <f t="shared" si="343"/>
        <v>0</v>
      </c>
      <c r="AR97" s="52">
        <f t="shared" si="343"/>
        <v>0</v>
      </c>
      <c r="AS97" s="52">
        <f t="shared" si="343"/>
        <v>0</v>
      </c>
      <c r="AT97" s="52">
        <f t="shared" si="343"/>
        <v>0</v>
      </c>
      <c r="AU97" s="52">
        <f t="shared" si="343"/>
        <v>0</v>
      </c>
      <c r="AV97" s="52">
        <f t="shared" si="343"/>
        <v>0</v>
      </c>
      <c r="AW97" s="52">
        <f t="shared" si="343"/>
        <v>0</v>
      </c>
      <c r="AX97" s="52">
        <f t="shared" si="343"/>
        <v>0</v>
      </c>
      <c r="AY97" s="52">
        <f t="shared" si="343"/>
        <v>0</v>
      </c>
      <c r="AZ97" s="52">
        <f t="shared" si="343"/>
        <v>0</v>
      </c>
      <c r="BA97" s="52">
        <f t="shared" si="343"/>
        <v>0</v>
      </c>
      <c r="BB97" s="52">
        <f t="shared" si="343"/>
        <v>0</v>
      </c>
      <c r="BC97" s="52">
        <f t="shared" si="343"/>
        <v>0</v>
      </c>
      <c r="BD97" s="52">
        <f t="shared" si="343"/>
        <v>0</v>
      </c>
      <c r="BE97" s="52">
        <f t="shared" si="343"/>
        <v>0</v>
      </c>
      <c r="BF97" s="52">
        <f t="shared" si="343"/>
        <v>0</v>
      </c>
      <c r="BG97" s="52">
        <f t="shared" si="343"/>
        <v>0</v>
      </c>
      <c r="BH97" s="52">
        <f t="shared" si="343"/>
        <v>0</v>
      </c>
      <c r="BI97" s="52">
        <f t="shared" si="343"/>
        <v>0</v>
      </c>
      <c r="BJ97" s="52">
        <f t="shared" si="343"/>
        <v>0</v>
      </c>
      <c r="BK97" s="52">
        <f t="shared" si="343"/>
        <v>0</v>
      </c>
      <c r="BL97" s="52">
        <f t="shared" si="343"/>
        <v>0</v>
      </c>
      <c r="BM97" s="52">
        <f t="shared" si="343"/>
        <v>0</v>
      </c>
      <c r="BN97" s="52">
        <f t="shared" si="343"/>
        <v>0</v>
      </c>
      <c r="BO97" s="52">
        <f t="shared" si="343"/>
        <v>0</v>
      </c>
      <c r="BP97" s="52">
        <f t="shared" si="343"/>
        <v>0</v>
      </c>
      <c r="BQ97" s="52">
        <f t="shared" si="343"/>
        <v>0</v>
      </c>
      <c r="BR97" s="52">
        <f t="shared" ref="BR97:CW97" si="344">IFERROR(IF(BR$28="FALSE",0,$C$97/$C$8),0)</f>
        <v>0</v>
      </c>
      <c r="BS97" s="52">
        <f t="shared" si="344"/>
        <v>0</v>
      </c>
      <c r="BT97" s="52">
        <f t="shared" si="344"/>
        <v>0</v>
      </c>
      <c r="BU97" s="52">
        <f t="shared" si="344"/>
        <v>0</v>
      </c>
      <c r="BV97" s="52">
        <f t="shared" si="344"/>
        <v>0</v>
      </c>
      <c r="BW97" s="52">
        <f t="shared" si="344"/>
        <v>0</v>
      </c>
      <c r="BX97" s="52">
        <f t="shared" si="344"/>
        <v>0</v>
      </c>
      <c r="BY97" s="52">
        <f t="shared" si="344"/>
        <v>0</v>
      </c>
      <c r="BZ97" s="52">
        <f t="shared" si="344"/>
        <v>0</v>
      </c>
      <c r="CA97" s="52">
        <f t="shared" si="344"/>
        <v>0</v>
      </c>
      <c r="CB97" s="52">
        <f t="shared" si="344"/>
        <v>0</v>
      </c>
      <c r="CC97" s="52">
        <f t="shared" si="344"/>
        <v>0</v>
      </c>
      <c r="CD97" s="52">
        <f t="shared" si="344"/>
        <v>0</v>
      </c>
      <c r="CE97" s="52">
        <f t="shared" si="344"/>
        <v>0</v>
      </c>
      <c r="CF97" s="52">
        <f t="shared" si="344"/>
        <v>0</v>
      </c>
      <c r="CG97" s="52">
        <f t="shared" si="344"/>
        <v>0</v>
      </c>
      <c r="CH97" s="52">
        <f t="shared" si="344"/>
        <v>0</v>
      </c>
      <c r="CI97" s="52">
        <f t="shared" si="344"/>
        <v>0</v>
      </c>
      <c r="CJ97" s="52">
        <f t="shared" si="344"/>
        <v>0</v>
      </c>
      <c r="CK97" s="52">
        <f t="shared" si="344"/>
        <v>0</v>
      </c>
      <c r="CL97" s="52">
        <f t="shared" si="344"/>
        <v>0</v>
      </c>
      <c r="CM97" s="52">
        <f t="shared" si="344"/>
        <v>0</v>
      </c>
      <c r="CN97" s="52">
        <f t="shared" si="344"/>
        <v>0</v>
      </c>
      <c r="CO97" s="52">
        <f t="shared" si="344"/>
        <v>0</v>
      </c>
      <c r="CP97" s="52">
        <f t="shared" si="344"/>
        <v>0</v>
      </c>
      <c r="CQ97" s="52">
        <f t="shared" si="344"/>
        <v>0</v>
      </c>
      <c r="CR97" s="52">
        <f t="shared" si="344"/>
        <v>0</v>
      </c>
      <c r="CS97" s="52">
        <f t="shared" si="344"/>
        <v>0</v>
      </c>
      <c r="CT97" s="52">
        <f t="shared" si="344"/>
        <v>0</v>
      </c>
      <c r="CU97" s="52">
        <f t="shared" si="344"/>
        <v>0</v>
      </c>
      <c r="CV97" s="52">
        <f t="shared" si="344"/>
        <v>0</v>
      </c>
      <c r="CW97" s="52">
        <f t="shared" si="344"/>
        <v>0</v>
      </c>
      <c r="CX97" s="52">
        <f t="shared" ref="CX97:EC97" si="345">IFERROR(IF(CX$28="FALSE",0,$C$97/$C$8),0)</f>
        <v>0</v>
      </c>
      <c r="CY97" s="52">
        <f t="shared" si="345"/>
        <v>0</v>
      </c>
      <c r="CZ97" s="52">
        <f t="shared" si="345"/>
        <v>0</v>
      </c>
      <c r="DA97" s="52">
        <f t="shared" si="345"/>
        <v>0</v>
      </c>
      <c r="DB97" s="52">
        <f t="shared" si="345"/>
        <v>0</v>
      </c>
      <c r="DC97" s="52">
        <f t="shared" si="345"/>
        <v>0</v>
      </c>
      <c r="DD97" s="52">
        <f t="shared" si="345"/>
        <v>0</v>
      </c>
      <c r="DE97" s="52">
        <f t="shared" si="345"/>
        <v>0</v>
      </c>
      <c r="DF97" s="52">
        <f t="shared" si="345"/>
        <v>0</v>
      </c>
      <c r="DG97" s="52">
        <f t="shared" si="345"/>
        <v>0</v>
      </c>
      <c r="DH97" s="52">
        <f t="shared" si="345"/>
        <v>0</v>
      </c>
      <c r="DI97" s="52">
        <f t="shared" si="345"/>
        <v>0</v>
      </c>
      <c r="DJ97" s="52">
        <f t="shared" si="345"/>
        <v>0</v>
      </c>
      <c r="DK97" s="52">
        <f t="shared" si="345"/>
        <v>0</v>
      </c>
      <c r="DL97" s="52">
        <f t="shared" si="345"/>
        <v>0</v>
      </c>
      <c r="DM97" s="52">
        <f t="shared" si="345"/>
        <v>0</v>
      </c>
      <c r="DN97" s="52">
        <f t="shared" si="345"/>
        <v>0</v>
      </c>
      <c r="DO97" s="52">
        <f t="shared" si="345"/>
        <v>0</v>
      </c>
      <c r="DP97" s="52">
        <f t="shared" si="345"/>
        <v>0</v>
      </c>
      <c r="DQ97" s="52">
        <f t="shared" si="345"/>
        <v>0</v>
      </c>
      <c r="DR97" s="52">
        <f t="shared" si="345"/>
        <v>0</v>
      </c>
      <c r="DS97" s="52">
        <f t="shared" si="345"/>
        <v>0</v>
      </c>
      <c r="DT97" s="52">
        <f t="shared" si="345"/>
        <v>0</v>
      </c>
      <c r="DU97" s="52">
        <f t="shared" si="345"/>
        <v>0</v>
      </c>
      <c r="DV97" s="52">
        <f t="shared" si="345"/>
        <v>0</v>
      </c>
      <c r="DW97" s="52">
        <f t="shared" si="345"/>
        <v>0</v>
      </c>
      <c r="DX97" s="52">
        <f t="shared" si="345"/>
        <v>0</v>
      </c>
      <c r="DY97" s="52">
        <f t="shared" si="345"/>
        <v>0</v>
      </c>
      <c r="DZ97" s="52">
        <f t="shared" si="345"/>
        <v>0</v>
      </c>
      <c r="EA97" s="52">
        <f t="shared" si="345"/>
        <v>0</v>
      </c>
      <c r="EB97" s="52">
        <f t="shared" si="345"/>
        <v>0</v>
      </c>
      <c r="EC97" s="52">
        <f t="shared" si="345"/>
        <v>0</v>
      </c>
      <c r="ED97" s="52">
        <f t="shared" ref="ED97:FD97" si="346">IFERROR(IF(ED$28="FALSE",0,$C$97/$C$8),0)</f>
        <v>0</v>
      </c>
      <c r="EE97" s="52">
        <f t="shared" si="346"/>
        <v>0</v>
      </c>
      <c r="EF97" s="52">
        <f t="shared" si="346"/>
        <v>0</v>
      </c>
      <c r="EG97" s="52">
        <f t="shared" si="346"/>
        <v>0</v>
      </c>
      <c r="EH97" s="52">
        <f t="shared" si="346"/>
        <v>0</v>
      </c>
      <c r="EI97" s="52">
        <f t="shared" si="346"/>
        <v>0</v>
      </c>
      <c r="EJ97" s="52">
        <f t="shared" si="346"/>
        <v>0</v>
      </c>
      <c r="EK97" s="52">
        <f t="shared" si="346"/>
        <v>0</v>
      </c>
      <c r="EL97" s="52">
        <f t="shared" si="346"/>
        <v>0</v>
      </c>
      <c r="EM97" s="52">
        <f t="shared" si="346"/>
        <v>0</v>
      </c>
      <c r="EN97" s="52">
        <f t="shared" si="346"/>
        <v>0</v>
      </c>
      <c r="EO97" s="52">
        <f t="shared" si="346"/>
        <v>0</v>
      </c>
      <c r="EP97" s="52">
        <f t="shared" si="346"/>
        <v>0</v>
      </c>
      <c r="EQ97" s="52">
        <f t="shared" si="346"/>
        <v>0</v>
      </c>
      <c r="ER97" s="52">
        <f t="shared" si="346"/>
        <v>0</v>
      </c>
      <c r="ES97" s="52">
        <f t="shared" si="346"/>
        <v>0</v>
      </c>
      <c r="ET97" s="52">
        <f t="shared" si="346"/>
        <v>0</v>
      </c>
      <c r="EU97" s="52">
        <f t="shared" si="346"/>
        <v>0</v>
      </c>
      <c r="EV97" s="52">
        <f t="shared" si="346"/>
        <v>0</v>
      </c>
      <c r="EW97" s="52">
        <f t="shared" si="346"/>
        <v>0</v>
      </c>
      <c r="EX97" s="52">
        <f t="shared" si="346"/>
        <v>0</v>
      </c>
      <c r="EY97" s="52">
        <f t="shared" si="346"/>
        <v>0</v>
      </c>
      <c r="EZ97" s="52">
        <f t="shared" si="346"/>
        <v>0</v>
      </c>
      <c r="FA97" s="52">
        <f t="shared" si="346"/>
        <v>0</v>
      </c>
      <c r="FB97" s="52">
        <f t="shared" si="346"/>
        <v>0</v>
      </c>
      <c r="FC97" s="52">
        <f t="shared" si="346"/>
        <v>0</v>
      </c>
      <c r="FD97" s="52">
        <f t="shared" si="346"/>
        <v>0</v>
      </c>
    </row>
    <row r="98" spans="2:160">
      <c r="B98" s="51" t="s">
        <v>178</v>
      </c>
      <c r="C98" s="52">
        <f ca="1">IF(Startup!$C$3="Project",SUMIF(Startup!$C$7:$D$27,Overview!B98,Startup!$D$7:$D$27),(SUMIF(Startup!$C$7:$D$27,Overview!B98,Startup!$D$7:$D$27)*Startup!$C$4))+IF(Pilot!$C$3="Project",SUMIF(Pilot!$C$7:$D$27,Overview!B98,Pilot!$D$7:$D$27),(SUMIF(Pilot!$C$7:$D$27,Overview!B98,Pilot!$D$7:$D$27)*Pilot!$C$4))+IF(PMO!$C$3="Project",SUMIF(PMO!$C$7:$D$27,Overview!B98,PMO!$D$7:$D$27),(SUMIF(PMO!$C$7:$D$27,Overview!B98,PMO!$D$7:$D$27)*PMO!$C$4))+IF('Design &amp; Fulfillment'!$C$3="Project",SUMIF('Design &amp; Fulfillment'!$C$7:$D$27,Overview!B98,'Design &amp; Fulfillment'!$D$7:$D$27),(SUMIF('Design &amp; Fulfillment'!$C$7:$D$27,Overview!B98,'Design &amp; Fulfillment'!$D$7:$D$27)*'Design &amp; Fulfillment'!$C$4))+IF(Workplace!$C$3="Project",SUMIF(Workplace!$C$7:$D$27,Overview!B98,Workplace!$D$7:$D$27),(SUMIF(Workplace!$C$7:$D$27,Overview!B98,Workplace!$D$7:$D$27)*Workplace!$C$4))+IF(Integration!$C$3="Project",SUMIF(Integration!$C$7:$D$27,Overview!B98,Integration!$D$7:$D$27),(SUMIF(Integration!$C$7:$D$27,Overview!B98,Integration!$D$7:$D$27)*Integration!$C$4))+IF(Logistics!$C$3="Project",SUMIF(Logistics!$C$7:$D$27,Overview!B98,Logistics!$D$7:$D$27),(SUMIF(Logistics!$C$7:$D$27,Overview!B98,Logistics!$D$7:$D$27)*Logistics!$C$4))+IF('Service Desk'!$C$3="Project",SUMIF('Service Desk'!$C$7:$D$27,Overview!B98,'Service Desk'!$D$7:$D$27),(SUMIF('Service Desk'!$C$7:$D$27,Overview!B98,'Service Desk'!$D$7:$D$27)*'Service Desk'!$C$4))+IF('Pro Services'!$C$3="Project",SUMIF('Pro Services'!$C$7:$D$27,Overview!B98,'Pro Services'!$D$7:$D$27),(SUMIF('Pro Services'!$C$7:$D$27,Overview!B98,'Pro Services'!$D$7:$D$27)*'Pro Services'!$C$4))</f>
        <v>0</v>
      </c>
      <c r="D98" s="53">
        <f ca="1">IF(Startup!$C$3="Project",SUMIF(Startup!$C$7:$H$27,Overview!B98,Startup!$H$7:$H$27),(SUMIF(Startup!$C$7:$H$27,Overview!B98,Startup!$H$7:$H$27)*Startup!$C$4))+IF(Pilot!$C$3="Project",SUMIF(Pilot!$C$7:$H$27,Overview!B98,Pilot!$H$7:$H$27),(SUMIF(Pilot!$C$7:$H$27,Overview!B98,Pilot!$H$7:$H$27)*Pilot!$C$4))+IF(PMO!$C$3="Project",SUMIF(PMO!$C$7:$H$27,Overview!B98,PMO!$H$7:$H$27),(SUMIF(PMO!$C$7:$H$27,Overview!B98,PMO!$H$7:$H$27)*PMO!$C$4))+IF('Design &amp; Fulfillment'!$C$3="Project",SUMIF('Design &amp; Fulfillment'!$C$7:$H$27,Overview!B98,'Design &amp; Fulfillment'!$H$7:$H$27),(SUMIF('Design &amp; Fulfillment'!$C$7:$H$27,Overview!B98,'Design &amp; Fulfillment'!$H$7:$H$27)*'Design &amp; Fulfillment'!$C$4))+IF(Workplace!$C$3="Project",SUMIF(Workplace!$C$7:$H$27,Overview!B98,Workplace!$H$7:$H$27),(SUMIF(Workplace!$C$7:$H$27,Overview!B98,Workplace!$H$7:$H$27)*Workplace!$C$4))+IF(Integration!$C$3="Project",SUMIF(Integration!$C$7:$H$27,Overview!B98,Integration!$H$7:$H$27),(SUMIF(Integration!$C$7:$H$27,Overview!B98,Integration!$H$7:$H$27)*Integration!$C$4))+IF(Logistics!$C$3="Project",SUMIF(Logistics!$C$7:$H$27,Overview!B98,Logistics!$H$7:$H$27),(SUMIF(Logistics!$C$7:$H$27,Overview!B98,Logistics!$H$7:$H$27)*Logistics!$C$4))+IF('Service Desk'!$C$3="Project",SUMIF('Service Desk'!$C$7:$H$27,Overview!B98,'Service Desk'!$H$7:$H$27),(SUMIF('Service Desk'!$C$7:$H$27,Overview!B98,'Service Desk'!$H$7:$H$27)*'Service Desk'!$C$4))+IF('Pro Services'!$C$3="Project",SUMIF('Pro Services'!$C$7:$H$27,Overview!B98,'Pro Services'!$H$7:$H$27),(SUMIF('Pro Services'!$C$7:$H$27,Overview!B98,'Pro Services'!$H$7:$H$27)*'Pro Services'!$C$4))</f>
        <v>0</v>
      </c>
      <c r="E98" s="52">
        <f t="shared" ca="1" si="120"/>
        <v>0</v>
      </c>
      <c r="F98" s="52">
        <f t="shared" ref="F98:AK98" si="347">IFERROR(IF(F$28="FALSE",0,$C$98/$C$8),0)</f>
        <v>0</v>
      </c>
      <c r="G98" s="52">
        <f t="shared" si="347"/>
        <v>0</v>
      </c>
      <c r="H98" s="52">
        <f t="shared" si="347"/>
        <v>0</v>
      </c>
      <c r="I98" s="52">
        <f t="shared" si="347"/>
        <v>0</v>
      </c>
      <c r="J98" s="52">
        <f t="shared" si="347"/>
        <v>0</v>
      </c>
      <c r="K98" s="52">
        <f t="shared" si="347"/>
        <v>0</v>
      </c>
      <c r="L98" s="52">
        <f t="shared" si="347"/>
        <v>0</v>
      </c>
      <c r="M98" s="52">
        <f t="shared" si="347"/>
        <v>0</v>
      </c>
      <c r="N98" s="52">
        <f t="shared" si="347"/>
        <v>0</v>
      </c>
      <c r="O98" s="52">
        <f t="shared" si="347"/>
        <v>0</v>
      </c>
      <c r="P98" s="52">
        <f t="shared" si="347"/>
        <v>0</v>
      </c>
      <c r="Q98" s="52">
        <f t="shared" si="347"/>
        <v>0</v>
      </c>
      <c r="R98" s="52">
        <f t="shared" si="347"/>
        <v>0</v>
      </c>
      <c r="S98" s="52">
        <f t="shared" si="347"/>
        <v>0</v>
      </c>
      <c r="T98" s="52">
        <f t="shared" si="347"/>
        <v>0</v>
      </c>
      <c r="U98" s="52">
        <f t="shared" si="347"/>
        <v>0</v>
      </c>
      <c r="V98" s="52">
        <f t="shared" si="347"/>
        <v>0</v>
      </c>
      <c r="W98" s="52">
        <f t="shared" si="347"/>
        <v>0</v>
      </c>
      <c r="X98" s="52">
        <f t="shared" si="347"/>
        <v>0</v>
      </c>
      <c r="Y98" s="52">
        <f t="shared" si="347"/>
        <v>0</v>
      </c>
      <c r="Z98" s="52">
        <f t="shared" si="347"/>
        <v>0</v>
      </c>
      <c r="AA98" s="52">
        <f t="shared" si="347"/>
        <v>0</v>
      </c>
      <c r="AB98" s="52">
        <f t="shared" si="347"/>
        <v>0</v>
      </c>
      <c r="AC98" s="52">
        <f t="shared" si="347"/>
        <v>0</v>
      </c>
      <c r="AD98" s="52">
        <f t="shared" si="347"/>
        <v>0</v>
      </c>
      <c r="AE98" s="52">
        <f t="shared" si="347"/>
        <v>0</v>
      </c>
      <c r="AF98" s="52">
        <f t="shared" si="347"/>
        <v>0</v>
      </c>
      <c r="AG98" s="52">
        <f t="shared" si="347"/>
        <v>0</v>
      </c>
      <c r="AH98" s="52">
        <f t="shared" si="347"/>
        <v>0</v>
      </c>
      <c r="AI98" s="52">
        <f t="shared" si="347"/>
        <v>0</v>
      </c>
      <c r="AJ98" s="52">
        <f t="shared" si="347"/>
        <v>0</v>
      </c>
      <c r="AK98" s="52">
        <f t="shared" si="347"/>
        <v>0</v>
      </c>
      <c r="AL98" s="52">
        <f t="shared" ref="AL98:BQ98" si="348">IFERROR(IF(AL$28="FALSE",0,$C$98/$C$8),0)</f>
        <v>0</v>
      </c>
      <c r="AM98" s="52">
        <f t="shared" si="348"/>
        <v>0</v>
      </c>
      <c r="AN98" s="52">
        <f t="shared" si="348"/>
        <v>0</v>
      </c>
      <c r="AO98" s="52">
        <f t="shared" si="348"/>
        <v>0</v>
      </c>
      <c r="AP98" s="52">
        <f t="shared" si="348"/>
        <v>0</v>
      </c>
      <c r="AQ98" s="52">
        <f t="shared" si="348"/>
        <v>0</v>
      </c>
      <c r="AR98" s="52">
        <f t="shared" si="348"/>
        <v>0</v>
      </c>
      <c r="AS98" s="52">
        <f t="shared" si="348"/>
        <v>0</v>
      </c>
      <c r="AT98" s="52">
        <f t="shared" si="348"/>
        <v>0</v>
      </c>
      <c r="AU98" s="52">
        <f t="shared" si="348"/>
        <v>0</v>
      </c>
      <c r="AV98" s="52">
        <f t="shared" si="348"/>
        <v>0</v>
      </c>
      <c r="AW98" s="52">
        <f t="shared" si="348"/>
        <v>0</v>
      </c>
      <c r="AX98" s="52">
        <f t="shared" si="348"/>
        <v>0</v>
      </c>
      <c r="AY98" s="52">
        <f t="shared" si="348"/>
        <v>0</v>
      </c>
      <c r="AZ98" s="52">
        <f t="shared" si="348"/>
        <v>0</v>
      </c>
      <c r="BA98" s="52">
        <f t="shared" si="348"/>
        <v>0</v>
      </c>
      <c r="BB98" s="52">
        <f t="shared" si="348"/>
        <v>0</v>
      </c>
      <c r="BC98" s="52">
        <f t="shared" si="348"/>
        <v>0</v>
      </c>
      <c r="BD98" s="52">
        <f t="shared" si="348"/>
        <v>0</v>
      </c>
      <c r="BE98" s="52">
        <f t="shared" si="348"/>
        <v>0</v>
      </c>
      <c r="BF98" s="52">
        <f t="shared" si="348"/>
        <v>0</v>
      </c>
      <c r="BG98" s="52">
        <f t="shared" si="348"/>
        <v>0</v>
      </c>
      <c r="BH98" s="52">
        <f t="shared" si="348"/>
        <v>0</v>
      </c>
      <c r="BI98" s="52">
        <f t="shared" si="348"/>
        <v>0</v>
      </c>
      <c r="BJ98" s="52">
        <f t="shared" si="348"/>
        <v>0</v>
      </c>
      <c r="BK98" s="52">
        <f t="shared" si="348"/>
        <v>0</v>
      </c>
      <c r="BL98" s="52">
        <f t="shared" si="348"/>
        <v>0</v>
      </c>
      <c r="BM98" s="52">
        <f t="shared" si="348"/>
        <v>0</v>
      </c>
      <c r="BN98" s="52">
        <f t="shared" si="348"/>
        <v>0</v>
      </c>
      <c r="BO98" s="52">
        <f t="shared" si="348"/>
        <v>0</v>
      </c>
      <c r="BP98" s="52">
        <f t="shared" si="348"/>
        <v>0</v>
      </c>
      <c r="BQ98" s="52">
        <f t="shared" si="348"/>
        <v>0</v>
      </c>
      <c r="BR98" s="52">
        <f t="shared" ref="BR98:CW98" si="349">IFERROR(IF(BR$28="FALSE",0,$C$98/$C$8),0)</f>
        <v>0</v>
      </c>
      <c r="BS98" s="52">
        <f t="shared" si="349"/>
        <v>0</v>
      </c>
      <c r="BT98" s="52">
        <f t="shared" si="349"/>
        <v>0</v>
      </c>
      <c r="BU98" s="52">
        <f t="shared" si="349"/>
        <v>0</v>
      </c>
      <c r="BV98" s="52">
        <f t="shared" si="349"/>
        <v>0</v>
      </c>
      <c r="BW98" s="52">
        <f t="shared" si="349"/>
        <v>0</v>
      </c>
      <c r="BX98" s="52">
        <f t="shared" si="349"/>
        <v>0</v>
      </c>
      <c r="BY98" s="52">
        <f t="shared" si="349"/>
        <v>0</v>
      </c>
      <c r="BZ98" s="52">
        <f t="shared" si="349"/>
        <v>0</v>
      </c>
      <c r="CA98" s="52">
        <f t="shared" si="349"/>
        <v>0</v>
      </c>
      <c r="CB98" s="52">
        <f t="shared" si="349"/>
        <v>0</v>
      </c>
      <c r="CC98" s="52">
        <f t="shared" si="349"/>
        <v>0</v>
      </c>
      <c r="CD98" s="52">
        <f t="shared" si="349"/>
        <v>0</v>
      </c>
      <c r="CE98" s="52">
        <f t="shared" si="349"/>
        <v>0</v>
      </c>
      <c r="CF98" s="52">
        <f t="shared" si="349"/>
        <v>0</v>
      </c>
      <c r="CG98" s="52">
        <f t="shared" si="349"/>
        <v>0</v>
      </c>
      <c r="CH98" s="52">
        <f t="shared" si="349"/>
        <v>0</v>
      </c>
      <c r="CI98" s="52">
        <f t="shared" si="349"/>
        <v>0</v>
      </c>
      <c r="CJ98" s="52">
        <f t="shared" si="349"/>
        <v>0</v>
      </c>
      <c r="CK98" s="52">
        <f t="shared" si="349"/>
        <v>0</v>
      </c>
      <c r="CL98" s="52">
        <f t="shared" si="349"/>
        <v>0</v>
      </c>
      <c r="CM98" s="52">
        <f t="shared" si="349"/>
        <v>0</v>
      </c>
      <c r="CN98" s="52">
        <f t="shared" si="349"/>
        <v>0</v>
      </c>
      <c r="CO98" s="52">
        <f t="shared" si="349"/>
        <v>0</v>
      </c>
      <c r="CP98" s="52">
        <f t="shared" si="349"/>
        <v>0</v>
      </c>
      <c r="CQ98" s="52">
        <f t="shared" si="349"/>
        <v>0</v>
      </c>
      <c r="CR98" s="52">
        <f t="shared" si="349"/>
        <v>0</v>
      </c>
      <c r="CS98" s="52">
        <f t="shared" si="349"/>
        <v>0</v>
      </c>
      <c r="CT98" s="52">
        <f t="shared" si="349"/>
        <v>0</v>
      </c>
      <c r="CU98" s="52">
        <f t="shared" si="349"/>
        <v>0</v>
      </c>
      <c r="CV98" s="52">
        <f t="shared" si="349"/>
        <v>0</v>
      </c>
      <c r="CW98" s="52">
        <f t="shared" si="349"/>
        <v>0</v>
      </c>
      <c r="CX98" s="52">
        <f t="shared" ref="CX98:EC98" si="350">IFERROR(IF(CX$28="FALSE",0,$C$98/$C$8),0)</f>
        <v>0</v>
      </c>
      <c r="CY98" s="52">
        <f t="shared" si="350"/>
        <v>0</v>
      </c>
      <c r="CZ98" s="52">
        <f t="shared" si="350"/>
        <v>0</v>
      </c>
      <c r="DA98" s="52">
        <f t="shared" si="350"/>
        <v>0</v>
      </c>
      <c r="DB98" s="52">
        <f t="shared" si="350"/>
        <v>0</v>
      </c>
      <c r="DC98" s="52">
        <f t="shared" si="350"/>
        <v>0</v>
      </c>
      <c r="DD98" s="52">
        <f t="shared" si="350"/>
        <v>0</v>
      </c>
      <c r="DE98" s="52">
        <f t="shared" si="350"/>
        <v>0</v>
      </c>
      <c r="DF98" s="52">
        <f t="shared" si="350"/>
        <v>0</v>
      </c>
      <c r="DG98" s="52">
        <f t="shared" si="350"/>
        <v>0</v>
      </c>
      <c r="DH98" s="52">
        <f t="shared" si="350"/>
        <v>0</v>
      </c>
      <c r="DI98" s="52">
        <f t="shared" si="350"/>
        <v>0</v>
      </c>
      <c r="DJ98" s="52">
        <f t="shared" si="350"/>
        <v>0</v>
      </c>
      <c r="DK98" s="52">
        <f t="shared" si="350"/>
        <v>0</v>
      </c>
      <c r="DL98" s="52">
        <f t="shared" si="350"/>
        <v>0</v>
      </c>
      <c r="DM98" s="52">
        <f t="shared" si="350"/>
        <v>0</v>
      </c>
      <c r="DN98" s="52">
        <f t="shared" si="350"/>
        <v>0</v>
      </c>
      <c r="DO98" s="52">
        <f t="shared" si="350"/>
        <v>0</v>
      </c>
      <c r="DP98" s="52">
        <f t="shared" si="350"/>
        <v>0</v>
      </c>
      <c r="DQ98" s="52">
        <f t="shared" si="350"/>
        <v>0</v>
      </c>
      <c r="DR98" s="52">
        <f t="shared" si="350"/>
        <v>0</v>
      </c>
      <c r="DS98" s="52">
        <f t="shared" si="350"/>
        <v>0</v>
      </c>
      <c r="DT98" s="52">
        <f t="shared" si="350"/>
        <v>0</v>
      </c>
      <c r="DU98" s="52">
        <f t="shared" si="350"/>
        <v>0</v>
      </c>
      <c r="DV98" s="52">
        <f t="shared" si="350"/>
        <v>0</v>
      </c>
      <c r="DW98" s="52">
        <f t="shared" si="350"/>
        <v>0</v>
      </c>
      <c r="DX98" s="52">
        <f t="shared" si="350"/>
        <v>0</v>
      </c>
      <c r="DY98" s="52">
        <f t="shared" si="350"/>
        <v>0</v>
      </c>
      <c r="DZ98" s="52">
        <f t="shared" si="350"/>
        <v>0</v>
      </c>
      <c r="EA98" s="52">
        <f t="shared" si="350"/>
        <v>0</v>
      </c>
      <c r="EB98" s="52">
        <f t="shared" si="350"/>
        <v>0</v>
      </c>
      <c r="EC98" s="52">
        <f t="shared" si="350"/>
        <v>0</v>
      </c>
      <c r="ED98" s="52">
        <f t="shared" ref="ED98:FD98" si="351">IFERROR(IF(ED$28="FALSE",0,$C$98/$C$8),0)</f>
        <v>0</v>
      </c>
      <c r="EE98" s="52">
        <f t="shared" si="351"/>
        <v>0</v>
      </c>
      <c r="EF98" s="52">
        <f t="shared" si="351"/>
        <v>0</v>
      </c>
      <c r="EG98" s="52">
        <f t="shared" si="351"/>
        <v>0</v>
      </c>
      <c r="EH98" s="52">
        <f t="shared" si="351"/>
        <v>0</v>
      </c>
      <c r="EI98" s="52">
        <f t="shared" si="351"/>
        <v>0</v>
      </c>
      <c r="EJ98" s="52">
        <f t="shared" si="351"/>
        <v>0</v>
      </c>
      <c r="EK98" s="52">
        <f t="shared" si="351"/>
        <v>0</v>
      </c>
      <c r="EL98" s="52">
        <f t="shared" si="351"/>
        <v>0</v>
      </c>
      <c r="EM98" s="52">
        <f t="shared" si="351"/>
        <v>0</v>
      </c>
      <c r="EN98" s="52">
        <f t="shared" si="351"/>
        <v>0</v>
      </c>
      <c r="EO98" s="52">
        <f t="shared" si="351"/>
        <v>0</v>
      </c>
      <c r="EP98" s="52">
        <f t="shared" si="351"/>
        <v>0</v>
      </c>
      <c r="EQ98" s="52">
        <f t="shared" si="351"/>
        <v>0</v>
      </c>
      <c r="ER98" s="52">
        <f t="shared" si="351"/>
        <v>0</v>
      </c>
      <c r="ES98" s="52">
        <f t="shared" si="351"/>
        <v>0</v>
      </c>
      <c r="ET98" s="52">
        <f t="shared" si="351"/>
        <v>0</v>
      </c>
      <c r="EU98" s="52">
        <f t="shared" si="351"/>
        <v>0</v>
      </c>
      <c r="EV98" s="52">
        <f t="shared" si="351"/>
        <v>0</v>
      </c>
      <c r="EW98" s="52">
        <f t="shared" si="351"/>
        <v>0</v>
      </c>
      <c r="EX98" s="52">
        <f t="shared" si="351"/>
        <v>0</v>
      </c>
      <c r="EY98" s="52">
        <f t="shared" si="351"/>
        <v>0</v>
      </c>
      <c r="EZ98" s="52">
        <f t="shared" si="351"/>
        <v>0</v>
      </c>
      <c r="FA98" s="52">
        <f t="shared" si="351"/>
        <v>0</v>
      </c>
      <c r="FB98" s="52">
        <f t="shared" si="351"/>
        <v>0</v>
      </c>
      <c r="FC98" s="52">
        <f t="shared" si="351"/>
        <v>0</v>
      </c>
      <c r="FD98" s="52">
        <f t="shared" si="351"/>
        <v>0</v>
      </c>
    </row>
    <row r="99" spans="2:160">
      <c r="B99" s="51" t="s">
        <v>179</v>
      </c>
      <c r="C99" s="52">
        <f ca="1">IF(Startup!$C$3="Project",SUMIF(Startup!$C$7:$D$27,Overview!B99,Startup!$D$7:$D$27),(SUMIF(Startup!$C$7:$D$27,Overview!B99,Startup!$D$7:$D$27)*Startup!$C$4))+IF(Pilot!$C$3="Project",SUMIF(Pilot!$C$7:$D$27,Overview!B99,Pilot!$D$7:$D$27),(SUMIF(Pilot!$C$7:$D$27,Overview!B99,Pilot!$D$7:$D$27)*Pilot!$C$4))+IF(PMO!$C$3="Project",SUMIF(PMO!$C$7:$D$27,Overview!B99,PMO!$D$7:$D$27),(SUMIF(PMO!$C$7:$D$27,Overview!B99,PMO!$D$7:$D$27)*PMO!$C$4))+IF('Design &amp; Fulfillment'!$C$3="Project",SUMIF('Design &amp; Fulfillment'!$C$7:$D$27,Overview!B99,'Design &amp; Fulfillment'!$D$7:$D$27),(SUMIF('Design &amp; Fulfillment'!$C$7:$D$27,Overview!B99,'Design &amp; Fulfillment'!$D$7:$D$27)*'Design &amp; Fulfillment'!$C$4))+IF(Workplace!$C$3="Project",SUMIF(Workplace!$C$7:$D$27,Overview!B99,Workplace!$D$7:$D$27),(SUMIF(Workplace!$C$7:$D$27,Overview!B99,Workplace!$D$7:$D$27)*Workplace!$C$4))+IF(Integration!$C$3="Project",SUMIF(Integration!$C$7:$D$27,Overview!B99,Integration!$D$7:$D$27),(SUMIF(Integration!$C$7:$D$27,Overview!B99,Integration!$D$7:$D$27)*Integration!$C$4))+IF(Logistics!$C$3="Project",SUMIF(Logistics!$C$7:$D$27,Overview!B99,Logistics!$D$7:$D$27),(SUMIF(Logistics!$C$7:$D$27,Overview!B99,Logistics!$D$7:$D$27)*Logistics!$C$4))+IF('Service Desk'!$C$3="Project",SUMIF('Service Desk'!$C$7:$D$27,Overview!B99,'Service Desk'!$D$7:$D$27),(SUMIF('Service Desk'!$C$7:$D$27,Overview!B99,'Service Desk'!$D$7:$D$27)*'Service Desk'!$C$4))+IF('Pro Services'!$C$3="Project",SUMIF('Pro Services'!$C$7:$D$27,Overview!B99,'Pro Services'!$D$7:$D$27),(SUMIF('Pro Services'!$C$7:$D$27,Overview!B99,'Pro Services'!$D$7:$D$27)*'Pro Services'!$C$4))</f>
        <v>0</v>
      </c>
      <c r="D99" s="53">
        <f ca="1">IF(Startup!$C$3="Project",SUMIF(Startup!$C$7:$H$27,Overview!B99,Startup!$H$7:$H$27),(SUMIF(Startup!$C$7:$H$27,Overview!B99,Startup!$H$7:$H$27)*Startup!$C$4))+IF(Pilot!$C$3="Project",SUMIF(Pilot!$C$7:$H$27,Overview!B99,Pilot!$H$7:$H$27),(SUMIF(Pilot!$C$7:$H$27,Overview!B99,Pilot!$H$7:$H$27)*Pilot!$C$4))+IF(PMO!$C$3="Project",SUMIF(PMO!$C$7:$H$27,Overview!B99,PMO!$H$7:$H$27),(SUMIF(PMO!$C$7:$H$27,Overview!B99,PMO!$H$7:$H$27)*PMO!$C$4))+IF('Design &amp; Fulfillment'!$C$3="Project",SUMIF('Design &amp; Fulfillment'!$C$7:$H$27,Overview!B99,'Design &amp; Fulfillment'!$H$7:$H$27),(SUMIF('Design &amp; Fulfillment'!$C$7:$H$27,Overview!B99,'Design &amp; Fulfillment'!$H$7:$H$27)*'Design &amp; Fulfillment'!$C$4))+IF(Workplace!$C$3="Project",SUMIF(Workplace!$C$7:$H$27,Overview!B99,Workplace!$H$7:$H$27),(SUMIF(Workplace!$C$7:$H$27,Overview!B99,Workplace!$H$7:$H$27)*Workplace!$C$4))+IF(Integration!$C$3="Project",SUMIF(Integration!$C$7:$H$27,Overview!B99,Integration!$H$7:$H$27),(SUMIF(Integration!$C$7:$H$27,Overview!B99,Integration!$H$7:$H$27)*Integration!$C$4))+IF(Logistics!$C$3="Project",SUMIF(Logistics!$C$7:$H$27,Overview!B99,Logistics!$H$7:$H$27),(SUMIF(Logistics!$C$7:$H$27,Overview!B99,Logistics!$H$7:$H$27)*Logistics!$C$4))+IF('Service Desk'!$C$3="Project",SUMIF('Service Desk'!$C$7:$H$27,Overview!B99,'Service Desk'!$H$7:$H$27),(SUMIF('Service Desk'!$C$7:$H$27,Overview!B99,'Service Desk'!$H$7:$H$27)*'Service Desk'!$C$4))+IF('Pro Services'!$C$3="Project",SUMIF('Pro Services'!$C$7:$H$27,Overview!B99,'Pro Services'!$H$7:$H$27),(SUMIF('Pro Services'!$C$7:$H$27,Overview!B99,'Pro Services'!$H$7:$H$27)*'Pro Services'!$C$4))</f>
        <v>0</v>
      </c>
      <c r="E99" s="52">
        <f t="shared" ca="1" si="120"/>
        <v>0</v>
      </c>
      <c r="F99" s="52">
        <f t="shared" ref="F99:AK99" si="352">IFERROR(IF(F$28="FALSE",0,$C$99/$C$8),0)</f>
        <v>0</v>
      </c>
      <c r="G99" s="52">
        <f t="shared" si="352"/>
        <v>0</v>
      </c>
      <c r="H99" s="52">
        <f t="shared" si="352"/>
        <v>0</v>
      </c>
      <c r="I99" s="52">
        <f t="shared" si="352"/>
        <v>0</v>
      </c>
      <c r="J99" s="52">
        <f t="shared" si="352"/>
        <v>0</v>
      </c>
      <c r="K99" s="52">
        <f t="shared" si="352"/>
        <v>0</v>
      </c>
      <c r="L99" s="52">
        <f t="shared" si="352"/>
        <v>0</v>
      </c>
      <c r="M99" s="52">
        <f t="shared" si="352"/>
        <v>0</v>
      </c>
      <c r="N99" s="52">
        <f t="shared" si="352"/>
        <v>0</v>
      </c>
      <c r="O99" s="52">
        <f t="shared" si="352"/>
        <v>0</v>
      </c>
      <c r="P99" s="52">
        <f t="shared" si="352"/>
        <v>0</v>
      </c>
      <c r="Q99" s="52">
        <f t="shared" si="352"/>
        <v>0</v>
      </c>
      <c r="R99" s="52">
        <f t="shared" si="352"/>
        <v>0</v>
      </c>
      <c r="S99" s="52">
        <f t="shared" si="352"/>
        <v>0</v>
      </c>
      <c r="T99" s="52">
        <f t="shared" si="352"/>
        <v>0</v>
      </c>
      <c r="U99" s="52">
        <f t="shared" si="352"/>
        <v>0</v>
      </c>
      <c r="V99" s="52">
        <f t="shared" si="352"/>
        <v>0</v>
      </c>
      <c r="W99" s="52">
        <f t="shared" si="352"/>
        <v>0</v>
      </c>
      <c r="X99" s="52">
        <f t="shared" si="352"/>
        <v>0</v>
      </c>
      <c r="Y99" s="52">
        <f t="shared" si="352"/>
        <v>0</v>
      </c>
      <c r="Z99" s="52">
        <f t="shared" si="352"/>
        <v>0</v>
      </c>
      <c r="AA99" s="52">
        <f t="shared" si="352"/>
        <v>0</v>
      </c>
      <c r="AB99" s="52">
        <f t="shared" si="352"/>
        <v>0</v>
      </c>
      <c r="AC99" s="52">
        <f t="shared" si="352"/>
        <v>0</v>
      </c>
      <c r="AD99" s="52">
        <f t="shared" si="352"/>
        <v>0</v>
      </c>
      <c r="AE99" s="52">
        <f t="shared" si="352"/>
        <v>0</v>
      </c>
      <c r="AF99" s="52">
        <f t="shared" si="352"/>
        <v>0</v>
      </c>
      <c r="AG99" s="52">
        <f t="shared" si="352"/>
        <v>0</v>
      </c>
      <c r="AH99" s="52">
        <f t="shared" si="352"/>
        <v>0</v>
      </c>
      <c r="AI99" s="52">
        <f t="shared" si="352"/>
        <v>0</v>
      </c>
      <c r="AJ99" s="52">
        <f t="shared" si="352"/>
        <v>0</v>
      </c>
      <c r="AK99" s="52">
        <f t="shared" si="352"/>
        <v>0</v>
      </c>
      <c r="AL99" s="52">
        <f t="shared" ref="AL99:BQ99" si="353">IFERROR(IF(AL$28="FALSE",0,$C$99/$C$8),0)</f>
        <v>0</v>
      </c>
      <c r="AM99" s="52">
        <f t="shared" si="353"/>
        <v>0</v>
      </c>
      <c r="AN99" s="52">
        <f t="shared" si="353"/>
        <v>0</v>
      </c>
      <c r="AO99" s="52">
        <f t="shared" si="353"/>
        <v>0</v>
      </c>
      <c r="AP99" s="52">
        <f t="shared" si="353"/>
        <v>0</v>
      </c>
      <c r="AQ99" s="52">
        <f t="shared" si="353"/>
        <v>0</v>
      </c>
      <c r="AR99" s="52">
        <f t="shared" si="353"/>
        <v>0</v>
      </c>
      <c r="AS99" s="52">
        <f t="shared" si="353"/>
        <v>0</v>
      </c>
      <c r="AT99" s="52">
        <f t="shared" si="353"/>
        <v>0</v>
      </c>
      <c r="AU99" s="52">
        <f t="shared" si="353"/>
        <v>0</v>
      </c>
      <c r="AV99" s="52">
        <f t="shared" si="353"/>
        <v>0</v>
      </c>
      <c r="AW99" s="52">
        <f t="shared" si="353"/>
        <v>0</v>
      </c>
      <c r="AX99" s="52">
        <f t="shared" si="353"/>
        <v>0</v>
      </c>
      <c r="AY99" s="52">
        <f t="shared" si="353"/>
        <v>0</v>
      </c>
      <c r="AZ99" s="52">
        <f t="shared" si="353"/>
        <v>0</v>
      </c>
      <c r="BA99" s="52">
        <f t="shared" si="353"/>
        <v>0</v>
      </c>
      <c r="BB99" s="52">
        <f t="shared" si="353"/>
        <v>0</v>
      </c>
      <c r="BC99" s="52">
        <f t="shared" si="353"/>
        <v>0</v>
      </c>
      <c r="BD99" s="52">
        <f t="shared" si="353"/>
        <v>0</v>
      </c>
      <c r="BE99" s="52">
        <f t="shared" si="353"/>
        <v>0</v>
      </c>
      <c r="BF99" s="52">
        <f t="shared" si="353"/>
        <v>0</v>
      </c>
      <c r="BG99" s="52">
        <f t="shared" si="353"/>
        <v>0</v>
      </c>
      <c r="BH99" s="52">
        <f t="shared" si="353"/>
        <v>0</v>
      </c>
      <c r="BI99" s="52">
        <f t="shared" si="353"/>
        <v>0</v>
      </c>
      <c r="BJ99" s="52">
        <f t="shared" si="353"/>
        <v>0</v>
      </c>
      <c r="BK99" s="52">
        <f t="shared" si="353"/>
        <v>0</v>
      </c>
      <c r="BL99" s="52">
        <f t="shared" si="353"/>
        <v>0</v>
      </c>
      <c r="BM99" s="52">
        <f t="shared" si="353"/>
        <v>0</v>
      </c>
      <c r="BN99" s="52">
        <f t="shared" si="353"/>
        <v>0</v>
      </c>
      <c r="BO99" s="52">
        <f t="shared" si="353"/>
        <v>0</v>
      </c>
      <c r="BP99" s="52">
        <f t="shared" si="353"/>
        <v>0</v>
      </c>
      <c r="BQ99" s="52">
        <f t="shared" si="353"/>
        <v>0</v>
      </c>
      <c r="BR99" s="52">
        <f t="shared" ref="BR99:CW99" si="354">IFERROR(IF(BR$28="FALSE",0,$C$99/$C$8),0)</f>
        <v>0</v>
      </c>
      <c r="BS99" s="52">
        <f t="shared" si="354"/>
        <v>0</v>
      </c>
      <c r="BT99" s="52">
        <f t="shared" si="354"/>
        <v>0</v>
      </c>
      <c r="BU99" s="52">
        <f t="shared" si="354"/>
        <v>0</v>
      </c>
      <c r="BV99" s="52">
        <f t="shared" si="354"/>
        <v>0</v>
      </c>
      <c r="BW99" s="52">
        <f t="shared" si="354"/>
        <v>0</v>
      </c>
      <c r="BX99" s="52">
        <f t="shared" si="354"/>
        <v>0</v>
      </c>
      <c r="BY99" s="52">
        <f t="shared" si="354"/>
        <v>0</v>
      </c>
      <c r="BZ99" s="52">
        <f t="shared" si="354"/>
        <v>0</v>
      </c>
      <c r="CA99" s="52">
        <f t="shared" si="354"/>
        <v>0</v>
      </c>
      <c r="CB99" s="52">
        <f t="shared" si="354"/>
        <v>0</v>
      </c>
      <c r="CC99" s="52">
        <f t="shared" si="354"/>
        <v>0</v>
      </c>
      <c r="CD99" s="52">
        <f t="shared" si="354"/>
        <v>0</v>
      </c>
      <c r="CE99" s="52">
        <f t="shared" si="354"/>
        <v>0</v>
      </c>
      <c r="CF99" s="52">
        <f t="shared" si="354"/>
        <v>0</v>
      </c>
      <c r="CG99" s="52">
        <f t="shared" si="354"/>
        <v>0</v>
      </c>
      <c r="CH99" s="52">
        <f t="shared" si="354"/>
        <v>0</v>
      </c>
      <c r="CI99" s="52">
        <f t="shared" si="354"/>
        <v>0</v>
      </c>
      <c r="CJ99" s="52">
        <f t="shared" si="354"/>
        <v>0</v>
      </c>
      <c r="CK99" s="52">
        <f t="shared" si="354"/>
        <v>0</v>
      </c>
      <c r="CL99" s="52">
        <f t="shared" si="354"/>
        <v>0</v>
      </c>
      <c r="CM99" s="52">
        <f t="shared" si="354"/>
        <v>0</v>
      </c>
      <c r="CN99" s="52">
        <f t="shared" si="354"/>
        <v>0</v>
      </c>
      <c r="CO99" s="52">
        <f t="shared" si="354"/>
        <v>0</v>
      </c>
      <c r="CP99" s="52">
        <f t="shared" si="354"/>
        <v>0</v>
      </c>
      <c r="CQ99" s="52">
        <f t="shared" si="354"/>
        <v>0</v>
      </c>
      <c r="CR99" s="52">
        <f t="shared" si="354"/>
        <v>0</v>
      </c>
      <c r="CS99" s="52">
        <f t="shared" si="354"/>
        <v>0</v>
      </c>
      <c r="CT99" s="52">
        <f t="shared" si="354"/>
        <v>0</v>
      </c>
      <c r="CU99" s="52">
        <f t="shared" si="354"/>
        <v>0</v>
      </c>
      <c r="CV99" s="52">
        <f t="shared" si="354"/>
        <v>0</v>
      </c>
      <c r="CW99" s="52">
        <f t="shared" si="354"/>
        <v>0</v>
      </c>
      <c r="CX99" s="52">
        <f t="shared" ref="CX99:EC99" si="355">IFERROR(IF(CX$28="FALSE",0,$C$99/$C$8),0)</f>
        <v>0</v>
      </c>
      <c r="CY99" s="52">
        <f t="shared" si="355"/>
        <v>0</v>
      </c>
      <c r="CZ99" s="52">
        <f t="shared" si="355"/>
        <v>0</v>
      </c>
      <c r="DA99" s="52">
        <f t="shared" si="355"/>
        <v>0</v>
      </c>
      <c r="DB99" s="52">
        <f t="shared" si="355"/>
        <v>0</v>
      </c>
      <c r="DC99" s="52">
        <f t="shared" si="355"/>
        <v>0</v>
      </c>
      <c r="DD99" s="52">
        <f t="shared" si="355"/>
        <v>0</v>
      </c>
      <c r="DE99" s="52">
        <f t="shared" si="355"/>
        <v>0</v>
      </c>
      <c r="DF99" s="52">
        <f t="shared" si="355"/>
        <v>0</v>
      </c>
      <c r="DG99" s="52">
        <f t="shared" si="355"/>
        <v>0</v>
      </c>
      <c r="DH99" s="52">
        <f t="shared" si="355"/>
        <v>0</v>
      </c>
      <c r="DI99" s="52">
        <f t="shared" si="355"/>
        <v>0</v>
      </c>
      <c r="DJ99" s="52">
        <f t="shared" si="355"/>
        <v>0</v>
      </c>
      <c r="DK99" s="52">
        <f t="shared" si="355"/>
        <v>0</v>
      </c>
      <c r="DL99" s="52">
        <f t="shared" si="355"/>
        <v>0</v>
      </c>
      <c r="DM99" s="52">
        <f t="shared" si="355"/>
        <v>0</v>
      </c>
      <c r="DN99" s="52">
        <f t="shared" si="355"/>
        <v>0</v>
      </c>
      <c r="DO99" s="52">
        <f t="shared" si="355"/>
        <v>0</v>
      </c>
      <c r="DP99" s="52">
        <f t="shared" si="355"/>
        <v>0</v>
      </c>
      <c r="DQ99" s="52">
        <f t="shared" si="355"/>
        <v>0</v>
      </c>
      <c r="DR99" s="52">
        <f t="shared" si="355"/>
        <v>0</v>
      </c>
      <c r="DS99" s="52">
        <f t="shared" si="355"/>
        <v>0</v>
      </c>
      <c r="DT99" s="52">
        <f t="shared" si="355"/>
        <v>0</v>
      </c>
      <c r="DU99" s="52">
        <f t="shared" si="355"/>
        <v>0</v>
      </c>
      <c r="DV99" s="52">
        <f t="shared" si="355"/>
        <v>0</v>
      </c>
      <c r="DW99" s="52">
        <f t="shared" si="355"/>
        <v>0</v>
      </c>
      <c r="DX99" s="52">
        <f t="shared" si="355"/>
        <v>0</v>
      </c>
      <c r="DY99" s="52">
        <f t="shared" si="355"/>
        <v>0</v>
      </c>
      <c r="DZ99" s="52">
        <f t="shared" si="355"/>
        <v>0</v>
      </c>
      <c r="EA99" s="52">
        <f t="shared" si="355"/>
        <v>0</v>
      </c>
      <c r="EB99" s="52">
        <f t="shared" si="355"/>
        <v>0</v>
      </c>
      <c r="EC99" s="52">
        <f t="shared" si="355"/>
        <v>0</v>
      </c>
      <c r="ED99" s="52">
        <f t="shared" ref="ED99:FD99" si="356">IFERROR(IF(ED$28="FALSE",0,$C$99/$C$8),0)</f>
        <v>0</v>
      </c>
      <c r="EE99" s="52">
        <f t="shared" si="356"/>
        <v>0</v>
      </c>
      <c r="EF99" s="52">
        <f t="shared" si="356"/>
        <v>0</v>
      </c>
      <c r="EG99" s="52">
        <f t="shared" si="356"/>
        <v>0</v>
      </c>
      <c r="EH99" s="52">
        <f t="shared" si="356"/>
        <v>0</v>
      </c>
      <c r="EI99" s="52">
        <f t="shared" si="356"/>
        <v>0</v>
      </c>
      <c r="EJ99" s="52">
        <f t="shared" si="356"/>
        <v>0</v>
      </c>
      <c r="EK99" s="52">
        <f t="shared" si="356"/>
        <v>0</v>
      </c>
      <c r="EL99" s="52">
        <f t="shared" si="356"/>
        <v>0</v>
      </c>
      <c r="EM99" s="52">
        <f t="shared" si="356"/>
        <v>0</v>
      </c>
      <c r="EN99" s="52">
        <f t="shared" si="356"/>
        <v>0</v>
      </c>
      <c r="EO99" s="52">
        <f t="shared" si="356"/>
        <v>0</v>
      </c>
      <c r="EP99" s="52">
        <f t="shared" si="356"/>
        <v>0</v>
      </c>
      <c r="EQ99" s="52">
        <f t="shared" si="356"/>
        <v>0</v>
      </c>
      <c r="ER99" s="52">
        <f t="shared" si="356"/>
        <v>0</v>
      </c>
      <c r="ES99" s="52">
        <f t="shared" si="356"/>
        <v>0</v>
      </c>
      <c r="ET99" s="52">
        <f t="shared" si="356"/>
        <v>0</v>
      </c>
      <c r="EU99" s="52">
        <f t="shared" si="356"/>
        <v>0</v>
      </c>
      <c r="EV99" s="52">
        <f t="shared" si="356"/>
        <v>0</v>
      </c>
      <c r="EW99" s="52">
        <f t="shared" si="356"/>
        <v>0</v>
      </c>
      <c r="EX99" s="52">
        <f t="shared" si="356"/>
        <v>0</v>
      </c>
      <c r="EY99" s="52">
        <f t="shared" si="356"/>
        <v>0</v>
      </c>
      <c r="EZ99" s="52">
        <f t="shared" si="356"/>
        <v>0</v>
      </c>
      <c r="FA99" s="52">
        <f t="shared" si="356"/>
        <v>0</v>
      </c>
      <c r="FB99" s="52">
        <f t="shared" si="356"/>
        <v>0</v>
      </c>
      <c r="FC99" s="52">
        <f t="shared" si="356"/>
        <v>0</v>
      </c>
      <c r="FD99" s="52">
        <f t="shared" si="356"/>
        <v>0</v>
      </c>
    </row>
    <row r="100" spans="2:160">
      <c r="B100" s="51" t="s">
        <v>180</v>
      </c>
      <c r="C100" s="52">
        <f ca="1">IF(Startup!$C$3="Project",SUMIF(Startup!$C$7:$D$27,Overview!B100,Startup!$D$7:$D$27),(SUMIF(Startup!$C$7:$D$27,Overview!B100,Startup!$D$7:$D$27)*Startup!$C$4))+IF(Pilot!$C$3="Project",SUMIF(Pilot!$C$7:$D$27,Overview!B100,Pilot!$D$7:$D$27),(SUMIF(Pilot!$C$7:$D$27,Overview!B100,Pilot!$D$7:$D$27)*Pilot!$C$4))+IF(PMO!$C$3="Project",SUMIF(PMO!$C$7:$D$27,Overview!B100,PMO!$D$7:$D$27),(SUMIF(PMO!$C$7:$D$27,Overview!B100,PMO!$D$7:$D$27)*PMO!$C$4))+IF('Design &amp; Fulfillment'!$C$3="Project",SUMIF('Design &amp; Fulfillment'!$C$7:$D$27,Overview!B100,'Design &amp; Fulfillment'!$D$7:$D$27),(SUMIF('Design &amp; Fulfillment'!$C$7:$D$27,Overview!B100,'Design &amp; Fulfillment'!$D$7:$D$27)*'Design &amp; Fulfillment'!$C$4))+IF(Workplace!$C$3="Project",SUMIF(Workplace!$C$7:$D$27,Overview!B100,Workplace!$D$7:$D$27),(SUMIF(Workplace!$C$7:$D$27,Overview!B100,Workplace!$D$7:$D$27)*Workplace!$C$4))+IF(Integration!$C$3="Project",SUMIF(Integration!$C$7:$D$27,Overview!B100,Integration!$D$7:$D$27),(SUMIF(Integration!$C$7:$D$27,Overview!B100,Integration!$D$7:$D$27)*Integration!$C$4))+IF(Logistics!$C$3="Project",SUMIF(Logistics!$C$7:$D$27,Overview!B100,Logistics!$D$7:$D$27),(SUMIF(Logistics!$C$7:$D$27,Overview!B100,Logistics!$D$7:$D$27)*Logistics!$C$4))+IF('Service Desk'!$C$3="Project",SUMIF('Service Desk'!$C$7:$D$27,Overview!B100,'Service Desk'!$D$7:$D$27),(SUMIF('Service Desk'!$C$7:$D$27,Overview!B100,'Service Desk'!$D$7:$D$27)*'Service Desk'!$C$4))+IF('Pro Services'!$C$3="Project",SUMIF('Pro Services'!$C$7:$D$27,Overview!B100,'Pro Services'!$D$7:$D$27),(SUMIF('Pro Services'!$C$7:$D$27,Overview!B100,'Pro Services'!$D$7:$D$27)*'Pro Services'!$C$4))</f>
        <v>0</v>
      </c>
      <c r="D100" s="53">
        <f ca="1">IF(Startup!$C$3="Project",SUMIF(Startup!$C$7:$H$27,Overview!B100,Startup!$H$7:$H$27),(SUMIF(Startup!$C$7:$H$27,Overview!B100,Startup!$H$7:$H$27)*Startup!$C$4))+IF(Pilot!$C$3="Project",SUMIF(Pilot!$C$7:$H$27,Overview!B100,Pilot!$H$7:$H$27),(SUMIF(Pilot!$C$7:$H$27,Overview!B100,Pilot!$H$7:$H$27)*Pilot!$C$4))+IF(PMO!$C$3="Project",SUMIF(PMO!$C$7:$H$27,Overview!B100,PMO!$H$7:$H$27),(SUMIF(PMO!$C$7:$H$27,Overview!B100,PMO!$H$7:$H$27)*PMO!$C$4))+IF('Design &amp; Fulfillment'!$C$3="Project",SUMIF('Design &amp; Fulfillment'!$C$7:$H$27,Overview!B100,'Design &amp; Fulfillment'!$H$7:$H$27),(SUMIF('Design &amp; Fulfillment'!$C$7:$H$27,Overview!B100,'Design &amp; Fulfillment'!$H$7:$H$27)*'Design &amp; Fulfillment'!$C$4))+IF(Workplace!$C$3="Project",SUMIF(Workplace!$C$7:$H$27,Overview!B100,Workplace!$H$7:$H$27),(SUMIF(Workplace!$C$7:$H$27,Overview!B100,Workplace!$H$7:$H$27)*Workplace!$C$4))+IF(Integration!$C$3="Project",SUMIF(Integration!$C$7:$H$27,Overview!B100,Integration!$H$7:$H$27),(SUMIF(Integration!$C$7:$H$27,Overview!B100,Integration!$H$7:$H$27)*Integration!$C$4))+IF(Logistics!$C$3="Project",SUMIF(Logistics!$C$7:$H$27,Overview!B100,Logistics!$H$7:$H$27),(SUMIF(Logistics!$C$7:$H$27,Overview!B100,Logistics!$H$7:$H$27)*Logistics!$C$4))+IF('Service Desk'!$C$3="Project",SUMIF('Service Desk'!$C$7:$H$27,Overview!B100,'Service Desk'!$H$7:$H$27),(SUMIF('Service Desk'!$C$7:$H$27,Overview!B100,'Service Desk'!$H$7:$H$27)*'Service Desk'!$C$4))+IF('Pro Services'!$C$3="Project",SUMIF('Pro Services'!$C$7:$H$27,Overview!B100,'Pro Services'!$H$7:$H$27),(SUMIF('Pro Services'!$C$7:$H$27,Overview!B100,'Pro Services'!$H$7:$H$27)*'Pro Services'!$C$4))</f>
        <v>0</v>
      </c>
      <c r="E100" s="52">
        <f t="shared" ca="1" si="120"/>
        <v>0</v>
      </c>
      <c r="F100" s="52">
        <f t="shared" ref="F100:AK100" si="357">IFERROR(IF(F$28="FALSE",0,$C$100/$C$8),0)</f>
        <v>0</v>
      </c>
      <c r="G100" s="52">
        <f t="shared" si="357"/>
        <v>0</v>
      </c>
      <c r="H100" s="52">
        <f t="shared" si="357"/>
        <v>0</v>
      </c>
      <c r="I100" s="52">
        <f t="shared" si="357"/>
        <v>0</v>
      </c>
      <c r="J100" s="52">
        <f t="shared" si="357"/>
        <v>0</v>
      </c>
      <c r="K100" s="52">
        <f t="shared" si="357"/>
        <v>0</v>
      </c>
      <c r="L100" s="52">
        <f t="shared" si="357"/>
        <v>0</v>
      </c>
      <c r="M100" s="52">
        <f t="shared" si="357"/>
        <v>0</v>
      </c>
      <c r="N100" s="52">
        <f t="shared" si="357"/>
        <v>0</v>
      </c>
      <c r="O100" s="52">
        <f t="shared" si="357"/>
        <v>0</v>
      </c>
      <c r="P100" s="52">
        <f t="shared" si="357"/>
        <v>0</v>
      </c>
      <c r="Q100" s="52">
        <f t="shared" si="357"/>
        <v>0</v>
      </c>
      <c r="R100" s="52">
        <f t="shared" si="357"/>
        <v>0</v>
      </c>
      <c r="S100" s="52">
        <f t="shared" si="357"/>
        <v>0</v>
      </c>
      <c r="T100" s="52">
        <f t="shared" si="357"/>
        <v>0</v>
      </c>
      <c r="U100" s="52">
        <f t="shared" si="357"/>
        <v>0</v>
      </c>
      <c r="V100" s="52">
        <f t="shared" si="357"/>
        <v>0</v>
      </c>
      <c r="W100" s="52">
        <f t="shared" si="357"/>
        <v>0</v>
      </c>
      <c r="X100" s="52">
        <f t="shared" si="357"/>
        <v>0</v>
      </c>
      <c r="Y100" s="52">
        <f t="shared" si="357"/>
        <v>0</v>
      </c>
      <c r="Z100" s="52">
        <f t="shared" si="357"/>
        <v>0</v>
      </c>
      <c r="AA100" s="52">
        <f t="shared" si="357"/>
        <v>0</v>
      </c>
      <c r="AB100" s="52">
        <f t="shared" si="357"/>
        <v>0</v>
      </c>
      <c r="AC100" s="52">
        <f t="shared" si="357"/>
        <v>0</v>
      </c>
      <c r="AD100" s="52">
        <f t="shared" si="357"/>
        <v>0</v>
      </c>
      <c r="AE100" s="52">
        <f t="shared" si="357"/>
        <v>0</v>
      </c>
      <c r="AF100" s="52">
        <f t="shared" si="357"/>
        <v>0</v>
      </c>
      <c r="AG100" s="52">
        <f t="shared" si="357"/>
        <v>0</v>
      </c>
      <c r="AH100" s="52">
        <f t="shared" si="357"/>
        <v>0</v>
      </c>
      <c r="AI100" s="52">
        <f t="shared" si="357"/>
        <v>0</v>
      </c>
      <c r="AJ100" s="52">
        <f t="shared" si="357"/>
        <v>0</v>
      </c>
      <c r="AK100" s="52">
        <f t="shared" si="357"/>
        <v>0</v>
      </c>
      <c r="AL100" s="52">
        <f t="shared" ref="AL100:BQ100" si="358">IFERROR(IF(AL$28="FALSE",0,$C$100/$C$8),0)</f>
        <v>0</v>
      </c>
      <c r="AM100" s="52">
        <f t="shared" si="358"/>
        <v>0</v>
      </c>
      <c r="AN100" s="52">
        <f t="shared" si="358"/>
        <v>0</v>
      </c>
      <c r="AO100" s="52">
        <f t="shared" si="358"/>
        <v>0</v>
      </c>
      <c r="AP100" s="52">
        <f t="shared" si="358"/>
        <v>0</v>
      </c>
      <c r="AQ100" s="52">
        <f t="shared" si="358"/>
        <v>0</v>
      </c>
      <c r="AR100" s="52">
        <f t="shared" si="358"/>
        <v>0</v>
      </c>
      <c r="AS100" s="52">
        <f t="shared" si="358"/>
        <v>0</v>
      </c>
      <c r="AT100" s="52">
        <f t="shared" si="358"/>
        <v>0</v>
      </c>
      <c r="AU100" s="52">
        <f t="shared" si="358"/>
        <v>0</v>
      </c>
      <c r="AV100" s="52">
        <f t="shared" si="358"/>
        <v>0</v>
      </c>
      <c r="AW100" s="52">
        <f t="shared" si="358"/>
        <v>0</v>
      </c>
      <c r="AX100" s="52">
        <f t="shared" si="358"/>
        <v>0</v>
      </c>
      <c r="AY100" s="52">
        <f t="shared" si="358"/>
        <v>0</v>
      </c>
      <c r="AZ100" s="52">
        <f t="shared" si="358"/>
        <v>0</v>
      </c>
      <c r="BA100" s="52">
        <f t="shared" si="358"/>
        <v>0</v>
      </c>
      <c r="BB100" s="52">
        <f t="shared" si="358"/>
        <v>0</v>
      </c>
      <c r="BC100" s="52">
        <f t="shared" si="358"/>
        <v>0</v>
      </c>
      <c r="BD100" s="52">
        <f t="shared" si="358"/>
        <v>0</v>
      </c>
      <c r="BE100" s="52">
        <f t="shared" si="358"/>
        <v>0</v>
      </c>
      <c r="BF100" s="52">
        <f t="shared" si="358"/>
        <v>0</v>
      </c>
      <c r="BG100" s="52">
        <f t="shared" si="358"/>
        <v>0</v>
      </c>
      <c r="BH100" s="52">
        <f t="shared" si="358"/>
        <v>0</v>
      </c>
      <c r="BI100" s="52">
        <f t="shared" si="358"/>
        <v>0</v>
      </c>
      <c r="BJ100" s="52">
        <f t="shared" si="358"/>
        <v>0</v>
      </c>
      <c r="BK100" s="52">
        <f t="shared" si="358"/>
        <v>0</v>
      </c>
      <c r="BL100" s="52">
        <f t="shared" si="358"/>
        <v>0</v>
      </c>
      <c r="BM100" s="52">
        <f t="shared" si="358"/>
        <v>0</v>
      </c>
      <c r="BN100" s="52">
        <f t="shared" si="358"/>
        <v>0</v>
      </c>
      <c r="BO100" s="52">
        <f t="shared" si="358"/>
        <v>0</v>
      </c>
      <c r="BP100" s="52">
        <f t="shared" si="358"/>
        <v>0</v>
      </c>
      <c r="BQ100" s="52">
        <f t="shared" si="358"/>
        <v>0</v>
      </c>
      <c r="BR100" s="52">
        <f t="shared" ref="BR100:CW100" si="359">IFERROR(IF(BR$28="FALSE",0,$C$100/$C$8),0)</f>
        <v>0</v>
      </c>
      <c r="BS100" s="52">
        <f t="shared" si="359"/>
        <v>0</v>
      </c>
      <c r="BT100" s="52">
        <f t="shared" si="359"/>
        <v>0</v>
      </c>
      <c r="BU100" s="52">
        <f t="shared" si="359"/>
        <v>0</v>
      </c>
      <c r="BV100" s="52">
        <f t="shared" si="359"/>
        <v>0</v>
      </c>
      <c r="BW100" s="52">
        <f t="shared" si="359"/>
        <v>0</v>
      </c>
      <c r="BX100" s="52">
        <f t="shared" si="359"/>
        <v>0</v>
      </c>
      <c r="BY100" s="52">
        <f t="shared" si="359"/>
        <v>0</v>
      </c>
      <c r="BZ100" s="52">
        <f t="shared" si="359"/>
        <v>0</v>
      </c>
      <c r="CA100" s="52">
        <f t="shared" si="359"/>
        <v>0</v>
      </c>
      <c r="CB100" s="52">
        <f t="shared" si="359"/>
        <v>0</v>
      </c>
      <c r="CC100" s="52">
        <f t="shared" si="359"/>
        <v>0</v>
      </c>
      <c r="CD100" s="52">
        <f t="shared" si="359"/>
        <v>0</v>
      </c>
      <c r="CE100" s="52">
        <f t="shared" si="359"/>
        <v>0</v>
      </c>
      <c r="CF100" s="52">
        <f t="shared" si="359"/>
        <v>0</v>
      </c>
      <c r="CG100" s="52">
        <f t="shared" si="359"/>
        <v>0</v>
      </c>
      <c r="CH100" s="52">
        <f t="shared" si="359"/>
        <v>0</v>
      </c>
      <c r="CI100" s="52">
        <f t="shared" si="359"/>
        <v>0</v>
      </c>
      <c r="CJ100" s="52">
        <f t="shared" si="359"/>
        <v>0</v>
      </c>
      <c r="CK100" s="52">
        <f t="shared" si="359"/>
        <v>0</v>
      </c>
      <c r="CL100" s="52">
        <f t="shared" si="359"/>
        <v>0</v>
      </c>
      <c r="CM100" s="52">
        <f t="shared" si="359"/>
        <v>0</v>
      </c>
      <c r="CN100" s="52">
        <f t="shared" si="359"/>
        <v>0</v>
      </c>
      <c r="CO100" s="52">
        <f t="shared" si="359"/>
        <v>0</v>
      </c>
      <c r="CP100" s="52">
        <f t="shared" si="359"/>
        <v>0</v>
      </c>
      <c r="CQ100" s="52">
        <f t="shared" si="359"/>
        <v>0</v>
      </c>
      <c r="CR100" s="52">
        <f t="shared" si="359"/>
        <v>0</v>
      </c>
      <c r="CS100" s="52">
        <f t="shared" si="359"/>
        <v>0</v>
      </c>
      <c r="CT100" s="52">
        <f t="shared" si="359"/>
        <v>0</v>
      </c>
      <c r="CU100" s="52">
        <f t="shared" si="359"/>
        <v>0</v>
      </c>
      <c r="CV100" s="52">
        <f t="shared" si="359"/>
        <v>0</v>
      </c>
      <c r="CW100" s="52">
        <f t="shared" si="359"/>
        <v>0</v>
      </c>
      <c r="CX100" s="52">
        <f t="shared" ref="CX100:EC100" si="360">IFERROR(IF(CX$28="FALSE",0,$C$100/$C$8),0)</f>
        <v>0</v>
      </c>
      <c r="CY100" s="52">
        <f t="shared" si="360"/>
        <v>0</v>
      </c>
      <c r="CZ100" s="52">
        <f t="shared" si="360"/>
        <v>0</v>
      </c>
      <c r="DA100" s="52">
        <f t="shared" si="360"/>
        <v>0</v>
      </c>
      <c r="DB100" s="52">
        <f t="shared" si="360"/>
        <v>0</v>
      </c>
      <c r="DC100" s="52">
        <f t="shared" si="360"/>
        <v>0</v>
      </c>
      <c r="DD100" s="52">
        <f t="shared" si="360"/>
        <v>0</v>
      </c>
      <c r="DE100" s="52">
        <f t="shared" si="360"/>
        <v>0</v>
      </c>
      <c r="DF100" s="52">
        <f t="shared" si="360"/>
        <v>0</v>
      </c>
      <c r="DG100" s="52">
        <f t="shared" si="360"/>
        <v>0</v>
      </c>
      <c r="DH100" s="52">
        <f t="shared" si="360"/>
        <v>0</v>
      </c>
      <c r="DI100" s="52">
        <f t="shared" si="360"/>
        <v>0</v>
      </c>
      <c r="DJ100" s="52">
        <f t="shared" si="360"/>
        <v>0</v>
      </c>
      <c r="DK100" s="52">
        <f t="shared" si="360"/>
        <v>0</v>
      </c>
      <c r="DL100" s="52">
        <f t="shared" si="360"/>
        <v>0</v>
      </c>
      <c r="DM100" s="52">
        <f t="shared" si="360"/>
        <v>0</v>
      </c>
      <c r="DN100" s="52">
        <f t="shared" si="360"/>
        <v>0</v>
      </c>
      <c r="DO100" s="52">
        <f t="shared" si="360"/>
        <v>0</v>
      </c>
      <c r="DP100" s="52">
        <f t="shared" si="360"/>
        <v>0</v>
      </c>
      <c r="DQ100" s="52">
        <f t="shared" si="360"/>
        <v>0</v>
      </c>
      <c r="DR100" s="52">
        <f t="shared" si="360"/>
        <v>0</v>
      </c>
      <c r="DS100" s="52">
        <f t="shared" si="360"/>
        <v>0</v>
      </c>
      <c r="DT100" s="52">
        <f t="shared" si="360"/>
        <v>0</v>
      </c>
      <c r="DU100" s="52">
        <f t="shared" si="360"/>
        <v>0</v>
      </c>
      <c r="DV100" s="52">
        <f t="shared" si="360"/>
        <v>0</v>
      </c>
      <c r="DW100" s="52">
        <f t="shared" si="360"/>
        <v>0</v>
      </c>
      <c r="DX100" s="52">
        <f t="shared" si="360"/>
        <v>0</v>
      </c>
      <c r="DY100" s="52">
        <f t="shared" si="360"/>
        <v>0</v>
      </c>
      <c r="DZ100" s="52">
        <f t="shared" si="360"/>
        <v>0</v>
      </c>
      <c r="EA100" s="52">
        <f t="shared" si="360"/>
        <v>0</v>
      </c>
      <c r="EB100" s="52">
        <f t="shared" si="360"/>
        <v>0</v>
      </c>
      <c r="EC100" s="52">
        <f t="shared" si="360"/>
        <v>0</v>
      </c>
      <c r="ED100" s="52">
        <f t="shared" ref="ED100:FD100" si="361">IFERROR(IF(ED$28="FALSE",0,$C$100/$C$8),0)</f>
        <v>0</v>
      </c>
      <c r="EE100" s="52">
        <f t="shared" si="361"/>
        <v>0</v>
      </c>
      <c r="EF100" s="52">
        <f t="shared" si="361"/>
        <v>0</v>
      </c>
      <c r="EG100" s="52">
        <f t="shared" si="361"/>
        <v>0</v>
      </c>
      <c r="EH100" s="52">
        <f t="shared" si="361"/>
        <v>0</v>
      </c>
      <c r="EI100" s="52">
        <f t="shared" si="361"/>
        <v>0</v>
      </c>
      <c r="EJ100" s="52">
        <f t="shared" si="361"/>
        <v>0</v>
      </c>
      <c r="EK100" s="52">
        <f t="shared" si="361"/>
        <v>0</v>
      </c>
      <c r="EL100" s="52">
        <f t="shared" si="361"/>
        <v>0</v>
      </c>
      <c r="EM100" s="52">
        <f t="shared" si="361"/>
        <v>0</v>
      </c>
      <c r="EN100" s="52">
        <f t="shared" si="361"/>
        <v>0</v>
      </c>
      <c r="EO100" s="52">
        <f t="shared" si="361"/>
        <v>0</v>
      </c>
      <c r="EP100" s="52">
        <f t="shared" si="361"/>
        <v>0</v>
      </c>
      <c r="EQ100" s="52">
        <f t="shared" si="361"/>
        <v>0</v>
      </c>
      <c r="ER100" s="52">
        <f t="shared" si="361"/>
        <v>0</v>
      </c>
      <c r="ES100" s="52">
        <f t="shared" si="361"/>
        <v>0</v>
      </c>
      <c r="ET100" s="52">
        <f t="shared" si="361"/>
        <v>0</v>
      </c>
      <c r="EU100" s="52">
        <f t="shared" si="361"/>
        <v>0</v>
      </c>
      <c r="EV100" s="52">
        <f t="shared" si="361"/>
        <v>0</v>
      </c>
      <c r="EW100" s="52">
        <f t="shared" si="361"/>
        <v>0</v>
      </c>
      <c r="EX100" s="52">
        <f t="shared" si="361"/>
        <v>0</v>
      </c>
      <c r="EY100" s="52">
        <f t="shared" si="361"/>
        <v>0</v>
      </c>
      <c r="EZ100" s="52">
        <f t="shared" si="361"/>
        <v>0</v>
      </c>
      <c r="FA100" s="52">
        <f t="shared" si="361"/>
        <v>0</v>
      </c>
      <c r="FB100" s="52">
        <f t="shared" si="361"/>
        <v>0</v>
      </c>
      <c r="FC100" s="52">
        <f t="shared" si="361"/>
        <v>0</v>
      </c>
      <c r="FD100" s="52">
        <f t="shared" si="361"/>
        <v>0</v>
      </c>
    </row>
    <row r="101" spans="2:160">
      <c r="B101" s="51" t="s">
        <v>181</v>
      </c>
      <c r="C101" s="52">
        <f ca="1">IF(Startup!$C$3="Project",SUMIF(Startup!$C$7:$D$27,Overview!B101,Startup!$D$7:$D$27),(SUMIF(Startup!$C$7:$D$27,Overview!B101,Startup!$D$7:$D$27)*Startup!$C$4))+IF(Pilot!$C$3="Project",SUMIF(Pilot!$C$7:$D$27,Overview!B101,Pilot!$D$7:$D$27),(SUMIF(Pilot!$C$7:$D$27,Overview!B101,Pilot!$D$7:$D$27)*Pilot!$C$4))+IF(PMO!$C$3="Project",SUMIF(PMO!$C$7:$D$27,Overview!B101,PMO!$D$7:$D$27),(SUMIF(PMO!$C$7:$D$27,Overview!B101,PMO!$D$7:$D$27)*PMO!$C$4))+IF('Design &amp; Fulfillment'!$C$3="Project",SUMIF('Design &amp; Fulfillment'!$C$7:$D$27,Overview!B101,'Design &amp; Fulfillment'!$D$7:$D$27),(SUMIF('Design &amp; Fulfillment'!$C$7:$D$27,Overview!B101,'Design &amp; Fulfillment'!$D$7:$D$27)*'Design &amp; Fulfillment'!$C$4))+IF(Workplace!$C$3="Project",SUMIF(Workplace!$C$7:$D$27,Overview!B101,Workplace!$D$7:$D$27),(SUMIF(Workplace!$C$7:$D$27,Overview!B101,Workplace!$D$7:$D$27)*Workplace!$C$4))+IF(Integration!$C$3="Project",SUMIF(Integration!$C$7:$D$27,Overview!B101,Integration!$D$7:$D$27),(SUMIF(Integration!$C$7:$D$27,Overview!B101,Integration!$D$7:$D$27)*Integration!$C$4))+IF(Logistics!$C$3="Project",SUMIF(Logistics!$C$7:$D$27,Overview!B101,Logistics!$D$7:$D$27),(SUMIF(Logistics!$C$7:$D$27,Overview!B101,Logistics!$D$7:$D$27)*Logistics!$C$4))+IF('Service Desk'!$C$3="Project",SUMIF('Service Desk'!$C$7:$D$27,Overview!B101,'Service Desk'!$D$7:$D$27),(SUMIF('Service Desk'!$C$7:$D$27,Overview!B101,'Service Desk'!$D$7:$D$27)*'Service Desk'!$C$4))+IF('Pro Services'!$C$3="Project",SUMIF('Pro Services'!$C$7:$D$27,Overview!B101,'Pro Services'!$D$7:$D$27),(SUMIF('Pro Services'!$C$7:$D$27,Overview!B101,'Pro Services'!$D$7:$D$27)*'Pro Services'!$C$4))</f>
        <v>0</v>
      </c>
      <c r="D101" s="53">
        <f ca="1">IF(Startup!$C$3="Project",SUMIF(Startup!$C$7:$H$27,Overview!B101,Startup!$H$7:$H$27),(SUMIF(Startup!$C$7:$H$27,Overview!B101,Startup!$H$7:$H$27)*Startup!$C$4))+IF(Pilot!$C$3="Project",SUMIF(Pilot!$C$7:$H$27,Overview!B101,Pilot!$H$7:$H$27),(SUMIF(Pilot!$C$7:$H$27,Overview!B101,Pilot!$H$7:$H$27)*Pilot!$C$4))+IF(PMO!$C$3="Project",SUMIF(PMO!$C$7:$H$27,Overview!B101,PMO!$H$7:$H$27),(SUMIF(PMO!$C$7:$H$27,Overview!B101,PMO!$H$7:$H$27)*PMO!$C$4))+IF('Design &amp; Fulfillment'!$C$3="Project",SUMIF('Design &amp; Fulfillment'!$C$7:$H$27,Overview!B101,'Design &amp; Fulfillment'!$H$7:$H$27),(SUMIF('Design &amp; Fulfillment'!$C$7:$H$27,Overview!B101,'Design &amp; Fulfillment'!$H$7:$H$27)*'Design &amp; Fulfillment'!$C$4))+IF(Workplace!$C$3="Project",SUMIF(Workplace!$C$7:$H$27,Overview!B101,Workplace!$H$7:$H$27),(SUMIF(Workplace!$C$7:$H$27,Overview!B101,Workplace!$H$7:$H$27)*Workplace!$C$4))+IF(Integration!$C$3="Project",SUMIF(Integration!$C$7:$H$27,Overview!B101,Integration!$H$7:$H$27),(SUMIF(Integration!$C$7:$H$27,Overview!B101,Integration!$H$7:$H$27)*Integration!$C$4))+IF(Logistics!$C$3="Project",SUMIF(Logistics!$C$7:$H$27,Overview!B101,Logistics!$H$7:$H$27),(SUMIF(Logistics!$C$7:$H$27,Overview!B101,Logistics!$H$7:$H$27)*Logistics!$C$4))+IF('Service Desk'!$C$3="Project",SUMIF('Service Desk'!$C$7:$H$27,Overview!B101,'Service Desk'!$H$7:$H$27),(SUMIF('Service Desk'!$C$7:$H$27,Overview!B101,'Service Desk'!$H$7:$H$27)*'Service Desk'!$C$4))+IF('Pro Services'!$C$3="Project",SUMIF('Pro Services'!$C$7:$H$27,Overview!B101,'Pro Services'!$H$7:$H$27),(SUMIF('Pro Services'!$C$7:$H$27,Overview!B101,'Pro Services'!$H$7:$H$27)*'Pro Services'!$C$4))</f>
        <v>0</v>
      </c>
      <c r="E101" s="52">
        <f t="shared" ca="1" si="120"/>
        <v>0</v>
      </c>
      <c r="F101" s="52">
        <f t="shared" ref="F101:AK101" si="362">IFERROR(IF(F$28="FALSE",0,$C$101/$C$8),0)</f>
        <v>0</v>
      </c>
      <c r="G101" s="52">
        <f t="shared" si="362"/>
        <v>0</v>
      </c>
      <c r="H101" s="52">
        <f t="shared" si="362"/>
        <v>0</v>
      </c>
      <c r="I101" s="52">
        <f t="shared" si="362"/>
        <v>0</v>
      </c>
      <c r="J101" s="52">
        <f t="shared" si="362"/>
        <v>0</v>
      </c>
      <c r="K101" s="52">
        <f t="shared" si="362"/>
        <v>0</v>
      </c>
      <c r="L101" s="52">
        <f t="shared" si="362"/>
        <v>0</v>
      </c>
      <c r="M101" s="52">
        <f t="shared" si="362"/>
        <v>0</v>
      </c>
      <c r="N101" s="52">
        <f t="shared" si="362"/>
        <v>0</v>
      </c>
      <c r="O101" s="52">
        <f t="shared" si="362"/>
        <v>0</v>
      </c>
      <c r="P101" s="52">
        <f t="shared" si="362"/>
        <v>0</v>
      </c>
      <c r="Q101" s="52">
        <f t="shared" si="362"/>
        <v>0</v>
      </c>
      <c r="R101" s="52">
        <f t="shared" si="362"/>
        <v>0</v>
      </c>
      <c r="S101" s="52">
        <f t="shared" si="362"/>
        <v>0</v>
      </c>
      <c r="T101" s="52">
        <f t="shared" si="362"/>
        <v>0</v>
      </c>
      <c r="U101" s="52">
        <f t="shared" si="362"/>
        <v>0</v>
      </c>
      <c r="V101" s="52">
        <f t="shared" si="362"/>
        <v>0</v>
      </c>
      <c r="W101" s="52">
        <f t="shared" si="362"/>
        <v>0</v>
      </c>
      <c r="X101" s="52">
        <f t="shared" si="362"/>
        <v>0</v>
      </c>
      <c r="Y101" s="52">
        <f t="shared" si="362"/>
        <v>0</v>
      </c>
      <c r="Z101" s="52">
        <f t="shared" si="362"/>
        <v>0</v>
      </c>
      <c r="AA101" s="52">
        <f t="shared" si="362"/>
        <v>0</v>
      </c>
      <c r="AB101" s="52">
        <f t="shared" si="362"/>
        <v>0</v>
      </c>
      <c r="AC101" s="52">
        <f t="shared" si="362"/>
        <v>0</v>
      </c>
      <c r="AD101" s="52">
        <f t="shared" si="362"/>
        <v>0</v>
      </c>
      <c r="AE101" s="52">
        <f t="shared" si="362"/>
        <v>0</v>
      </c>
      <c r="AF101" s="52">
        <f t="shared" si="362"/>
        <v>0</v>
      </c>
      <c r="AG101" s="52">
        <f t="shared" si="362"/>
        <v>0</v>
      </c>
      <c r="AH101" s="52">
        <f t="shared" si="362"/>
        <v>0</v>
      </c>
      <c r="AI101" s="52">
        <f t="shared" si="362"/>
        <v>0</v>
      </c>
      <c r="AJ101" s="52">
        <f t="shared" si="362"/>
        <v>0</v>
      </c>
      <c r="AK101" s="52">
        <f t="shared" si="362"/>
        <v>0</v>
      </c>
      <c r="AL101" s="52">
        <f t="shared" ref="AL101:BQ101" si="363">IFERROR(IF(AL$28="FALSE",0,$C$101/$C$8),0)</f>
        <v>0</v>
      </c>
      <c r="AM101" s="52">
        <f t="shared" si="363"/>
        <v>0</v>
      </c>
      <c r="AN101" s="52">
        <f t="shared" si="363"/>
        <v>0</v>
      </c>
      <c r="AO101" s="52">
        <f t="shared" si="363"/>
        <v>0</v>
      </c>
      <c r="AP101" s="52">
        <f t="shared" si="363"/>
        <v>0</v>
      </c>
      <c r="AQ101" s="52">
        <f t="shared" si="363"/>
        <v>0</v>
      </c>
      <c r="AR101" s="52">
        <f t="shared" si="363"/>
        <v>0</v>
      </c>
      <c r="AS101" s="52">
        <f t="shared" si="363"/>
        <v>0</v>
      </c>
      <c r="AT101" s="52">
        <f t="shared" si="363"/>
        <v>0</v>
      </c>
      <c r="AU101" s="52">
        <f t="shared" si="363"/>
        <v>0</v>
      </c>
      <c r="AV101" s="52">
        <f t="shared" si="363"/>
        <v>0</v>
      </c>
      <c r="AW101" s="52">
        <f t="shared" si="363"/>
        <v>0</v>
      </c>
      <c r="AX101" s="52">
        <f t="shared" si="363"/>
        <v>0</v>
      </c>
      <c r="AY101" s="52">
        <f t="shared" si="363"/>
        <v>0</v>
      </c>
      <c r="AZ101" s="52">
        <f t="shared" si="363"/>
        <v>0</v>
      </c>
      <c r="BA101" s="52">
        <f t="shared" si="363"/>
        <v>0</v>
      </c>
      <c r="BB101" s="52">
        <f t="shared" si="363"/>
        <v>0</v>
      </c>
      <c r="BC101" s="52">
        <f t="shared" si="363"/>
        <v>0</v>
      </c>
      <c r="BD101" s="52">
        <f t="shared" si="363"/>
        <v>0</v>
      </c>
      <c r="BE101" s="52">
        <f t="shared" si="363"/>
        <v>0</v>
      </c>
      <c r="BF101" s="52">
        <f t="shared" si="363"/>
        <v>0</v>
      </c>
      <c r="BG101" s="52">
        <f t="shared" si="363"/>
        <v>0</v>
      </c>
      <c r="BH101" s="52">
        <f t="shared" si="363"/>
        <v>0</v>
      </c>
      <c r="BI101" s="52">
        <f t="shared" si="363"/>
        <v>0</v>
      </c>
      <c r="BJ101" s="52">
        <f t="shared" si="363"/>
        <v>0</v>
      </c>
      <c r="BK101" s="52">
        <f t="shared" si="363"/>
        <v>0</v>
      </c>
      <c r="BL101" s="52">
        <f t="shared" si="363"/>
        <v>0</v>
      </c>
      <c r="BM101" s="52">
        <f t="shared" si="363"/>
        <v>0</v>
      </c>
      <c r="BN101" s="52">
        <f t="shared" si="363"/>
        <v>0</v>
      </c>
      <c r="BO101" s="52">
        <f t="shared" si="363"/>
        <v>0</v>
      </c>
      <c r="BP101" s="52">
        <f t="shared" si="363"/>
        <v>0</v>
      </c>
      <c r="BQ101" s="52">
        <f t="shared" si="363"/>
        <v>0</v>
      </c>
      <c r="BR101" s="52">
        <f t="shared" ref="BR101:CW101" si="364">IFERROR(IF(BR$28="FALSE",0,$C$101/$C$8),0)</f>
        <v>0</v>
      </c>
      <c r="BS101" s="52">
        <f t="shared" si="364"/>
        <v>0</v>
      </c>
      <c r="BT101" s="52">
        <f t="shared" si="364"/>
        <v>0</v>
      </c>
      <c r="BU101" s="52">
        <f t="shared" si="364"/>
        <v>0</v>
      </c>
      <c r="BV101" s="52">
        <f t="shared" si="364"/>
        <v>0</v>
      </c>
      <c r="BW101" s="52">
        <f t="shared" si="364"/>
        <v>0</v>
      </c>
      <c r="BX101" s="52">
        <f t="shared" si="364"/>
        <v>0</v>
      </c>
      <c r="BY101" s="52">
        <f t="shared" si="364"/>
        <v>0</v>
      </c>
      <c r="BZ101" s="52">
        <f t="shared" si="364"/>
        <v>0</v>
      </c>
      <c r="CA101" s="52">
        <f t="shared" si="364"/>
        <v>0</v>
      </c>
      <c r="CB101" s="52">
        <f t="shared" si="364"/>
        <v>0</v>
      </c>
      <c r="CC101" s="52">
        <f t="shared" si="364"/>
        <v>0</v>
      </c>
      <c r="CD101" s="52">
        <f t="shared" si="364"/>
        <v>0</v>
      </c>
      <c r="CE101" s="52">
        <f t="shared" si="364"/>
        <v>0</v>
      </c>
      <c r="CF101" s="52">
        <f t="shared" si="364"/>
        <v>0</v>
      </c>
      <c r="CG101" s="52">
        <f t="shared" si="364"/>
        <v>0</v>
      </c>
      <c r="CH101" s="52">
        <f t="shared" si="364"/>
        <v>0</v>
      </c>
      <c r="CI101" s="52">
        <f t="shared" si="364"/>
        <v>0</v>
      </c>
      <c r="CJ101" s="52">
        <f t="shared" si="364"/>
        <v>0</v>
      </c>
      <c r="CK101" s="52">
        <f t="shared" si="364"/>
        <v>0</v>
      </c>
      <c r="CL101" s="52">
        <f t="shared" si="364"/>
        <v>0</v>
      </c>
      <c r="CM101" s="52">
        <f t="shared" si="364"/>
        <v>0</v>
      </c>
      <c r="CN101" s="52">
        <f t="shared" si="364"/>
        <v>0</v>
      </c>
      <c r="CO101" s="52">
        <f t="shared" si="364"/>
        <v>0</v>
      </c>
      <c r="CP101" s="52">
        <f t="shared" si="364"/>
        <v>0</v>
      </c>
      <c r="CQ101" s="52">
        <f t="shared" si="364"/>
        <v>0</v>
      </c>
      <c r="CR101" s="52">
        <f t="shared" si="364"/>
        <v>0</v>
      </c>
      <c r="CS101" s="52">
        <f t="shared" si="364"/>
        <v>0</v>
      </c>
      <c r="CT101" s="52">
        <f t="shared" si="364"/>
        <v>0</v>
      </c>
      <c r="CU101" s="52">
        <f t="shared" si="364"/>
        <v>0</v>
      </c>
      <c r="CV101" s="52">
        <f t="shared" si="364"/>
        <v>0</v>
      </c>
      <c r="CW101" s="52">
        <f t="shared" si="364"/>
        <v>0</v>
      </c>
      <c r="CX101" s="52">
        <f t="shared" ref="CX101:EC101" si="365">IFERROR(IF(CX$28="FALSE",0,$C$101/$C$8),0)</f>
        <v>0</v>
      </c>
      <c r="CY101" s="52">
        <f t="shared" si="365"/>
        <v>0</v>
      </c>
      <c r="CZ101" s="52">
        <f t="shared" si="365"/>
        <v>0</v>
      </c>
      <c r="DA101" s="52">
        <f t="shared" si="365"/>
        <v>0</v>
      </c>
      <c r="DB101" s="52">
        <f t="shared" si="365"/>
        <v>0</v>
      </c>
      <c r="DC101" s="52">
        <f t="shared" si="365"/>
        <v>0</v>
      </c>
      <c r="DD101" s="52">
        <f t="shared" si="365"/>
        <v>0</v>
      </c>
      <c r="DE101" s="52">
        <f t="shared" si="365"/>
        <v>0</v>
      </c>
      <c r="DF101" s="52">
        <f t="shared" si="365"/>
        <v>0</v>
      </c>
      <c r="DG101" s="52">
        <f t="shared" si="365"/>
        <v>0</v>
      </c>
      <c r="DH101" s="52">
        <f t="shared" si="365"/>
        <v>0</v>
      </c>
      <c r="DI101" s="52">
        <f t="shared" si="365"/>
        <v>0</v>
      </c>
      <c r="DJ101" s="52">
        <f t="shared" si="365"/>
        <v>0</v>
      </c>
      <c r="DK101" s="52">
        <f t="shared" si="365"/>
        <v>0</v>
      </c>
      <c r="DL101" s="52">
        <f t="shared" si="365"/>
        <v>0</v>
      </c>
      <c r="DM101" s="52">
        <f t="shared" si="365"/>
        <v>0</v>
      </c>
      <c r="DN101" s="52">
        <f t="shared" si="365"/>
        <v>0</v>
      </c>
      <c r="DO101" s="52">
        <f t="shared" si="365"/>
        <v>0</v>
      </c>
      <c r="DP101" s="52">
        <f t="shared" si="365"/>
        <v>0</v>
      </c>
      <c r="DQ101" s="52">
        <f t="shared" si="365"/>
        <v>0</v>
      </c>
      <c r="DR101" s="52">
        <f t="shared" si="365"/>
        <v>0</v>
      </c>
      <c r="DS101" s="52">
        <f t="shared" si="365"/>
        <v>0</v>
      </c>
      <c r="DT101" s="52">
        <f t="shared" si="365"/>
        <v>0</v>
      </c>
      <c r="DU101" s="52">
        <f t="shared" si="365"/>
        <v>0</v>
      </c>
      <c r="DV101" s="52">
        <f t="shared" si="365"/>
        <v>0</v>
      </c>
      <c r="DW101" s="52">
        <f t="shared" si="365"/>
        <v>0</v>
      </c>
      <c r="DX101" s="52">
        <f t="shared" si="365"/>
        <v>0</v>
      </c>
      <c r="DY101" s="52">
        <f t="shared" si="365"/>
        <v>0</v>
      </c>
      <c r="DZ101" s="52">
        <f t="shared" si="365"/>
        <v>0</v>
      </c>
      <c r="EA101" s="52">
        <f t="shared" si="365"/>
        <v>0</v>
      </c>
      <c r="EB101" s="52">
        <f t="shared" si="365"/>
        <v>0</v>
      </c>
      <c r="EC101" s="52">
        <f t="shared" si="365"/>
        <v>0</v>
      </c>
      <c r="ED101" s="52">
        <f t="shared" ref="ED101:FD101" si="366">IFERROR(IF(ED$28="FALSE",0,$C$101/$C$8),0)</f>
        <v>0</v>
      </c>
      <c r="EE101" s="52">
        <f t="shared" si="366"/>
        <v>0</v>
      </c>
      <c r="EF101" s="52">
        <f t="shared" si="366"/>
        <v>0</v>
      </c>
      <c r="EG101" s="52">
        <f t="shared" si="366"/>
        <v>0</v>
      </c>
      <c r="EH101" s="52">
        <f t="shared" si="366"/>
        <v>0</v>
      </c>
      <c r="EI101" s="52">
        <f t="shared" si="366"/>
        <v>0</v>
      </c>
      <c r="EJ101" s="52">
        <f t="shared" si="366"/>
        <v>0</v>
      </c>
      <c r="EK101" s="52">
        <f t="shared" si="366"/>
        <v>0</v>
      </c>
      <c r="EL101" s="52">
        <f t="shared" si="366"/>
        <v>0</v>
      </c>
      <c r="EM101" s="52">
        <f t="shared" si="366"/>
        <v>0</v>
      </c>
      <c r="EN101" s="52">
        <f t="shared" si="366"/>
        <v>0</v>
      </c>
      <c r="EO101" s="52">
        <f t="shared" si="366"/>
        <v>0</v>
      </c>
      <c r="EP101" s="52">
        <f t="shared" si="366"/>
        <v>0</v>
      </c>
      <c r="EQ101" s="52">
        <f t="shared" si="366"/>
        <v>0</v>
      </c>
      <c r="ER101" s="52">
        <f t="shared" si="366"/>
        <v>0</v>
      </c>
      <c r="ES101" s="52">
        <f t="shared" si="366"/>
        <v>0</v>
      </c>
      <c r="ET101" s="52">
        <f t="shared" si="366"/>
        <v>0</v>
      </c>
      <c r="EU101" s="52">
        <f t="shared" si="366"/>
        <v>0</v>
      </c>
      <c r="EV101" s="52">
        <f t="shared" si="366"/>
        <v>0</v>
      </c>
      <c r="EW101" s="52">
        <f t="shared" si="366"/>
        <v>0</v>
      </c>
      <c r="EX101" s="52">
        <f t="shared" si="366"/>
        <v>0</v>
      </c>
      <c r="EY101" s="52">
        <f t="shared" si="366"/>
        <v>0</v>
      </c>
      <c r="EZ101" s="52">
        <f t="shared" si="366"/>
        <v>0</v>
      </c>
      <c r="FA101" s="52">
        <f t="shared" si="366"/>
        <v>0</v>
      </c>
      <c r="FB101" s="52">
        <f t="shared" si="366"/>
        <v>0</v>
      </c>
      <c r="FC101" s="52">
        <f t="shared" si="366"/>
        <v>0</v>
      </c>
      <c r="FD101" s="52">
        <f t="shared" si="366"/>
        <v>0</v>
      </c>
    </row>
    <row r="102" spans="2:160">
      <c r="B102" s="51" t="s">
        <v>182</v>
      </c>
      <c r="C102" s="52">
        <f ca="1">IF(Startup!$C$3="Project",SUMIF(Startup!$C$7:$D$27,Overview!B102,Startup!$D$7:$D$27),(SUMIF(Startup!$C$7:$D$27,Overview!B102,Startup!$D$7:$D$27)*Startup!$C$4))+IF(Pilot!$C$3="Project",SUMIF(Pilot!$C$7:$D$27,Overview!B102,Pilot!$D$7:$D$27),(SUMIF(Pilot!$C$7:$D$27,Overview!B102,Pilot!$D$7:$D$27)*Pilot!$C$4))+IF(PMO!$C$3="Project",SUMIF(PMO!$C$7:$D$27,Overview!B102,PMO!$D$7:$D$27),(SUMIF(PMO!$C$7:$D$27,Overview!B102,PMO!$D$7:$D$27)*PMO!$C$4))+IF('Design &amp; Fulfillment'!$C$3="Project",SUMIF('Design &amp; Fulfillment'!$C$7:$D$27,Overview!B102,'Design &amp; Fulfillment'!$D$7:$D$27),(SUMIF('Design &amp; Fulfillment'!$C$7:$D$27,Overview!B102,'Design &amp; Fulfillment'!$D$7:$D$27)*'Design &amp; Fulfillment'!$C$4))+IF(Workplace!$C$3="Project",SUMIF(Workplace!$C$7:$D$27,Overview!B102,Workplace!$D$7:$D$27),(SUMIF(Workplace!$C$7:$D$27,Overview!B102,Workplace!$D$7:$D$27)*Workplace!$C$4))+IF(Integration!$C$3="Project",SUMIF(Integration!$C$7:$D$27,Overview!B102,Integration!$D$7:$D$27),(SUMIF(Integration!$C$7:$D$27,Overview!B102,Integration!$D$7:$D$27)*Integration!$C$4))+IF(Logistics!$C$3="Project",SUMIF(Logistics!$C$7:$D$27,Overview!B102,Logistics!$D$7:$D$27),(SUMIF(Logistics!$C$7:$D$27,Overview!B102,Logistics!$D$7:$D$27)*Logistics!$C$4))+IF('Service Desk'!$C$3="Project",SUMIF('Service Desk'!$C$7:$D$27,Overview!B102,'Service Desk'!$D$7:$D$27),(SUMIF('Service Desk'!$C$7:$D$27,Overview!B102,'Service Desk'!$D$7:$D$27)*'Service Desk'!$C$4))+IF('Pro Services'!$C$3="Project",SUMIF('Pro Services'!$C$7:$D$27,Overview!B102,'Pro Services'!$D$7:$D$27),(SUMIF('Pro Services'!$C$7:$D$27,Overview!B102,'Pro Services'!$D$7:$D$27)*'Pro Services'!$C$4))</f>
        <v>0</v>
      </c>
      <c r="D102" s="53">
        <f ca="1">IF(Startup!$C$3="Project",SUMIF(Startup!$C$7:$H$27,Overview!B102,Startup!$H$7:$H$27),(SUMIF(Startup!$C$7:$H$27,Overview!B102,Startup!$H$7:$H$27)*Startup!$C$4))+IF(Pilot!$C$3="Project",SUMIF(Pilot!$C$7:$H$27,Overview!B102,Pilot!$H$7:$H$27),(SUMIF(Pilot!$C$7:$H$27,Overview!B102,Pilot!$H$7:$H$27)*Pilot!$C$4))+IF(PMO!$C$3="Project",SUMIF(PMO!$C$7:$H$27,Overview!B102,PMO!$H$7:$H$27),(SUMIF(PMO!$C$7:$H$27,Overview!B102,PMO!$H$7:$H$27)*PMO!$C$4))+IF('Design &amp; Fulfillment'!$C$3="Project",SUMIF('Design &amp; Fulfillment'!$C$7:$H$27,Overview!B102,'Design &amp; Fulfillment'!$H$7:$H$27),(SUMIF('Design &amp; Fulfillment'!$C$7:$H$27,Overview!B102,'Design &amp; Fulfillment'!$H$7:$H$27)*'Design &amp; Fulfillment'!$C$4))+IF(Workplace!$C$3="Project",SUMIF(Workplace!$C$7:$H$27,Overview!B102,Workplace!$H$7:$H$27),(SUMIF(Workplace!$C$7:$H$27,Overview!B102,Workplace!$H$7:$H$27)*Workplace!$C$4))+IF(Integration!$C$3="Project",SUMIF(Integration!$C$7:$H$27,Overview!B102,Integration!$H$7:$H$27),(SUMIF(Integration!$C$7:$H$27,Overview!B102,Integration!$H$7:$H$27)*Integration!$C$4))+IF(Logistics!$C$3="Project",SUMIF(Logistics!$C$7:$H$27,Overview!B102,Logistics!$H$7:$H$27),(SUMIF(Logistics!$C$7:$H$27,Overview!B102,Logistics!$H$7:$H$27)*Logistics!$C$4))+IF('Service Desk'!$C$3="Project",SUMIF('Service Desk'!$C$7:$H$27,Overview!B102,'Service Desk'!$H$7:$H$27),(SUMIF('Service Desk'!$C$7:$H$27,Overview!B102,'Service Desk'!$H$7:$H$27)*'Service Desk'!$C$4))+IF('Pro Services'!$C$3="Project",SUMIF('Pro Services'!$C$7:$H$27,Overview!B102,'Pro Services'!$H$7:$H$27),(SUMIF('Pro Services'!$C$7:$H$27,Overview!B102,'Pro Services'!$H$7:$H$27)*'Pro Services'!$C$4))</f>
        <v>0</v>
      </c>
      <c r="E102" s="52">
        <f t="shared" ca="1" si="120"/>
        <v>0</v>
      </c>
      <c r="F102" s="52">
        <f t="shared" ref="F102:AK102" si="367">IFERROR(IF(F$28="FALSE",0,$C$102/$C$8),0)</f>
        <v>0</v>
      </c>
      <c r="G102" s="52">
        <f t="shared" si="367"/>
        <v>0</v>
      </c>
      <c r="H102" s="52">
        <f t="shared" si="367"/>
        <v>0</v>
      </c>
      <c r="I102" s="52">
        <f t="shared" si="367"/>
        <v>0</v>
      </c>
      <c r="J102" s="52">
        <f t="shared" si="367"/>
        <v>0</v>
      </c>
      <c r="K102" s="52">
        <f t="shared" si="367"/>
        <v>0</v>
      </c>
      <c r="L102" s="52">
        <f t="shared" si="367"/>
        <v>0</v>
      </c>
      <c r="M102" s="52">
        <f t="shared" si="367"/>
        <v>0</v>
      </c>
      <c r="N102" s="52">
        <f t="shared" si="367"/>
        <v>0</v>
      </c>
      <c r="O102" s="52">
        <f t="shared" si="367"/>
        <v>0</v>
      </c>
      <c r="P102" s="52">
        <f t="shared" si="367"/>
        <v>0</v>
      </c>
      <c r="Q102" s="52">
        <f t="shared" si="367"/>
        <v>0</v>
      </c>
      <c r="R102" s="52">
        <f t="shared" si="367"/>
        <v>0</v>
      </c>
      <c r="S102" s="52">
        <f t="shared" si="367"/>
        <v>0</v>
      </c>
      <c r="T102" s="52">
        <f t="shared" si="367"/>
        <v>0</v>
      </c>
      <c r="U102" s="52">
        <f t="shared" si="367"/>
        <v>0</v>
      </c>
      <c r="V102" s="52">
        <f t="shared" si="367"/>
        <v>0</v>
      </c>
      <c r="W102" s="52">
        <f t="shared" si="367"/>
        <v>0</v>
      </c>
      <c r="X102" s="52">
        <f t="shared" si="367"/>
        <v>0</v>
      </c>
      <c r="Y102" s="52">
        <f t="shared" si="367"/>
        <v>0</v>
      </c>
      <c r="Z102" s="52">
        <f t="shared" si="367"/>
        <v>0</v>
      </c>
      <c r="AA102" s="52">
        <f t="shared" si="367"/>
        <v>0</v>
      </c>
      <c r="AB102" s="52">
        <f t="shared" si="367"/>
        <v>0</v>
      </c>
      <c r="AC102" s="52">
        <f t="shared" si="367"/>
        <v>0</v>
      </c>
      <c r="AD102" s="52">
        <f t="shared" si="367"/>
        <v>0</v>
      </c>
      <c r="AE102" s="52">
        <f t="shared" si="367"/>
        <v>0</v>
      </c>
      <c r="AF102" s="52">
        <f t="shared" si="367"/>
        <v>0</v>
      </c>
      <c r="AG102" s="52">
        <f t="shared" si="367"/>
        <v>0</v>
      </c>
      <c r="AH102" s="52">
        <f t="shared" si="367"/>
        <v>0</v>
      </c>
      <c r="AI102" s="52">
        <f t="shared" si="367"/>
        <v>0</v>
      </c>
      <c r="AJ102" s="52">
        <f t="shared" si="367"/>
        <v>0</v>
      </c>
      <c r="AK102" s="52">
        <f t="shared" si="367"/>
        <v>0</v>
      </c>
      <c r="AL102" s="52">
        <f t="shared" ref="AL102:BQ102" si="368">IFERROR(IF(AL$28="FALSE",0,$C$102/$C$8),0)</f>
        <v>0</v>
      </c>
      <c r="AM102" s="52">
        <f t="shared" si="368"/>
        <v>0</v>
      </c>
      <c r="AN102" s="52">
        <f t="shared" si="368"/>
        <v>0</v>
      </c>
      <c r="AO102" s="52">
        <f t="shared" si="368"/>
        <v>0</v>
      </c>
      <c r="AP102" s="52">
        <f t="shared" si="368"/>
        <v>0</v>
      </c>
      <c r="AQ102" s="52">
        <f t="shared" si="368"/>
        <v>0</v>
      </c>
      <c r="AR102" s="52">
        <f t="shared" si="368"/>
        <v>0</v>
      </c>
      <c r="AS102" s="52">
        <f t="shared" si="368"/>
        <v>0</v>
      </c>
      <c r="AT102" s="52">
        <f t="shared" si="368"/>
        <v>0</v>
      </c>
      <c r="AU102" s="52">
        <f t="shared" si="368"/>
        <v>0</v>
      </c>
      <c r="AV102" s="52">
        <f t="shared" si="368"/>
        <v>0</v>
      </c>
      <c r="AW102" s="52">
        <f t="shared" si="368"/>
        <v>0</v>
      </c>
      <c r="AX102" s="52">
        <f t="shared" si="368"/>
        <v>0</v>
      </c>
      <c r="AY102" s="52">
        <f t="shared" si="368"/>
        <v>0</v>
      </c>
      <c r="AZ102" s="52">
        <f t="shared" si="368"/>
        <v>0</v>
      </c>
      <c r="BA102" s="52">
        <f t="shared" si="368"/>
        <v>0</v>
      </c>
      <c r="BB102" s="52">
        <f t="shared" si="368"/>
        <v>0</v>
      </c>
      <c r="BC102" s="52">
        <f t="shared" si="368"/>
        <v>0</v>
      </c>
      <c r="BD102" s="52">
        <f t="shared" si="368"/>
        <v>0</v>
      </c>
      <c r="BE102" s="52">
        <f t="shared" si="368"/>
        <v>0</v>
      </c>
      <c r="BF102" s="52">
        <f t="shared" si="368"/>
        <v>0</v>
      </c>
      <c r="BG102" s="52">
        <f t="shared" si="368"/>
        <v>0</v>
      </c>
      <c r="BH102" s="52">
        <f t="shared" si="368"/>
        <v>0</v>
      </c>
      <c r="BI102" s="52">
        <f t="shared" si="368"/>
        <v>0</v>
      </c>
      <c r="BJ102" s="52">
        <f t="shared" si="368"/>
        <v>0</v>
      </c>
      <c r="BK102" s="52">
        <f t="shared" si="368"/>
        <v>0</v>
      </c>
      <c r="BL102" s="52">
        <f t="shared" si="368"/>
        <v>0</v>
      </c>
      <c r="BM102" s="52">
        <f t="shared" si="368"/>
        <v>0</v>
      </c>
      <c r="BN102" s="52">
        <f t="shared" si="368"/>
        <v>0</v>
      </c>
      <c r="BO102" s="52">
        <f t="shared" si="368"/>
        <v>0</v>
      </c>
      <c r="BP102" s="52">
        <f t="shared" si="368"/>
        <v>0</v>
      </c>
      <c r="BQ102" s="52">
        <f t="shared" si="368"/>
        <v>0</v>
      </c>
      <c r="BR102" s="52">
        <f t="shared" ref="BR102:CW102" si="369">IFERROR(IF(BR$28="FALSE",0,$C$102/$C$8),0)</f>
        <v>0</v>
      </c>
      <c r="BS102" s="52">
        <f t="shared" si="369"/>
        <v>0</v>
      </c>
      <c r="BT102" s="52">
        <f t="shared" si="369"/>
        <v>0</v>
      </c>
      <c r="BU102" s="52">
        <f t="shared" si="369"/>
        <v>0</v>
      </c>
      <c r="BV102" s="52">
        <f t="shared" si="369"/>
        <v>0</v>
      </c>
      <c r="BW102" s="52">
        <f t="shared" si="369"/>
        <v>0</v>
      </c>
      <c r="BX102" s="52">
        <f t="shared" si="369"/>
        <v>0</v>
      </c>
      <c r="BY102" s="52">
        <f t="shared" si="369"/>
        <v>0</v>
      </c>
      <c r="BZ102" s="52">
        <f t="shared" si="369"/>
        <v>0</v>
      </c>
      <c r="CA102" s="52">
        <f t="shared" si="369"/>
        <v>0</v>
      </c>
      <c r="CB102" s="52">
        <f t="shared" si="369"/>
        <v>0</v>
      </c>
      <c r="CC102" s="52">
        <f t="shared" si="369"/>
        <v>0</v>
      </c>
      <c r="CD102" s="52">
        <f t="shared" si="369"/>
        <v>0</v>
      </c>
      <c r="CE102" s="52">
        <f t="shared" si="369"/>
        <v>0</v>
      </c>
      <c r="CF102" s="52">
        <f t="shared" si="369"/>
        <v>0</v>
      </c>
      <c r="CG102" s="52">
        <f t="shared" si="369"/>
        <v>0</v>
      </c>
      <c r="CH102" s="52">
        <f t="shared" si="369"/>
        <v>0</v>
      </c>
      <c r="CI102" s="52">
        <f t="shared" si="369"/>
        <v>0</v>
      </c>
      <c r="CJ102" s="52">
        <f t="shared" si="369"/>
        <v>0</v>
      </c>
      <c r="CK102" s="52">
        <f t="shared" si="369"/>
        <v>0</v>
      </c>
      <c r="CL102" s="52">
        <f t="shared" si="369"/>
        <v>0</v>
      </c>
      <c r="CM102" s="52">
        <f t="shared" si="369"/>
        <v>0</v>
      </c>
      <c r="CN102" s="52">
        <f t="shared" si="369"/>
        <v>0</v>
      </c>
      <c r="CO102" s="52">
        <f t="shared" si="369"/>
        <v>0</v>
      </c>
      <c r="CP102" s="52">
        <f t="shared" si="369"/>
        <v>0</v>
      </c>
      <c r="CQ102" s="52">
        <f t="shared" si="369"/>
        <v>0</v>
      </c>
      <c r="CR102" s="52">
        <f t="shared" si="369"/>
        <v>0</v>
      </c>
      <c r="CS102" s="52">
        <f t="shared" si="369"/>
        <v>0</v>
      </c>
      <c r="CT102" s="52">
        <f t="shared" si="369"/>
        <v>0</v>
      </c>
      <c r="CU102" s="52">
        <f t="shared" si="369"/>
        <v>0</v>
      </c>
      <c r="CV102" s="52">
        <f t="shared" si="369"/>
        <v>0</v>
      </c>
      <c r="CW102" s="52">
        <f t="shared" si="369"/>
        <v>0</v>
      </c>
      <c r="CX102" s="52">
        <f t="shared" ref="CX102:EC102" si="370">IFERROR(IF(CX$28="FALSE",0,$C$102/$C$8),0)</f>
        <v>0</v>
      </c>
      <c r="CY102" s="52">
        <f t="shared" si="370"/>
        <v>0</v>
      </c>
      <c r="CZ102" s="52">
        <f t="shared" si="370"/>
        <v>0</v>
      </c>
      <c r="DA102" s="52">
        <f t="shared" si="370"/>
        <v>0</v>
      </c>
      <c r="DB102" s="52">
        <f t="shared" si="370"/>
        <v>0</v>
      </c>
      <c r="DC102" s="52">
        <f t="shared" si="370"/>
        <v>0</v>
      </c>
      <c r="DD102" s="52">
        <f t="shared" si="370"/>
        <v>0</v>
      </c>
      <c r="DE102" s="52">
        <f t="shared" si="370"/>
        <v>0</v>
      </c>
      <c r="DF102" s="52">
        <f t="shared" si="370"/>
        <v>0</v>
      </c>
      <c r="DG102" s="52">
        <f t="shared" si="370"/>
        <v>0</v>
      </c>
      <c r="DH102" s="52">
        <f t="shared" si="370"/>
        <v>0</v>
      </c>
      <c r="DI102" s="52">
        <f t="shared" si="370"/>
        <v>0</v>
      </c>
      <c r="DJ102" s="52">
        <f t="shared" si="370"/>
        <v>0</v>
      </c>
      <c r="DK102" s="52">
        <f t="shared" si="370"/>
        <v>0</v>
      </c>
      <c r="DL102" s="52">
        <f t="shared" si="370"/>
        <v>0</v>
      </c>
      <c r="DM102" s="52">
        <f t="shared" si="370"/>
        <v>0</v>
      </c>
      <c r="DN102" s="52">
        <f t="shared" si="370"/>
        <v>0</v>
      </c>
      <c r="DO102" s="52">
        <f t="shared" si="370"/>
        <v>0</v>
      </c>
      <c r="DP102" s="52">
        <f t="shared" si="370"/>
        <v>0</v>
      </c>
      <c r="DQ102" s="52">
        <f t="shared" si="370"/>
        <v>0</v>
      </c>
      <c r="DR102" s="52">
        <f t="shared" si="370"/>
        <v>0</v>
      </c>
      <c r="DS102" s="52">
        <f t="shared" si="370"/>
        <v>0</v>
      </c>
      <c r="DT102" s="52">
        <f t="shared" si="370"/>
        <v>0</v>
      </c>
      <c r="DU102" s="52">
        <f t="shared" si="370"/>
        <v>0</v>
      </c>
      <c r="DV102" s="52">
        <f t="shared" si="370"/>
        <v>0</v>
      </c>
      <c r="DW102" s="52">
        <f t="shared" si="370"/>
        <v>0</v>
      </c>
      <c r="DX102" s="52">
        <f t="shared" si="370"/>
        <v>0</v>
      </c>
      <c r="DY102" s="52">
        <f t="shared" si="370"/>
        <v>0</v>
      </c>
      <c r="DZ102" s="52">
        <f t="shared" si="370"/>
        <v>0</v>
      </c>
      <c r="EA102" s="52">
        <f t="shared" si="370"/>
        <v>0</v>
      </c>
      <c r="EB102" s="52">
        <f t="shared" si="370"/>
        <v>0</v>
      </c>
      <c r="EC102" s="52">
        <f t="shared" si="370"/>
        <v>0</v>
      </c>
      <c r="ED102" s="52">
        <f t="shared" ref="ED102:FD102" si="371">IFERROR(IF(ED$28="FALSE",0,$C$102/$C$8),0)</f>
        <v>0</v>
      </c>
      <c r="EE102" s="52">
        <f t="shared" si="371"/>
        <v>0</v>
      </c>
      <c r="EF102" s="52">
        <f t="shared" si="371"/>
        <v>0</v>
      </c>
      <c r="EG102" s="52">
        <f t="shared" si="371"/>
        <v>0</v>
      </c>
      <c r="EH102" s="52">
        <f t="shared" si="371"/>
        <v>0</v>
      </c>
      <c r="EI102" s="52">
        <f t="shared" si="371"/>
        <v>0</v>
      </c>
      <c r="EJ102" s="52">
        <f t="shared" si="371"/>
        <v>0</v>
      </c>
      <c r="EK102" s="52">
        <f t="shared" si="371"/>
        <v>0</v>
      </c>
      <c r="EL102" s="52">
        <f t="shared" si="371"/>
        <v>0</v>
      </c>
      <c r="EM102" s="52">
        <f t="shared" si="371"/>
        <v>0</v>
      </c>
      <c r="EN102" s="52">
        <f t="shared" si="371"/>
        <v>0</v>
      </c>
      <c r="EO102" s="52">
        <f t="shared" si="371"/>
        <v>0</v>
      </c>
      <c r="EP102" s="52">
        <f t="shared" si="371"/>
        <v>0</v>
      </c>
      <c r="EQ102" s="52">
        <f t="shared" si="371"/>
        <v>0</v>
      </c>
      <c r="ER102" s="52">
        <f t="shared" si="371"/>
        <v>0</v>
      </c>
      <c r="ES102" s="52">
        <f t="shared" si="371"/>
        <v>0</v>
      </c>
      <c r="ET102" s="52">
        <f t="shared" si="371"/>
        <v>0</v>
      </c>
      <c r="EU102" s="52">
        <f t="shared" si="371"/>
        <v>0</v>
      </c>
      <c r="EV102" s="52">
        <f t="shared" si="371"/>
        <v>0</v>
      </c>
      <c r="EW102" s="52">
        <f t="shared" si="371"/>
        <v>0</v>
      </c>
      <c r="EX102" s="52">
        <f t="shared" si="371"/>
        <v>0</v>
      </c>
      <c r="EY102" s="52">
        <f t="shared" si="371"/>
        <v>0</v>
      </c>
      <c r="EZ102" s="52">
        <f t="shared" si="371"/>
        <v>0</v>
      </c>
      <c r="FA102" s="52">
        <f t="shared" si="371"/>
        <v>0</v>
      </c>
      <c r="FB102" s="52">
        <f t="shared" si="371"/>
        <v>0</v>
      </c>
      <c r="FC102" s="52">
        <f t="shared" si="371"/>
        <v>0</v>
      </c>
      <c r="FD102" s="52">
        <f t="shared" si="371"/>
        <v>0</v>
      </c>
    </row>
    <row r="103" spans="2:160">
      <c r="B103" s="51" t="s">
        <v>183</v>
      </c>
      <c r="C103" s="52">
        <f ca="1">IF(Startup!$C$3="Project",SUMIF(Startup!$C$7:$D$27,Overview!B103,Startup!$D$7:$D$27),(SUMIF(Startup!$C$7:$D$27,Overview!B103,Startup!$D$7:$D$27)*Startup!$C$4))+IF(Pilot!$C$3="Project",SUMIF(Pilot!$C$7:$D$27,Overview!B103,Pilot!$D$7:$D$27),(SUMIF(Pilot!$C$7:$D$27,Overview!B103,Pilot!$D$7:$D$27)*Pilot!$C$4))+IF(PMO!$C$3="Project",SUMIF(PMO!$C$7:$D$27,Overview!B103,PMO!$D$7:$D$27),(SUMIF(PMO!$C$7:$D$27,Overview!B103,PMO!$D$7:$D$27)*PMO!$C$4))+IF('Design &amp; Fulfillment'!$C$3="Project",SUMIF('Design &amp; Fulfillment'!$C$7:$D$27,Overview!B103,'Design &amp; Fulfillment'!$D$7:$D$27),(SUMIF('Design &amp; Fulfillment'!$C$7:$D$27,Overview!B103,'Design &amp; Fulfillment'!$D$7:$D$27)*'Design &amp; Fulfillment'!$C$4))+IF(Workplace!$C$3="Project",SUMIF(Workplace!$C$7:$D$27,Overview!B103,Workplace!$D$7:$D$27),(SUMIF(Workplace!$C$7:$D$27,Overview!B103,Workplace!$D$7:$D$27)*Workplace!$C$4))+IF(Integration!$C$3="Project",SUMIF(Integration!$C$7:$D$27,Overview!B103,Integration!$D$7:$D$27),(SUMIF(Integration!$C$7:$D$27,Overview!B103,Integration!$D$7:$D$27)*Integration!$C$4))+IF(Logistics!$C$3="Project",SUMIF(Logistics!$C$7:$D$27,Overview!B103,Logistics!$D$7:$D$27),(SUMIF(Logistics!$C$7:$D$27,Overview!B103,Logistics!$D$7:$D$27)*Logistics!$C$4))+IF('Service Desk'!$C$3="Project",SUMIF('Service Desk'!$C$7:$D$27,Overview!B103,'Service Desk'!$D$7:$D$27),(SUMIF('Service Desk'!$C$7:$D$27,Overview!B103,'Service Desk'!$D$7:$D$27)*'Service Desk'!$C$4))+IF('Pro Services'!$C$3="Project",SUMIF('Pro Services'!$C$7:$D$27,Overview!B103,'Pro Services'!$D$7:$D$27),(SUMIF('Pro Services'!$C$7:$D$27,Overview!B103,'Pro Services'!$D$7:$D$27)*'Pro Services'!$C$4))</f>
        <v>0</v>
      </c>
      <c r="D103" s="53">
        <f ca="1">IF(Startup!$C$3="Project",SUMIF(Startup!$C$7:$H$27,Overview!B103,Startup!$H$7:$H$27),(SUMIF(Startup!$C$7:$H$27,Overview!B103,Startup!$H$7:$H$27)*Startup!$C$4))+IF(Pilot!$C$3="Project",SUMIF(Pilot!$C$7:$H$27,Overview!B103,Pilot!$H$7:$H$27),(SUMIF(Pilot!$C$7:$H$27,Overview!B103,Pilot!$H$7:$H$27)*Pilot!$C$4))+IF(PMO!$C$3="Project",SUMIF(PMO!$C$7:$H$27,Overview!B103,PMO!$H$7:$H$27),(SUMIF(PMO!$C$7:$H$27,Overview!B103,PMO!$H$7:$H$27)*PMO!$C$4))+IF('Design &amp; Fulfillment'!$C$3="Project",SUMIF('Design &amp; Fulfillment'!$C$7:$H$27,Overview!B103,'Design &amp; Fulfillment'!$H$7:$H$27),(SUMIF('Design &amp; Fulfillment'!$C$7:$H$27,Overview!B103,'Design &amp; Fulfillment'!$H$7:$H$27)*'Design &amp; Fulfillment'!$C$4))+IF(Workplace!$C$3="Project",SUMIF(Workplace!$C$7:$H$27,Overview!B103,Workplace!$H$7:$H$27),(SUMIF(Workplace!$C$7:$H$27,Overview!B103,Workplace!$H$7:$H$27)*Workplace!$C$4))+IF(Integration!$C$3="Project",SUMIF(Integration!$C$7:$H$27,Overview!B103,Integration!$H$7:$H$27),(SUMIF(Integration!$C$7:$H$27,Overview!B103,Integration!$H$7:$H$27)*Integration!$C$4))+IF(Logistics!$C$3="Project",SUMIF(Logistics!$C$7:$H$27,Overview!B103,Logistics!$H$7:$H$27),(SUMIF(Logistics!$C$7:$H$27,Overview!B103,Logistics!$H$7:$H$27)*Logistics!$C$4))+IF('Service Desk'!$C$3="Project",SUMIF('Service Desk'!$C$7:$H$27,Overview!B103,'Service Desk'!$H$7:$H$27),(SUMIF('Service Desk'!$C$7:$H$27,Overview!B103,'Service Desk'!$H$7:$H$27)*'Service Desk'!$C$4))+IF('Pro Services'!$C$3="Project",SUMIF('Pro Services'!$C$7:$H$27,Overview!B103,'Pro Services'!$H$7:$H$27),(SUMIF('Pro Services'!$C$7:$H$27,Overview!B103,'Pro Services'!$H$7:$H$27)*'Pro Services'!$C$4))</f>
        <v>0</v>
      </c>
      <c r="E103" s="52">
        <f t="shared" ca="1" si="120"/>
        <v>0</v>
      </c>
      <c r="F103" s="52">
        <f t="shared" ref="F103:AK103" si="372">IFERROR(IF(F$28="FALSE",0,$C$103/$C$8),0)</f>
        <v>0</v>
      </c>
      <c r="G103" s="52">
        <f t="shared" si="372"/>
        <v>0</v>
      </c>
      <c r="H103" s="52">
        <f t="shared" si="372"/>
        <v>0</v>
      </c>
      <c r="I103" s="52">
        <f t="shared" si="372"/>
        <v>0</v>
      </c>
      <c r="J103" s="52">
        <f t="shared" si="372"/>
        <v>0</v>
      </c>
      <c r="K103" s="52">
        <f t="shared" si="372"/>
        <v>0</v>
      </c>
      <c r="L103" s="52">
        <f t="shared" si="372"/>
        <v>0</v>
      </c>
      <c r="M103" s="52">
        <f t="shared" si="372"/>
        <v>0</v>
      </c>
      <c r="N103" s="52">
        <f t="shared" si="372"/>
        <v>0</v>
      </c>
      <c r="O103" s="52">
        <f t="shared" si="372"/>
        <v>0</v>
      </c>
      <c r="P103" s="52">
        <f t="shared" si="372"/>
        <v>0</v>
      </c>
      <c r="Q103" s="52">
        <f t="shared" si="372"/>
        <v>0</v>
      </c>
      <c r="R103" s="52">
        <f t="shared" si="372"/>
        <v>0</v>
      </c>
      <c r="S103" s="52">
        <f t="shared" si="372"/>
        <v>0</v>
      </c>
      <c r="T103" s="52">
        <f t="shared" si="372"/>
        <v>0</v>
      </c>
      <c r="U103" s="52">
        <f t="shared" si="372"/>
        <v>0</v>
      </c>
      <c r="V103" s="52">
        <f t="shared" si="372"/>
        <v>0</v>
      </c>
      <c r="W103" s="52">
        <f t="shared" si="372"/>
        <v>0</v>
      </c>
      <c r="X103" s="52">
        <f t="shared" si="372"/>
        <v>0</v>
      </c>
      <c r="Y103" s="52">
        <f t="shared" si="372"/>
        <v>0</v>
      </c>
      <c r="Z103" s="52">
        <f t="shared" si="372"/>
        <v>0</v>
      </c>
      <c r="AA103" s="52">
        <f t="shared" si="372"/>
        <v>0</v>
      </c>
      <c r="AB103" s="52">
        <f t="shared" si="372"/>
        <v>0</v>
      </c>
      <c r="AC103" s="52">
        <f t="shared" si="372"/>
        <v>0</v>
      </c>
      <c r="AD103" s="52">
        <f t="shared" si="372"/>
        <v>0</v>
      </c>
      <c r="AE103" s="52">
        <f t="shared" si="372"/>
        <v>0</v>
      </c>
      <c r="AF103" s="52">
        <f t="shared" si="372"/>
        <v>0</v>
      </c>
      <c r="AG103" s="52">
        <f t="shared" si="372"/>
        <v>0</v>
      </c>
      <c r="AH103" s="52">
        <f t="shared" si="372"/>
        <v>0</v>
      </c>
      <c r="AI103" s="52">
        <f t="shared" si="372"/>
        <v>0</v>
      </c>
      <c r="AJ103" s="52">
        <f t="shared" si="372"/>
        <v>0</v>
      </c>
      <c r="AK103" s="52">
        <f t="shared" si="372"/>
        <v>0</v>
      </c>
      <c r="AL103" s="52">
        <f t="shared" ref="AL103:BQ103" si="373">IFERROR(IF(AL$28="FALSE",0,$C$103/$C$8),0)</f>
        <v>0</v>
      </c>
      <c r="AM103" s="52">
        <f t="shared" si="373"/>
        <v>0</v>
      </c>
      <c r="AN103" s="52">
        <f t="shared" si="373"/>
        <v>0</v>
      </c>
      <c r="AO103" s="52">
        <f t="shared" si="373"/>
        <v>0</v>
      </c>
      <c r="AP103" s="52">
        <f t="shared" si="373"/>
        <v>0</v>
      </c>
      <c r="AQ103" s="52">
        <f t="shared" si="373"/>
        <v>0</v>
      </c>
      <c r="AR103" s="52">
        <f t="shared" si="373"/>
        <v>0</v>
      </c>
      <c r="AS103" s="52">
        <f t="shared" si="373"/>
        <v>0</v>
      </c>
      <c r="AT103" s="52">
        <f t="shared" si="373"/>
        <v>0</v>
      </c>
      <c r="AU103" s="52">
        <f t="shared" si="373"/>
        <v>0</v>
      </c>
      <c r="AV103" s="52">
        <f t="shared" si="373"/>
        <v>0</v>
      </c>
      <c r="AW103" s="52">
        <f t="shared" si="373"/>
        <v>0</v>
      </c>
      <c r="AX103" s="52">
        <f t="shared" si="373"/>
        <v>0</v>
      </c>
      <c r="AY103" s="52">
        <f t="shared" si="373"/>
        <v>0</v>
      </c>
      <c r="AZ103" s="52">
        <f t="shared" si="373"/>
        <v>0</v>
      </c>
      <c r="BA103" s="52">
        <f t="shared" si="373"/>
        <v>0</v>
      </c>
      <c r="BB103" s="52">
        <f t="shared" si="373"/>
        <v>0</v>
      </c>
      <c r="BC103" s="52">
        <f t="shared" si="373"/>
        <v>0</v>
      </c>
      <c r="BD103" s="52">
        <f t="shared" si="373"/>
        <v>0</v>
      </c>
      <c r="BE103" s="52">
        <f t="shared" si="373"/>
        <v>0</v>
      </c>
      <c r="BF103" s="52">
        <f t="shared" si="373"/>
        <v>0</v>
      </c>
      <c r="BG103" s="52">
        <f t="shared" si="373"/>
        <v>0</v>
      </c>
      <c r="BH103" s="52">
        <f t="shared" si="373"/>
        <v>0</v>
      </c>
      <c r="BI103" s="52">
        <f t="shared" si="373"/>
        <v>0</v>
      </c>
      <c r="BJ103" s="52">
        <f t="shared" si="373"/>
        <v>0</v>
      </c>
      <c r="BK103" s="52">
        <f t="shared" si="373"/>
        <v>0</v>
      </c>
      <c r="BL103" s="52">
        <f t="shared" si="373"/>
        <v>0</v>
      </c>
      <c r="BM103" s="52">
        <f t="shared" si="373"/>
        <v>0</v>
      </c>
      <c r="BN103" s="52">
        <f t="shared" si="373"/>
        <v>0</v>
      </c>
      <c r="BO103" s="52">
        <f t="shared" si="373"/>
        <v>0</v>
      </c>
      <c r="BP103" s="52">
        <f t="shared" si="373"/>
        <v>0</v>
      </c>
      <c r="BQ103" s="52">
        <f t="shared" si="373"/>
        <v>0</v>
      </c>
      <c r="BR103" s="52">
        <f t="shared" ref="BR103:CW103" si="374">IFERROR(IF(BR$28="FALSE",0,$C$103/$C$8),0)</f>
        <v>0</v>
      </c>
      <c r="BS103" s="52">
        <f t="shared" si="374"/>
        <v>0</v>
      </c>
      <c r="BT103" s="52">
        <f t="shared" si="374"/>
        <v>0</v>
      </c>
      <c r="BU103" s="52">
        <f t="shared" si="374"/>
        <v>0</v>
      </c>
      <c r="BV103" s="52">
        <f t="shared" si="374"/>
        <v>0</v>
      </c>
      <c r="BW103" s="52">
        <f t="shared" si="374"/>
        <v>0</v>
      </c>
      <c r="BX103" s="52">
        <f t="shared" si="374"/>
        <v>0</v>
      </c>
      <c r="BY103" s="52">
        <f t="shared" si="374"/>
        <v>0</v>
      </c>
      <c r="BZ103" s="52">
        <f t="shared" si="374"/>
        <v>0</v>
      </c>
      <c r="CA103" s="52">
        <f t="shared" si="374"/>
        <v>0</v>
      </c>
      <c r="CB103" s="52">
        <f t="shared" si="374"/>
        <v>0</v>
      </c>
      <c r="CC103" s="52">
        <f t="shared" si="374"/>
        <v>0</v>
      </c>
      <c r="CD103" s="52">
        <f t="shared" si="374"/>
        <v>0</v>
      </c>
      <c r="CE103" s="52">
        <f t="shared" si="374"/>
        <v>0</v>
      </c>
      <c r="CF103" s="52">
        <f t="shared" si="374"/>
        <v>0</v>
      </c>
      <c r="CG103" s="52">
        <f t="shared" si="374"/>
        <v>0</v>
      </c>
      <c r="CH103" s="52">
        <f t="shared" si="374"/>
        <v>0</v>
      </c>
      <c r="CI103" s="52">
        <f t="shared" si="374"/>
        <v>0</v>
      </c>
      <c r="CJ103" s="52">
        <f t="shared" si="374"/>
        <v>0</v>
      </c>
      <c r="CK103" s="52">
        <f t="shared" si="374"/>
        <v>0</v>
      </c>
      <c r="CL103" s="52">
        <f t="shared" si="374"/>
        <v>0</v>
      </c>
      <c r="CM103" s="52">
        <f t="shared" si="374"/>
        <v>0</v>
      </c>
      <c r="CN103" s="52">
        <f t="shared" si="374"/>
        <v>0</v>
      </c>
      <c r="CO103" s="52">
        <f t="shared" si="374"/>
        <v>0</v>
      </c>
      <c r="CP103" s="52">
        <f t="shared" si="374"/>
        <v>0</v>
      </c>
      <c r="CQ103" s="52">
        <f t="shared" si="374"/>
        <v>0</v>
      </c>
      <c r="CR103" s="52">
        <f t="shared" si="374"/>
        <v>0</v>
      </c>
      <c r="CS103" s="52">
        <f t="shared" si="374"/>
        <v>0</v>
      </c>
      <c r="CT103" s="52">
        <f t="shared" si="374"/>
        <v>0</v>
      </c>
      <c r="CU103" s="52">
        <f t="shared" si="374"/>
        <v>0</v>
      </c>
      <c r="CV103" s="52">
        <f t="shared" si="374"/>
        <v>0</v>
      </c>
      <c r="CW103" s="52">
        <f t="shared" si="374"/>
        <v>0</v>
      </c>
      <c r="CX103" s="52">
        <f t="shared" ref="CX103:EC103" si="375">IFERROR(IF(CX$28="FALSE",0,$C$103/$C$8),0)</f>
        <v>0</v>
      </c>
      <c r="CY103" s="52">
        <f t="shared" si="375"/>
        <v>0</v>
      </c>
      <c r="CZ103" s="52">
        <f t="shared" si="375"/>
        <v>0</v>
      </c>
      <c r="DA103" s="52">
        <f t="shared" si="375"/>
        <v>0</v>
      </c>
      <c r="DB103" s="52">
        <f t="shared" si="375"/>
        <v>0</v>
      </c>
      <c r="DC103" s="52">
        <f t="shared" si="375"/>
        <v>0</v>
      </c>
      <c r="DD103" s="52">
        <f t="shared" si="375"/>
        <v>0</v>
      </c>
      <c r="DE103" s="52">
        <f t="shared" si="375"/>
        <v>0</v>
      </c>
      <c r="DF103" s="52">
        <f t="shared" si="375"/>
        <v>0</v>
      </c>
      <c r="DG103" s="52">
        <f t="shared" si="375"/>
        <v>0</v>
      </c>
      <c r="DH103" s="52">
        <f t="shared" si="375"/>
        <v>0</v>
      </c>
      <c r="DI103" s="52">
        <f t="shared" si="375"/>
        <v>0</v>
      </c>
      <c r="DJ103" s="52">
        <f t="shared" si="375"/>
        <v>0</v>
      </c>
      <c r="DK103" s="52">
        <f t="shared" si="375"/>
        <v>0</v>
      </c>
      <c r="DL103" s="52">
        <f t="shared" si="375"/>
        <v>0</v>
      </c>
      <c r="DM103" s="52">
        <f t="shared" si="375"/>
        <v>0</v>
      </c>
      <c r="DN103" s="52">
        <f t="shared" si="375"/>
        <v>0</v>
      </c>
      <c r="DO103" s="52">
        <f t="shared" si="375"/>
        <v>0</v>
      </c>
      <c r="DP103" s="52">
        <f t="shared" si="375"/>
        <v>0</v>
      </c>
      <c r="DQ103" s="52">
        <f t="shared" si="375"/>
        <v>0</v>
      </c>
      <c r="DR103" s="52">
        <f t="shared" si="375"/>
        <v>0</v>
      </c>
      <c r="DS103" s="52">
        <f t="shared" si="375"/>
        <v>0</v>
      </c>
      <c r="DT103" s="52">
        <f t="shared" si="375"/>
        <v>0</v>
      </c>
      <c r="DU103" s="52">
        <f t="shared" si="375"/>
        <v>0</v>
      </c>
      <c r="DV103" s="52">
        <f t="shared" si="375"/>
        <v>0</v>
      </c>
      <c r="DW103" s="52">
        <f t="shared" si="375"/>
        <v>0</v>
      </c>
      <c r="DX103" s="52">
        <f t="shared" si="375"/>
        <v>0</v>
      </c>
      <c r="DY103" s="52">
        <f t="shared" si="375"/>
        <v>0</v>
      </c>
      <c r="DZ103" s="52">
        <f t="shared" si="375"/>
        <v>0</v>
      </c>
      <c r="EA103" s="52">
        <f t="shared" si="375"/>
        <v>0</v>
      </c>
      <c r="EB103" s="52">
        <f t="shared" si="375"/>
        <v>0</v>
      </c>
      <c r="EC103" s="52">
        <f t="shared" si="375"/>
        <v>0</v>
      </c>
      <c r="ED103" s="52">
        <f t="shared" ref="ED103:FD103" si="376">IFERROR(IF(ED$28="FALSE",0,$C$103/$C$8),0)</f>
        <v>0</v>
      </c>
      <c r="EE103" s="52">
        <f t="shared" si="376"/>
        <v>0</v>
      </c>
      <c r="EF103" s="52">
        <f t="shared" si="376"/>
        <v>0</v>
      </c>
      <c r="EG103" s="52">
        <f t="shared" si="376"/>
        <v>0</v>
      </c>
      <c r="EH103" s="52">
        <f t="shared" si="376"/>
        <v>0</v>
      </c>
      <c r="EI103" s="52">
        <f t="shared" si="376"/>
        <v>0</v>
      </c>
      <c r="EJ103" s="52">
        <f t="shared" si="376"/>
        <v>0</v>
      </c>
      <c r="EK103" s="52">
        <f t="shared" si="376"/>
        <v>0</v>
      </c>
      <c r="EL103" s="52">
        <f t="shared" si="376"/>
        <v>0</v>
      </c>
      <c r="EM103" s="52">
        <f t="shared" si="376"/>
        <v>0</v>
      </c>
      <c r="EN103" s="52">
        <f t="shared" si="376"/>
        <v>0</v>
      </c>
      <c r="EO103" s="52">
        <f t="shared" si="376"/>
        <v>0</v>
      </c>
      <c r="EP103" s="52">
        <f t="shared" si="376"/>
        <v>0</v>
      </c>
      <c r="EQ103" s="52">
        <f t="shared" si="376"/>
        <v>0</v>
      </c>
      <c r="ER103" s="52">
        <f t="shared" si="376"/>
        <v>0</v>
      </c>
      <c r="ES103" s="52">
        <f t="shared" si="376"/>
        <v>0</v>
      </c>
      <c r="ET103" s="52">
        <f t="shared" si="376"/>
        <v>0</v>
      </c>
      <c r="EU103" s="52">
        <f t="shared" si="376"/>
        <v>0</v>
      </c>
      <c r="EV103" s="52">
        <f t="shared" si="376"/>
        <v>0</v>
      </c>
      <c r="EW103" s="52">
        <f t="shared" si="376"/>
        <v>0</v>
      </c>
      <c r="EX103" s="52">
        <f t="shared" si="376"/>
        <v>0</v>
      </c>
      <c r="EY103" s="52">
        <f t="shared" si="376"/>
        <v>0</v>
      </c>
      <c r="EZ103" s="52">
        <f t="shared" si="376"/>
        <v>0</v>
      </c>
      <c r="FA103" s="52">
        <f t="shared" si="376"/>
        <v>0</v>
      </c>
      <c r="FB103" s="52">
        <f t="shared" si="376"/>
        <v>0</v>
      </c>
      <c r="FC103" s="52">
        <f t="shared" si="376"/>
        <v>0</v>
      </c>
      <c r="FD103" s="52">
        <f t="shared" si="376"/>
        <v>0</v>
      </c>
    </row>
    <row r="104" spans="2:160">
      <c r="B104" s="51" t="s">
        <v>184</v>
      </c>
      <c r="C104" s="52">
        <f ca="1">IF(Startup!$C$3="Project",SUMIF(Startup!$C$7:$D$27,Overview!B104,Startup!$D$7:$D$27),(SUMIF(Startup!$C$7:$D$27,Overview!B104,Startup!$D$7:$D$27)*Startup!$C$4))+IF(Pilot!$C$3="Project",SUMIF(Pilot!$C$7:$D$27,Overview!B104,Pilot!$D$7:$D$27),(SUMIF(Pilot!$C$7:$D$27,Overview!B104,Pilot!$D$7:$D$27)*Pilot!$C$4))+IF(PMO!$C$3="Project",SUMIF(PMO!$C$7:$D$27,Overview!B104,PMO!$D$7:$D$27),(SUMIF(PMO!$C$7:$D$27,Overview!B104,PMO!$D$7:$D$27)*PMO!$C$4))+IF('Design &amp; Fulfillment'!$C$3="Project",SUMIF('Design &amp; Fulfillment'!$C$7:$D$27,Overview!B104,'Design &amp; Fulfillment'!$D$7:$D$27),(SUMIF('Design &amp; Fulfillment'!$C$7:$D$27,Overview!B104,'Design &amp; Fulfillment'!$D$7:$D$27)*'Design &amp; Fulfillment'!$C$4))+IF(Workplace!$C$3="Project",SUMIF(Workplace!$C$7:$D$27,Overview!B104,Workplace!$D$7:$D$27),(SUMIF(Workplace!$C$7:$D$27,Overview!B104,Workplace!$D$7:$D$27)*Workplace!$C$4))+IF(Integration!$C$3="Project",SUMIF(Integration!$C$7:$D$27,Overview!B104,Integration!$D$7:$D$27),(SUMIF(Integration!$C$7:$D$27,Overview!B104,Integration!$D$7:$D$27)*Integration!$C$4))+IF(Logistics!$C$3="Project",SUMIF(Logistics!$C$7:$D$27,Overview!B104,Logistics!$D$7:$D$27),(SUMIF(Logistics!$C$7:$D$27,Overview!B104,Logistics!$D$7:$D$27)*Logistics!$C$4))+IF('Service Desk'!$C$3="Project",SUMIF('Service Desk'!$C$7:$D$27,Overview!B104,'Service Desk'!$D$7:$D$27),(SUMIF('Service Desk'!$C$7:$D$27,Overview!B104,'Service Desk'!$D$7:$D$27)*'Service Desk'!$C$4))+IF('Pro Services'!$C$3="Project",SUMIF('Pro Services'!$C$7:$D$27,Overview!B104,'Pro Services'!$D$7:$D$27),(SUMIF('Pro Services'!$C$7:$D$27,Overview!B104,'Pro Services'!$D$7:$D$27)*'Pro Services'!$C$4))</f>
        <v>0</v>
      </c>
      <c r="D104" s="53">
        <f ca="1">IF(Startup!$C$3="Project",SUMIF(Startup!$C$7:$H$27,Overview!B104,Startup!$H$7:$H$27),(SUMIF(Startup!$C$7:$H$27,Overview!B104,Startup!$H$7:$H$27)*Startup!$C$4))+IF(Pilot!$C$3="Project",SUMIF(Pilot!$C$7:$H$27,Overview!B104,Pilot!$H$7:$H$27),(SUMIF(Pilot!$C$7:$H$27,Overview!B104,Pilot!$H$7:$H$27)*Pilot!$C$4))+IF(PMO!$C$3="Project",SUMIF(PMO!$C$7:$H$27,Overview!B104,PMO!$H$7:$H$27),(SUMIF(PMO!$C$7:$H$27,Overview!B104,PMO!$H$7:$H$27)*PMO!$C$4))+IF('Design &amp; Fulfillment'!$C$3="Project",SUMIF('Design &amp; Fulfillment'!$C$7:$H$27,Overview!B104,'Design &amp; Fulfillment'!$H$7:$H$27),(SUMIF('Design &amp; Fulfillment'!$C$7:$H$27,Overview!B104,'Design &amp; Fulfillment'!$H$7:$H$27)*'Design &amp; Fulfillment'!$C$4))+IF(Workplace!$C$3="Project",SUMIF(Workplace!$C$7:$H$27,Overview!B104,Workplace!$H$7:$H$27),(SUMIF(Workplace!$C$7:$H$27,Overview!B104,Workplace!$H$7:$H$27)*Workplace!$C$4))+IF(Integration!$C$3="Project",SUMIF(Integration!$C$7:$H$27,Overview!B104,Integration!$H$7:$H$27),(SUMIF(Integration!$C$7:$H$27,Overview!B104,Integration!$H$7:$H$27)*Integration!$C$4))+IF(Logistics!$C$3="Project",SUMIF(Logistics!$C$7:$H$27,Overview!B104,Logistics!$H$7:$H$27),(SUMIF(Logistics!$C$7:$H$27,Overview!B104,Logistics!$H$7:$H$27)*Logistics!$C$4))+IF('Service Desk'!$C$3="Project",SUMIF('Service Desk'!$C$7:$H$27,Overview!B104,'Service Desk'!$H$7:$H$27),(SUMIF('Service Desk'!$C$7:$H$27,Overview!B104,'Service Desk'!$H$7:$H$27)*'Service Desk'!$C$4))+IF('Pro Services'!$C$3="Project",SUMIF('Pro Services'!$C$7:$H$27,Overview!B104,'Pro Services'!$H$7:$H$27),(SUMIF('Pro Services'!$C$7:$H$27,Overview!B104,'Pro Services'!$H$7:$H$27)*'Pro Services'!$C$4))</f>
        <v>0</v>
      </c>
      <c r="E104" s="52">
        <f t="shared" ca="1" si="120"/>
        <v>0</v>
      </c>
      <c r="F104" s="52">
        <f t="shared" ref="F104:AK104" si="377">IFERROR(IF(F$28="FALSE",0,$C$104/$C$8),0)</f>
        <v>0</v>
      </c>
      <c r="G104" s="52">
        <f t="shared" si="377"/>
        <v>0</v>
      </c>
      <c r="H104" s="52">
        <f t="shared" si="377"/>
        <v>0</v>
      </c>
      <c r="I104" s="52">
        <f t="shared" si="377"/>
        <v>0</v>
      </c>
      <c r="J104" s="52">
        <f t="shared" si="377"/>
        <v>0</v>
      </c>
      <c r="K104" s="52">
        <f t="shared" si="377"/>
        <v>0</v>
      </c>
      <c r="L104" s="52">
        <f t="shared" si="377"/>
        <v>0</v>
      </c>
      <c r="M104" s="52">
        <f t="shared" si="377"/>
        <v>0</v>
      </c>
      <c r="N104" s="52">
        <f t="shared" si="377"/>
        <v>0</v>
      </c>
      <c r="O104" s="52">
        <f t="shared" si="377"/>
        <v>0</v>
      </c>
      <c r="P104" s="52">
        <f t="shared" si="377"/>
        <v>0</v>
      </c>
      <c r="Q104" s="52">
        <f t="shared" si="377"/>
        <v>0</v>
      </c>
      <c r="R104" s="52">
        <f t="shared" si="377"/>
        <v>0</v>
      </c>
      <c r="S104" s="52">
        <f t="shared" si="377"/>
        <v>0</v>
      </c>
      <c r="T104" s="52">
        <f t="shared" si="377"/>
        <v>0</v>
      </c>
      <c r="U104" s="52">
        <f t="shared" si="377"/>
        <v>0</v>
      </c>
      <c r="V104" s="52">
        <f t="shared" si="377"/>
        <v>0</v>
      </c>
      <c r="W104" s="52">
        <f t="shared" si="377"/>
        <v>0</v>
      </c>
      <c r="X104" s="52">
        <f t="shared" si="377"/>
        <v>0</v>
      </c>
      <c r="Y104" s="52">
        <f t="shared" si="377"/>
        <v>0</v>
      </c>
      <c r="Z104" s="52">
        <f t="shared" si="377"/>
        <v>0</v>
      </c>
      <c r="AA104" s="52">
        <f t="shared" si="377"/>
        <v>0</v>
      </c>
      <c r="AB104" s="52">
        <f t="shared" si="377"/>
        <v>0</v>
      </c>
      <c r="AC104" s="52">
        <f t="shared" si="377"/>
        <v>0</v>
      </c>
      <c r="AD104" s="52">
        <f t="shared" si="377"/>
        <v>0</v>
      </c>
      <c r="AE104" s="52">
        <f t="shared" si="377"/>
        <v>0</v>
      </c>
      <c r="AF104" s="52">
        <f t="shared" si="377"/>
        <v>0</v>
      </c>
      <c r="AG104" s="52">
        <f t="shared" si="377"/>
        <v>0</v>
      </c>
      <c r="AH104" s="52">
        <f t="shared" si="377"/>
        <v>0</v>
      </c>
      <c r="AI104" s="52">
        <f t="shared" si="377"/>
        <v>0</v>
      </c>
      <c r="AJ104" s="52">
        <f t="shared" si="377"/>
        <v>0</v>
      </c>
      <c r="AK104" s="52">
        <f t="shared" si="377"/>
        <v>0</v>
      </c>
      <c r="AL104" s="52">
        <f t="shared" ref="AL104:BQ104" si="378">IFERROR(IF(AL$28="FALSE",0,$C$104/$C$8),0)</f>
        <v>0</v>
      </c>
      <c r="AM104" s="52">
        <f t="shared" si="378"/>
        <v>0</v>
      </c>
      <c r="AN104" s="52">
        <f t="shared" si="378"/>
        <v>0</v>
      </c>
      <c r="AO104" s="52">
        <f t="shared" si="378"/>
        <v>0</v>
      </c>
      <c r="AP104" s="52">
        <f t="shared" si="378"/>
        <v>0</v>
      </c>
      <c r="AQ104" s="52">
        <f t="shared" si="378"/>
        <v>0</v>
      </c>
      <c r="AR104" s="52">
        <f t="shared" si="378"/>
        <v>0</v>
      </c>
      <c r="AS104" s="52">
        <f t="shared" si="378"/>
        <v>0</v>
      </c>
      <c r="AT104" s="52">
        <f t="shared" si="378"/>
        <v>0</v>
      </c>
      <c r="AU104" s="52">
        <f t="shared" si="378"/>
        <v>0</v>
      </c>
      <c r="AV104" s="52">
        <f t="shared" si="378"/>
        <v>0</v>
      </c>
      <c r="AW104" s="52">
        <f t="shared" si="378"/>
        <v>0</v>
      </c>
      <c r="AX104" s="52">
        <f t="shared" si="378"/>
        <v>0</v>
      </c>
      <c r="AY104" s="52">
        <f t="shared" si="378"/>
        <v>0</v>
      </c>
      <c r="AZ104" s="52">
        <f t="shared" si="378"/>
        <v>0</v>
      </c>
      <c r="BA104" s="52">
        <f t="shared" si="378"/>
        <v>0</v>
      </c>
      <c r="BB104" s="52">
        <f t="shared" si="378"/>
        <v>0</v>
      </c>
      <c r="BC104" s="52">
        <f t="shared" si="378"/>
        <v>0</v>
      </c>
      <c r="BD104" s="52">
        <f t="shared" si="378"/>
        <v>0</v>
      </c>
      <c r="BE104" s="52">
        <f t="shared" si="378"/>
        <v>0</v>
      </c>
      <c r="BF104" s="52">
        <f t="shared" si="378"/>
        <v>0</v>
      </c>
      <c r="BG104" s="52">
        <f t="shared" si="378"/>
        <v>0</v>
      </c>
      <c r="BH104" s="52">
        <f t="shared" si="378"/>
        <v>0</v>
      </c>
      <c r="BI104" s="52">
        <f t="shared" si="378"/>
        <v>0</v>
      </c>
      <c r="BJ104" s="52">
        <f t="shared" si="378"/>
        <v>0</v>
      </c>
      <c r="BK104" s="52">
        <f t="shared" si="378"/>
        <v>0</v>
      </c>
      <c r="BL104" s="52">
        <f t="shared" si="378"/>
        <v>0</v>
      </c>
      <c r="BM104" s="52">
        <f t="shared" si="378"/>
        <v>0</v>
      </c>
      <c r="BN104" s="52">
        <f t="shared" si="378"/>
        <v>0</v>
      </c>
      <c r="BO104" s="52">
        <f t="shared" si="378"/>
        <v>0</v>
      </c>
      <c r="BP104" s="52">
        <f t="shared" si="378"/>
        <v>0</v>
      </c>
      <c r="BQ104" s="52">
        <f t="shared" si="378"/>
        <v>0</v>
      </c>
      <c r="BR104" s="52">
        <f t="shared" ref="BR104:CW104" si="379">IFERROR(IF(BR$28="FALSE",0,$C$104/$C$8),0)</f>
        <v>0</v>
      </c>
      <c r="BS104" s="52">
        <f t="shared" si="379"/>
        <v>0</v>
      </c>
      <c r="BT104" s="52">
        <f t="shared" si="379"/>
        <v>0</v>
      </c>
      <c r="BU104" s="52">
        <f t="shared" si="379"/>
        <v>0</v>
      </c>
      <c r="BV104" s="52">
        <f t="shared" si="379"/>
        <v>0</v>
      </c>
      <c r="BW104" s="52">
        <f t="shared" si="379"/>
        <v>0</v>
      </c>
      <c r="BX104" s="52">
        <f t="shared" si="379"/>
        <v>0</v>
      </c>
      <c r="BY104" s="52">
        <f t="shared" si="379"/>
        <v>0</v>
      </c>
      <c r="BZ104" s="52">
        <f t="shared" si="379"/>
        <v>0</v>
      </c>
      <c r="CA104" s="52">
        <f t="shared" si="379"/>
        <v>0</v>
      </c>
      <c r="CB104" s="52">
        <f t="shared" si="379"/>
        <v>0</v>
      </c>
      <c r="CC104" s="52">
        <f t="shared" si="379"/>
        <v>0</v>
      </c>
      <c r="CD104" s="52">
        <f t="shared" si="379"/>
        <v>0</v>
      </c>
      <c r="CE104" s="52">
        <f t="shared" si="379"/>
        <v>0</v>
      </c>
      <c r="CF104" s="52">
        <f t="shared" si="379"/>
        <v>0</v>
      </c>
      <c r="CG104" s="52">
        <f t="shared" si="379"/>
        <v>0</v>
      </c>
      <c r="CH104" s="52">
        <f t="shared" si="379"/>
        <v>0</v>
      </c>
      <c r="CI104" s="52">
        <f t="shared" si="379"/>
        <v>0</v>
      </c>
      <c r="CJ104" s="52">
        <f t="shared" si="379"/>
        <v>0</v>
      </c>
      <c r="CK104" s="52">
        <f t="shared" si="379"/>
        <v>0</v>
      </c>
      <c r="CL104" s="52">
        <f t="shared" si="379"/>
        <v>0</v>
      </c>
      <c r="CM104" s="52">
        <f t="shared" si="379"/>
        <v>0</v>
      </c>
      <c r="CN104" s="52">
        <f t="shared" si="379"/>
        <v>0</v>
      </c>
      <c r="CO104" s="52">
        <f t="shared" si="379"/>
        <v>0</v>
      </c>
      <c r="CP104" s="52">
        <f t="shared" si="379"/>
        <v>0</v>
      </c>
      <c r="CQ104" s="52">
        <f t="shared" si="379"/>
        <v>0</v>
      </c>
      <c r="CR104" s="52">
        <f t="shared" si="379"/>
        <v>0</v>
      </c>
      <c r="CS104" s="52">
        <f t="shared" si="379"/>
        <v>0</v>
      </c>
      <c r="CT104" s="52">
        <f t="shared" si="379"/>
        <v>0</v>
      </c>
      <c r="CU104" s="52">
        <f t="shared" si="379"/>
        <v>0</v>
      </c>
      <c r="CV104" s="52">
        <f t="shared" si="379"/>
        <v>0</v>
      </c>
      <c r="CW104" s="52">
        <f t="shared" si="379"/>
        <v>0</v>
      </c>
      <c r="CX104" s="52">
        <f t="shared" ref="CX104:EC104" si="380">IFERROR(IF(CX$28="FALSE",0,$C$104/$C$8),0)</f>
        <v>0</v>
      </c>
      <c r="CY104" s="52">
        <f t="shared" si="380"/>
        <v>0</v>
      </c>
      <c r="CZ104" s="52">
        <f t="shared" si="380"/>
        <v>0</v>
      </c>
      <c r="DA104" s="52">
        <f t="shared" si="380"/>
        <v>0</v>
      </c>
      <c r="DB104" s="52">
        <f t="shared" si="380"/>
        <v>0</v>
      </c>
      <c r="DC104" s="52">
        <f t="shared" si="380"/>
        <v>0</v>
      </c>
      <c r="DD104" s="52">
        <f t="shared" si="380"/>
        <v>0</v>
      </c>
      <c r="DE104" s="52">
        <f t="shared" si="380"/>
        <v>0</v>
      </c>
      <c r="DF104" s="52">
        <f t="shared" si="380"/>
        <v>0</v>
      </c>
      <c r="DG104" s="52">
        <f t="shared" si="380"/>
        <v>0</v>
      </c>
      <c r="DH104" s="52">
        <f t="shared" si="380"/>
        <v>0</v>
      </c>
      <c r="DI104" s="52">
        <f t="shared" si="380"/>
        <v>0</v>
      </c>
      <c r="DJ104" s="52">
        <f t="shared" si="380"/>
        <v>0</v>
      </c>
      <c r="DK104" s="52">
        <f t="shared" si="380"/>
        <v>0</v>
      </c>
      <c r="DL104" s="52">
        <f t="shared" si="380"/>
        <v>0</v>
      </c>
      <c r="DM104" s="52">
        <f t="shared" si="380"/>
        <v>0</v>
      </c>
      <c r="DN104" s="52">
        <f t="shared" si="380"/>
        <v>0</v>
      </c>
      <c r="DO104" s="52">
        <f t="shared" si="380"/>
        <v>0</v>
      </c>
      <c r="DP104" s="52">
        <f t="shared" si="380"/>
        <v>0</v>
      </c>
      <c r="DQ104" s="52">
        <f t="shared" si="380"/>
        <v>0</v>
      </c>
      <c r="DR104" s="52">
        <f t="shared" si="380"/>
        <v>0</v>
      </c>
      <c r="DS104" s="52">
        <f t="shared" si="380"/>
        <v>0</v>
      </c>
      <c r="DT104" s="52">
        <f t="shared" si="380"/>
        <v>0</v>
      </c>
      <c r="DU104" s="52">
        <f t="shared" si="380"/>
        <v>0</v>
      </c>
      <c r="DV104" s="52">
        <f t="shared" si="380"/>
        <v>0</v>
      </c>
      <c r="DW104" s="52">
        <f t="shared" si="380"/>
        <v>0</v>
      </c>
      <c r="DX104" s="52">
        <f t="shared" si="380"/>
        <v>0</v>
      </c>
      <c r="DY104" s="52">
        <f t="shared" si="380"/>
        <v>0</v>
      </c>
      <c r="DZ104" s="52">
        <f t="shared" si="380"/>
        <v>0</v>
      </c>
      <c r="EA104" s="52">
        <f t="shared" si="380"/>
        <v>0</v>
      </c>
      <c r="EB104" s="52">
        <f t="shared" si="380"/>
        <v>0</v>
      </c>
      <c r="EC104" s="52">
        <f t="shared" si="380"/>
        <v>0</v>
      </c>
      <c r="ED104" s="52">
        <f t="shared" ref="ED104:FD104" si="381">IFERROR(IF(ED$28="FALSE",0,$C$104/$C$8),0)</f>
        <v>0</v>
      </c>
      <c r="EE104" s="52">
        <f t="shared" si="381"/>
        <v>0</v>
      </c>
      <c r="EF104" s="52">
        <f t="shared" si="381"/>
        <v>0</v>
      </c>
      <c r="EG104" s="52">
        <f t="shared" si="381"/>
        <v>0</v>
      </c>
      <c r="EH104" s="52">
        <f t="shared" si="381"/>
        <v>0</v>
      </c>
      <c r="EI104" s="52">
        <f t="shared" si="381"/>
        <v>0</v>
      </c>
      <c r="EJ104" s="52">
        <f t="shared" si="381"/>
        <v>0</v>
      </c>
      <c r="EK104" s="52">
        <f t="shared" si="381"/>
        <v>0</v>
      </c>
      <c r="EL104" s="52">
        <f t="shared" si="381"/>
        <v>0</v>
      </c>
      <c r="EM104" s="52">
        <f t="shared" si="381"/>
        <v>0</v>
      </c>
      <c r="EN104" s="52">
        <f t="shared" si="381"/>
        <v>0</v>
      </c>
      <c r="EO104" s="52">
        <f t="shared" si="381"/>
        <v>0</v>
      </c>
      <c r="EP104" s="52">
        <f t="shared" si="381"/>
        <v>0</v>
      </c>
      <c r="EQ104" s="52">
        <f t="shared" si="381"/>
        <v>0</v>
      </c>
      <c r="ER104" s="52">
        <f t="shared" si="381"/>
        <v>0</v>
      </c>
      <c r="ES104" s="52">
        <f t="shared" si="381"/>
        <v>0</v>
      </c>
      <c r="ET104" s="52">
        <f t="shared" si="381"/>
        <v>0</v>
      </c>
      <c r="EU104" s="52">
        <f t="shared" si="381"/>
        <v>0</v>
      </c>
      <c r="EV104" s="52">
        <f t="shared" si="381"/>
        <v>0</v>
      </c>
      <c r="EW104" s="52">
        <f t="shared" si="381"/>
        <v>0</v>
      </c>
      <c r="EX104" s="52">
        <f t="shared" si="381"/>
        <v>0</v>
      </c>
      <c r="EY104" s="52">
        <f t="shared" si="381"/>
        <v>0</v>
      </c>
      <c r="EZ104" s="52">
        <f t="shared" si="381"/>
        <v>0</v>
      </c>
      <c r="FA104" s="52">
        <f t="shared" si="381"/>
        <v>0</v>
      </c>
      <c r="FB104" s="52">
        <f t="shared" si="381"/>
        <v>0</v>
      </c>
      <c r="FC104" s="52">
        <f t="shared" si="381"/>
        <v>0</v>
      </c>
      <c r="FD104" s="52">
        <f t="shared" si="381"/>
        <v>0</v>
      </c>
    </row>
    <row r="105" spans="2:160">
      <c r="B105" s="51" t="s">
        <v>185</v>
      </c>
      <c r="C105" s="52">
        <f ca="1">IF(Startup!$C$3="Project",SUMIF(Startup!$C$7:$D$27,Overview!B105,Startup!$D$7:$D$27),(SUMIF(Startup!$C$7:$D$27,Overview!B105,Startup!$D$7:$D$27)*Startup!$C$4))+IF(Pilot!$C$3="Project",SUMIF(Pilot!$C$7:$D$27,Overview!B105,Pilot!$D$7:$D$27),(SUMIF(Pilot!$C$7:$D$27,Overview!B105,Pilot!$D$7:$D$27)*Pilot!$C$4))+IF(PMO!$C$3="Project",SUMIF(PMO!$C$7:$D$27,Overview!B105,PMO!$D$7:$D$27),(SUMIF(PMO!$C$7:$D$27,Overview!B105,PMO!$D$7:$D$27)*PMO!$C$4))+IF('Design &amp; Fulfillment'!$C$3="Project",SUMIF('Design &amp; Fulfillment'!$C$7:$D$27,Overview!B105,'Design &amp; Fulfillment'!$D$7:$D$27),(SUMIF('Design &amp; Fulfillment'!$C$7:$D$27,Overview!B105,'Design &amp; Fulfillment'!$D$7:$D$27)*'Design &amp; Fulfillment'!$C$4))+IF(Workplace!$C$3="Project",SUMIF(Workplace!$C$7:$D$27,Overview!B105,Workplace!$D$7:$D$27),(SUMIF(Workplace!$C$7:$D$27,Overview!B105,Workplace!$D$7:$D$27)*Workplace!$C$4))+IF(Integration!$C$3="Project",SUMIF(Integration!$C$7:$D$27,Overview!B105,Integration!$D$7:$D$27),(SUMIF(Integration!$C$7:$D$27,Overview!B105,Integration!$D$7:$D$27)*Integration!$C$4))+IF(Logistics!$C$3="Project",SUMIF(Logistics!$C$7:$D$27,Overview!B105,Logistics!$D$7:$D$27),(SUMIF(Logistics!$C$7:$D$27,Overview!B105,Logistics!$D$7:$D$27)*Logistics!$C$4))+IF('Service Desk'!$C$3="Project",SUMIF('Service Desk'!$C$7:$D$27,Overview!B105,'Service Desk'!$D$7:$D$27),(SUMIF('Service Desk'!$C$7:$D$27,Overview!B105,'Service Desk'!$D$7:$D$27)*'Service Desk'!$C$4))+IF('Pro Services'!$C$3="Project",SUMIF('Pro Services'!$C$7:$D$27,Overview!B105,'Pro Services'!$D$7:$D$27),(SUMIF('Pro Services'!$C$7:$D$27,Overview!B105,'Pro Services'!$D$7:$D$27)*'Pro Services'!$C$4))</f>
        <v>0</v>
      </c>
      <c r="D105" s="53">
        <f ca="1">IF(Startup!$C$3="Project",SUMIF(Startup!$C$7:$H$27,Overview!B105,Startup!$H$7:$H$27),(SUMIF(Startup!$C$7:$H$27,Overview!B105,Startup!$H$7:$H$27)*Startup!$C$4))+IF(Pilot!$C$3="Project",SUMIF(Pilot!$C$7:$H$27,Overview!B105,Pilot!$H$7:$H$27),(SUMIF(Pilot!$C$7:$H$27,Overview!B105,Pilot!$H$7:$H$27)*Pilot!$C$4))+IF(PMO!$C$3="Project",SUMIF(PMO!$C$7:$H$27,Overview!B105,PMO!$H$7:$H$27),(SUMIF(PMO!$C$7:$H$27,Overview!B105,PMO!$H$7:$H$27)*PMO!$C$4))+IF('Design &amp; Fulfillment'!$C$3="Project",SUMIF('Design &amp; Fulfillment'!$C$7:$H$27,Overview!B105,'Design &amp; Fulfillment'!$H$7:$H$27),(SUMIF('Design &amp; Fulfillment'!$C$7:$H$27,Overview!B105,'Design &amp; Fulfillment'!$H$7:$H$27)*'Design &amp; Fulfillment'!$C$4))+IF(Workplace!$C$3="Project",SUMIF(Workplace!$C$7:$H$27,Overview!B105,Workplace!$H$7:$H$27),(SUMIF(Workplace!$C$7:$H$27,Overview!B105,Workplace!$H$7:$H$27)*Workplace!$C$4))+IF(Integration!$C$3="Project",SUMIF(Integration!$C$7:$H$27,Overview!B105,Integration!$H$7:$H$27),(SUMIF(Integration!$C$7:$H$27,Overview!B105,Integration!$H$7:$H$27)*Integration!$C$4))+IF(Logistics!$C$3="Project",SUMIF(Logistics!$C$7:$H$27,Overview!B105,Logistics!$H$7:$H$27),(SUMIF(Logistics!$C$7:$H$27,Overview!B105,Logistics!$H$7:$H$27)*Logistics!$C$4))+IF('Service Desk'!$C$3="Project",SUMIF('Service Desk'!$C$7:$H$27,Overview!B105,'Service Desk'!$H$7:$H$27),(SUMIF('Service Desk'!$C$7:$H$27,Overview!B105,'Service Desk'!$H$7:$H$27)*'Service Desk'!$C$4))+IF('Pro Services'!$C$3="Project",SUMIF('Pro Services'!$C$7:$H$27,Overview!B105,'Pro Services'!$H$7:$H$27),(SUMIF('Pro Services'!$C$7:$H$27,Overview!B105,'Pro Services'!$H$7:$H$27)*'Pro Services'!$C$4))</f>
        <v>0</v>
      </c>
      <c r="E105" s="52">
        <f t="shared" ca="1" si="120"/>
        <v>0</v>
      </c>
      <c r="F105" s="52">
        <f t="shared" ref="F105:AK105" si="382">IFERROR(IF(F$28="FALSE",0,$C$105/$C$8),0)</f>
        <v>0</v>
      </c>
      <c r="G105" s="52">
        <f t="shared" si="382"/>
        <v>0</v>
      </c>
      <c r="H105" s="52">
        <f t="shared" si="382"/>
        <v>0</v>
      </c>
      <c r="I105" s="52">
        <f t="shared" si="382"/>
        <v>0</v>
      </c>
      <c r="J105" s="52">
        <f t="shared" si="382"/>
        <v>0</v>
      </c>
      <c r="K105" s="52">
        <f t="shared" si="382"/>
        <v>0</v>
      </c>
      <c r="L105" s="52">
        <f t="shared" si="382"/>
        <v>0</v>
      </c>
      <c r="M105" s="52">
        <f t="shared" si="382"/>
        <v>0</v>
      </c>
      <c r="N105" s="52">
        <f t="shared" si="382"/>
        <v>0</v>
      </c>
      <c r="O105" s="52">
        <f t="shared" si="382"/>
        <v>0</v>
      </c>
      <c r="P105" s="52">
        <f t="shared" si="382"/>
        <v>0</v>
      </c>
      <c r="Q105" s="52">
        <f t="shared" si="382"/>
        <v>0</v>
      </c>
      <c r="R105" s="52">
        <f t="shared" si="382"/>
        <v>0</v>
      </c>
      <c r="S105" s="52">
        <f t="shared" si="382"/>
        <v>0</v>
      </c>
      <c r="T105" s="52">
        <f t="shared" si="382"/>
        <v>0</v>
      </c>
      <c r="U105" s="52">
        <f t="shared" si="382"/>
        <v>0</v>
      </c>
      <c r="V105" s="52">
        <f t="shared" si="382"/>
        <v>0</v>
      </c>
      <c r="W105" s="52">
        <f t="shared" si="382"/>
        <v>0</v>
      </c>
      <c r="X105" s="52">
        <f t="shared" si="382"/>
        <v>0</v>
      </c>
      <c r="Y105" s="52">
        <f t="shared" si="382"/>
        <v>0</v>
      </c>
      <c r="Z105" s="52">
        <f t="shared" si="382"/>
        <v>0</v>
      </c>
      <c r="AA105" s="52">
        <f t="shared" si="382"/>
        <v>0</v>
      </c>
      <c r="AB105" s="52">
        <f t="shared" si="382"/>
        <v>0</v>
      </c>
      <c r="AC105" s="52">
        <f t="shared" si="382"/>
        <v>0</v>
      </c>
      <c r="AD105" s="52">
        <f t="shared" si="382"/>
        <v>0</v>
      </c>
      <c r="AE105" s="52">
        <f t="shared" si="382"/>
        <v>0</v>
      </c>
      <c r="AF105" s="52">
        <f t="shared" si="382"/>
        <v>0</v>
      </c>
      <c r="AG105" s="52">
        <f t="shared" si="382"/>
        <v>0</v>
      </c>
      <c r="AH105" s="52">
        <f t="shared" si="382"/>
        <v>0</v>
      </c>
      <c r="AI105" s="52">
        <f t="shared" si="382"/>
        <v>0</v>
      </c>
      <c r="AJ105" s="52">
        <f t="shared" si="382"/>
        <v>0</v>
      </c>
      <c r="AK105" s="52">
        <f t="shared" si="382"/>
        <v>0</v>
      </c>
      <c r="AL105" s="52">
        <f t="shared" ref="AL105:BQ105" si="383">IFERROR(IF(AL$28="FALSE",0,$C$105/$C$8),0)</f>
        <v>0</v>
      </c>
      <c r="AM105" s="52">
        <f t="shared" si="383"/>
        <v>0</v>
      </c>
      <c r="AN105" s="52">
        <f t="shared" si="383"/>
        <v>0</v>
      </c>
      <c r="AO105" s="52">
        <f t="shared" si="383"/>
        <v>0</v>
      </c>
      <c r="AP105" s="52">
        <f t="shared" si="383"/>
        <v>0</v>
      </c>
      <c r="AQ105" s="52">
        <f t="shared" si="383"/>
        <v>0</v>
      </c>
      <c r="AR105" s="52">
        <f t="shared" si="383"/>
        <v>0</v>
      </c>
      <c r="AS105" s="52">
        <f t="shared" si="383"/>
        <v>0</v>
      </c>
      <c r="AT105" s="52">
        <f t="shared" si="383"/>
        <v>0</v>
      </c>
      <c r="AU105" s="52">
        <f t="shared" si="383"/>
        <v>0</v>
      </c>
      <c r="AV105" s="52">
        <f t="shared" si="383"/>
        <v>0</v>
      </c>
      <c r="AW105" s="52">
        <f t="shared" si="383"/>
        <v>0</v>
      </c>
      <c r="AX105" s="52">
        <f t="shared" si="383"/>
        <v>0</v>
      </c>
      <c r="AY105" s="52">
        <f t="shared" si="383"/>
        <v>0</v>
      </c>
      <c r="AZ105" s="52">
        <f t="shared" si="383"/>
        <v>0</v>
      </c>
      <c r="BA105" s="52">
        <f t="shared" si="383"/>
        <v>0</v>
      </c>
      <c r="BB105" s="52">
        <f t="shared" si="383"/>
        <v>0</v>
      </c>
      <c r="BC105" s="52">
        <f t="shared" si="383"/>
        <v>0</v>
      </c>
      <c r="BD105" s="52">
        <f t="shared" si="383"/>
        <v>0</v>
      </c>
      <c r="BE105" s="52">
        <f t="shared" si="383"/>
        <v>0</v>
      </c>
      <c r="BF105" s="52">
        <f t="shared" si="383"/>
        <v>0</v>
      </c>
      <c r="BG105" s="52">
        <f t="shared" si="383"/>
        <v>0</v>
      </c>
      <c r="BH105" s="52">
        <f t="shared" si="383"/>
        <v>0</v>
      </c>
      <c r="BI105" s="52">
        <f t="shared" si="383"/>
        <v>0</v>
      </c>
      <c r="BJ105" s="52">
        <f t="shared" si="383"/>
        <v>0</v>
      </c>
      <c r="BK105" s="52">
        <f t="shared" si="383"/>
        <v>0</v>
      </c>
      <c r="BL105" s="52">
        <f t="shared" si="383"/>
        <v>0</v>
      </c>
      <c r="BM105" s="52">
        <f t="shared" si="383"/>
        <v>0</v>
      </c>
      <c r="BN105" s="52">
        <f t="shared" si="383"/>
        <v>0</v>
      </c>
      <c r="BO105" s="52">
        <f t="shared" si="383"/>
        <v>0</v>
      </c>
      <c r="BP105" s="52">
        <f t="shared" si="383"/>
        <v>0</v>
      </c>
      <c r="BQ105" s="52">
        <f t="shared" si="383"/>
        <v>0</v>
      </c>
      <c r="BR105" s="52">
        <f t="shared" ref="BR105:CW105" si="384">IFERROR(IF(BR$28="FALSE",0,$C$105/$C$8),0)</f>
        <v>0</v>
      </c>
      <c r="BS105" s="52">
        <f t="shared" si="384"/>
        <v>0</v>
      </c>
      <c r="BT105" s="52">
        <f t="shared" si="384"/>
        <v>0</v>
      </c>
      <c r="BU105" s="52">
        <f t="shared" si="384"/>
        <v>0</v>
      </c>
      <c r="BV105" s="52">
        <f t="shared" si="384"/>
        <v>0</v>
      </c>
      <c r="BW105" s="52">
        <f t="shared" si="384"/>
        <v>0</v>
      </c>
      <c r="BX105" s="52">
        <f t="shared" si="384"/>
        <v>0</v>
      </c>
      <c r="BY105" s="52">
        <f t="shared" si="384"/>
        <v>0</v>
      </c>
      <c r="BZ105" s="52">
        <f t="shared" si="384"/>
        <v>0</v>
      </c>
      <c r="CA105" s="52">
        <f t="shared" si="384"/>
        <v>0</v>
      </c>
      <c r="CB105" s="52">
        <f t="shared" si="384"/>
        <v>0</v>
      </c>
      <c r="CC105" s="52">
        <f t="shared" si="384"/>
        <v>0</v>
      </c>
      <c r="CD105" s="52">
        <f t="shared" si="384"/>
        <v>0</v>
      </c>
      <c r="CE105" s="52">
        <f t="shared" si="384"/>
        <v>0</v>
      </c>
      <c r="CF105" s="52">
        <f t="shared" si="384"/>
        <v>0</v>
      </c>
      <c r="CG105" s="52">
        <f t="shared" si="384"/>
        <v>0</v>
      </c>
      <c r="CH105" s="52">
        <f t="shared" si="384"/>
        <v>0</v>
      </c>
      <c r="CI105" s="52">
        <f t="shared" si="384"/>
        <v>0</v>
      </c>
      <c r="CJ105" s="52">
        <f t="shared" si="384"/>
        <v>0</v>
      </c>
      <c r="CK105" s="52">
        <f t="shared" si="384"/>
        <v>0</v>
      </c>
      <c r="CL105" s="52">
        <f t="shared" si="384"/>
        <v>0</v>
      </c>
      <c r="CM105" s="52">
        <f t="shared" si="384"/>
        <v>0</v>
      </c>
      <c r="CN105" s="52">
        <f t="shared" si="384"/>
        <v>0</v>
      </c>
      <c r="CO105" s="52">
        <f t="shared" si="384"/>
        <v>0</v>
      </c>
      <c r="CP105" s="52">
        <f t="shared" si="384"/>
        <v>0</v>
      </c>
      <c r="CQ105" s="52">
        <f t="shared" si="384"/>
        <v>0</v>
      </c>
      <c r="CR105" s="52">
        <f t="shared" si="384"/>
        <v>0</v>
      </c>
      <c r="CS105" s="52">
        <f t="shared" si="384"/>
        <v>0</v>
      </c>
      <c r="CT105" s="52">
        <f t="shared" si="384"/>
        <v>0</v>
      </c>
      <c r="CU105" s="52">
        <f t="shared" si="384"/>
        <v>0</v>
      </c>
      <c r="CV105" s="52">
        <f t="shared" si="384"/>
        <v>0</v>
      </c>
      <c r="CW105" s="52">
        <f t="shared" si="384"/>
        <v>0</v>
      </c>
      <c r="CX105" s="52">
        <f t="shared" ref="CX105:EC105" si="385">IFERROR(IF(CX$28="FALSE",0,$C$105/$C$8),0)</f>
        <v>0</v>
      </c>
      <c r="CY105" s="52">
        <f t="shared" si="385"/>
        <v>0</v>
      </c>
      <c r="CZ105" s="52">
        <f t="shared" si="385"/>
        <v>0</v>
      </c>
      <c r="DA105" s="52">
        <f t="shared" si="385"/>
        <v>0</v>
      </c>
      <c r="DB105" s="52">
        <f t="shared" si="385"/>
        <v>0</v>
      </c>
      <c r="DC105" s="52">
        <f t="shared" si="385"/>
        <v>0</v>
      </c>
      <c r="DD105" s="52">
        <f t="shared" si="385"/>
        <v>0</v>
      </c>
      <c r="DE105" s="52">
        <f t="shared" si="385"/>
        <v>0</v>
      </c>
      <c r="DF105" s="52">
        <f t="shared" si="385"/>
        <v>0</v>
      </c>
      <c r="DG105" s="52">
        <f t="shared" si="385"/>
        <v>0</v>
      </c>
      <c r="DH105" s="52">
        <f t="shared" si="385"/>
        <v>0</v>
      </c>
      <c r="DI105" s="52">
        <f t="shared" si="385"/>
        <v>0</v>
      </c>
      <c r="DJ105" s="52">
        <f t="shared" si="385"/>
        <v>0</v>
      </c>
      <c r="DK105" s="52">
        <f t="shared" si="385"/>
        <v>0</v>
      </c>
      <c r="DL105" s="52">
        <f t="shared" si="385"/>
        <v>0</v>
      </c>
      <c r="DM105" s="52">
        <f t="shared" si="385"/>
        <v>0</v>
      </c>
      <c r="DN105" s="52">
        <f t="shared" si="385"/>
        <v>0</v>
      </c>
      <c r="DO105" s="52">
        <f t="shared" si="385"/>
        <v>0</v>
      </c>
      <c r="DP105" s="52">
        <f t="shared" si="385"/>
        <v>0</v>
      </c>
      <c r="DQ105" s="52">
        <f t="shared" si="385"/>
        <v>0</v>
      </c>
      <c r="DR105" s="52">
        <f t="shared" si="385"/>
        <v>0</v>
      </c>
      <c r="DS105" s="52">
        <f t="shared" si="385"/>
        <v>0</v>
      </c>
      <c r="DT105" s="52">
        <f t="shared" si="385"/>
        <v>0</v>
      </c>
      <c r="DU105" s="52">
        <f t="shared" si="385"/>
        <v>0</v>
      </c>
      <c r="DV105" s="52">
        <f t="shared" si="385"/>
        <v>0</v>
      </c>
      <c r="DW105" s="52">
        <f t="shared" si="385"/>
        <v>0</v>
      </c>
      <c r="DX105" s="52">
        <f t="shared" si="385"/>
        <v>0</v>
      </c>
      <c r="DY105" s="52">
        <f t="shared" si="385"/>
        <v>0</v>
      </c>
      <c r="DZ105" s="52">
        <f t="shared" si="385"/>
        <v>0</v>
      </c>
      <c r="EA105" s="52">
        <f t="shared" si="385"/>
        <v>0</v>
      </c>
      <c r="EB105" s="52">
        <f t="shared" si="385"/>
        <v>0</v>
      </c>
      <c r="EC105" s="52">
        <f t="shared" si="385"/>
        <v>0</v>
      </c>
      <c r="ED105" s="52">
        <f t="shared" ref="ED105:FD105" si="386">IFERROR(IF(ED$28="FALSE",0,$C$105/$C$8),0)</f>
        <v>0</v>
      </c>
      <c r="EE105" s="52">
        <f t="shared" si="386"/>
        <v>0</v>
      </c>
      <c r="EF105" s="52">
        <f t="shared" si="386"/>
        <v>0</v>
      </c>
      <c r="EG105" s="52">
        <f t="shared" si="386"/>
        <v>0</v>
      </c>
      <c r="EH105" s="52">
        <f t="shared" si="386"/>
        <v>0</v>
      </c>
      <c r="EI105" s="52">
        <f t="shared" si="386"/>
        <v>0</v>
      </c>
      <c r="EJ105" s="52">
        <f t="shared" si="386"/>
        <v>0</v>
      </c>
      <c r="EK105" s="52">
        <f t="shared" si="386"/>
        <v>0</v>
      </c>
      <c r="EL105" s="52">
        <f t="shared" si="386"/>
        <v>0</v>
      </c>
      <c r="EM105" s="52">
        <f t="shared" si="386"/>
        <v>0</v>
      </c>
      <c r="EN105" s="52">
        <f t="shared" si="386"/>
        <v>0</v>
      </c>
      <c r="EO105" s="52">
        <f t="shared" si="386"/>
        <v>0</v>
      </c>
      <c r="EP105" s="52">
        <f t="shared" si="386"/>
        <v>0</v>
      </c>
      <c r="EQ105" s="52">
        <f t="shared" si="386"/>
        <v>0</v>
      </c>
      <c r="ER105" s="52">
        <f t="shared" si="386"/>
        <v>0</v>
      </c>
      <c r="ES105" s="52">
        <f t="shared" si="386"/>
        <v>0</v>
      </c>
      <c r="ET105" s="52">
        <f t="shared" si="386"/>
        <v>0</v>
      </c>
      <c r="EU105" s="52">
        <f t="shared" si="386"/>
        <v>0</v>
      </c>
      <c r="EV105" s="52">
        <f t="shared" si="386"/>
        <v>0</v>
      </c>
      <c r="EW105" s="52">
        <f t="shared" si="386"/>
        <v>0</v>
      </c>
      <c r="EX105" s="52">
        <f t="shared" si="386"/>
        <v>0</v>
      </c>
      <c r="EY105" s="52">
        <f t="shared" si="386"/>
        <v>0</v>
      </c>
      <c r="EZ105" s="52">
        <f t="shared" si="386"/>
        <v>0</v>
      </c>
      <c r="FA105" s="52">
        <f t="shared" si="386"/>
        <v>0</v>
      </c>
      <c r="FB105" s="52">
        <f t="shared" si="386"/>
        <v>0</v>
      </c>
      <c r="FC105" s="52">
        <f t="shared" si="386"/>
        <v>0</v>
      </c>
      <c r="FD105" s="52">
        <f t="shared" si="386"/>
        <v>0</v>
      </c>
    </row>
    <row r="106" spans="2:160">
      <c r="B106" s="51" t="s">
        <v>186</v>
      </c>
      <c r="C106" s="52">
        <f ca="1">IF(Startup!$C$3="Project",SUMIF(Startup!$C$7:$D$27,Overview!B106,Startup!$D$7:$D$27),(SUMIF(Startup!$C$7:$D$27,Overview!B106,Startup!$D$7:$D$27)*Startup!$C$4))+IF(Pilot!$C$3="Project",SUMIF(Pilot!$C$7:$D$27,Overview!B106,Pilot!$D$7:$D$27),(SUMIF(Pilot!$C$7:$D$27,Overview!B106,Pilot!$D$7:$D$27)*Pilot!$C$4))+IF(PMO!$C$3="Project",SUMIF(PMO!$C$7:$D$27,Overview!B106,PMO!$D$7:$D$27),(SUMIF(PMO!$C$7:$D$27,Overview!B106,PMO!$D$7:$D$27)*PMO!$C$4))+IF('Design &amp; Fulfillment'!$C$3="Project",SUMIF('Design &amp; Fulfillment'!$C$7:$D$27,Overview!B106,'Design &amp; Fulfillment'!$D$7:$D$27),(SUMIF('Design &amp; Fulfillment'!$C$7:$D$27,Overview!B106,'Design &amp; Fulfillment'!$D$7:$D$27)*'Design &amp; Fulfillment'!$C$4))+IF(Workplace!$C$3="Project",SUMIF(Workplace!$C$7:$D$27,Overview!B106,Workplace!$D$7:$D$27),(SUMIF(Workplace!$C$7:$D$27,Overview!B106,Workplace!$D$7:$D$27)*Workplace!$C$4))+IF(Integration!$C$3="Project",SUMIF(Integration!$C$7:$D$27,Overview!B106,Integration!$D$7:$D$27),(SUMIF(Integration!$C$7:$D$27,Overview!B106,Integration!$D$7:$D$27)*Integration!$C$4))+IF(Logistics!$C$3="Project",SUMIF(Logistics!$C$7:$D$27,Overview!B106,Logistics!$D$7:$D$27),(SUMIF(Logistics!$C$7:$D$27,Overview!B106,Logistics!$D$7:$D$27)*Logistics!$C$4))+IF('Service Desk'!$C$3="Project",SUMIF('Service Desk'!$C$7:$D$27,Overview!B106,'Service Desk'!$D$7:$D$27),(SUMIF('Service Desk'!$C$7:$D$27,Overview!B106,'Service Desk'!$D$7:$D$27)*'Service Desk'!$C$4))+IF('Pro Services'!$C$3="Project",SUMIF('Pro Services'!$C$7:$D$27,Overview!B106,'Pro Services'!$D$7:$D$27),(SUMIF('Pro Services'!$C$7:$D$27,Overview!B106,'Pro Services'!$D$7:$D$27)*'Pro Services'!$C$4))</f>
        <v>0</v>
      </c>
      <c r="D106" s="53">
        <f ca="1">IF(Startup!$C$3="Project",SUMIF(Startup!$C$7:$H$27,Overview!B106,Startup!$H$7:$H$27),(SUMIF(Startup!$C$7:$H$27,Overview!B106,Startup!$H$7:$H$27)*Startup!$C$4))+IF(Pilot!$C$3="Project",SUMIF(Pilot!$C$7:$H$27,Overview!B106,Pilot!$H$7:$H$27),(SUMIF(Pilot!$C$7:$H$27,Overview!B106,Pilot!$H$7:$H$27)*Pilot!$C$4))+IF(PMO!$C$3="Project",SUMIF(PMO!$C$7:$H$27,Overview!B106,PMO!$H$7:$H$27),(SUMIF(PMO!$C$7:$H$27,Overview!B106,PMO!$H$7:$H$27)*PMO!$C$4))+IF('Design &amp; Fulfillment'!$C$3="Project",SUMIF('Design &amp; Fulfillment'!$C$7:$H$27,Overview!B106,'Design &amp; Fulfillment'!$H$7:$H$27),(SUMIF('Design &amp; Fulfillment'!$C$7:$H$27,Overview!B106,'Design &amp; Fulfillment'!$H$7:$H$27)*'Design &amp; Fulfillment'!$C$4))+IF(Workplace!$C$3="Project",SUMIF(Workplace!$C$7:$H$27,Overview!B106,Workplace!$H$7:$H$27),(SUMIF(Workplace!$C$7:$H$27,Overview!B106,Workplace!$H$7:$H$27)*Workplace!$C$4))+IF(Integration!$C$3="Project",SUMIF(Integration!$C$7:$H$27,Overview!B106,Integration!$H$7:$H$27),(SUMIF(Integration!$C$7:$H$27,Overview!B106,Integration!$H$7:$H$27)*Integration!$C$4))+IF(Logistics!$C$3="Project",SUMIF(Logistics!$C$7:$H$27,Overview!B106,Logistics!$H$7:$H$27),(SUMIF(Logistics!$C$7:$H$27,Overview!B106,Logistics!$H$7:$H$27)*Logistics!$C$4))+IF('Service Desk'!$C$3="Project",SUMIF('Service Desk'!$C$7:$H$27,Overview!B106,'Service Desk'!$H$7:$H$27),(SUMIF('Service Desk'!$C$7:$H$27,Overview!B106,'Service Desk'!$H$7:$H$27)*'Service Desk'!$C$4))+IF('Pro Services'!$C$3="Project",SUMIF('Pro Services'!$C$7:$H$27,Overview!B106,'Pro Services'!$H$7:$H$27),(SUMIF('Pro Services'!$C$7:$H$27,Overview!B106,'Pro Services'!$H$7:$H$27)*'Pro Services'!$C$4))</f>
        <v>0</v>
      </c>
      <c r="E106" s="52">
        <f t="shared" ca="1" si="120"/>
        <v>0</v>
      </c>
      <c r="F106" s="52">
        <f t="shared" ref="F106:AK106" si="387">IFERROR(IF(F$28="FALSE",0,$C$106/$C$8),0)</f>
        <v>0</v>
      </c>
      <c r="G106" s="52">
        <f t="shared" si="387"/>
        <v>0</v>
      </c>
      <c r="H106" s="52">
        <f t="shared" si="387"/>
        <v>0</v>
      </c>
      <c r="I106" s="52">
        <f t="shared" si="387"/>
        <v>0</v>
      </c>
      <c r="J106" s="52">
        <f t="shared" si="387"/>
        <v>0</v>
      </c>
      <c r="K106" s="52">
        <f t="shared" si="387"/>
        <v>0</v>
      </c>
      <c r="L106" s="52">
        <f t="shared" si="387"/>
        <v>0</v>
      </c>
      <c r="M106" s="52">
        <f t="shared" si="387"/>
        <v>0</v>
      </c>
      <c r="N106" s="52">
        <f t="shared" si="387"/>
        <v>0</v>
      </c>
      <c r="O106" s="52">
        <f t="shared" si="387"/>
        <v>0</v>
      </c>
      <c r="P106" s="52">
        <f t="shared" si="387"/>
        <v>0</v>
      </c>
      <c r="Q106" s="52">
        <f t="shared" si="387"/>
        <v>0</v>
      </c>
      <c r="R106" s="52">
        <f t="shared" si="387"/>
        <v>0</v>
      </c>
      <c r="S106" s="52">
        <f t="shared" si="387"/>
        <v>0</v>
      </c>
      <c r="T106" s="52">
        <f t="shared" si="387"/>
        <v>0</v>
      </c>
      <c r="U106" s="52">
        <f t="shared" si="387"/>
        <v>0</v>
      </c>
      <c r="V106" s="52">
        <f t="shared" si="387"/>
        <v>0</v>
      </c>
      <c r="W106" s="52">
        <f t="shared" si="387"/>
        <v>0</v>
      </c>
      <c r="X106" s="52">
        <f t="shared" si="387"/>
        <v>0</v>
      </c>
      <c r="Y106" s="52">
        <f t="shared" si="387"/>
        <v>0</v>
      </c>
      <c r="Z106" s="52">
        <f t="shared" si="387"/>
        <v>0</v>
      </c>
      <c r="AA106" s="52">
        <f t="shared" si="387"/>
        <v>0</v>
      </c>
      <c r="AB106" s="52">
        <f t="shared" si="387"/>
        <v>0</v>
      </c>
      <c r="AC106" s="52">
        <f t="shared" si="387"/>
        <v>0</v>
      </c>
      <c r="AD106" s="52">
        <f t="shared" si="387"/>
        <v>0</v>
      </c>
      <c r="AE106" s="52">
        <f t="shared" si="387"/>
        <v>0</v>
      </c>
      <c r="AF106" s="52">
        <f t="shared" si="387"/>
        <v>0</v>
      </c>
      <c r="AG106" s="52">
        <f t="shared" si="387"/>
        <v>0</v>
      </c>
      <c r="AH106" s="52">
        <f t="shared" si="387"/>
        <v>0</v>
      </c>
      <c r="AI106" s="52">
        <f t="shared" si="387"/>
        <v>0</v>
      </c>
      <c r="AJ106" s="52">
        <f t="shared" si="387"/>
        <v>0</v>
      </c>
      <c r="AK106" s="52">
        <f t="shared" si="387"/>
        <v>0</v>
      </c>
      <c r="AL106" s="52">
        <f t="shared" ref="AL106:BQ106" si="388">IFERROR(IF(AL$28="FALSE",0,$C$106/$C$8),0)</f>
        <v>0</v>
      </c>
      <c r="AM106" s="52">
        <f t="shared" si="388"/>
        <v>0</v>
      </c>
      <c r="AN106" s="52">
        <f t="shared" si="388"/>
        <v>0</v>
      </c>
      <c r="AO106" s="52">
        <f t="shared" si="388"/>
        <v>0</v>
      </c>
      <c r="AP106" s="52">
        <f t="shared" si="388"/>
        <v>0</v>
      </c>
      <c r="AQ106" s="52">
        <f t="shared" si="388"/>
        <v>0</v>
      </c>
      <c r="AR106" s="52">
        <f t="shared" si="388"/>
        <v>0</v>
      </c>
      <c r="AS106" s="52">
        <f t="shared" si="388"/>
        <v>0</v>
      </c>
      <c r="AT106" s="52">
        <f t="shared" si="388"/>
        <v>0</v>
      </c>
      <c r="AU106" s="52">
        <f t="shared" si="388"/>
        <v>0</v>
      </c>
      <c r="AV106" s="52">
        <f t="shared" si="388"/>
        <v>0</v>
      </c>
      <c r="AW106" s="52">
        <f t="shared" si="388"/>
        <v>0</v>
      </c>
      <c r="AX106" s="52">
        <f t="shared" si="388"/>
        <v>0</v>
      </c>
      <c r="AY106" s="52">
        <f t="shared" si="388"/>
        <v>0</v>
      </c>
      <c r="AZ106" s="52">
        <f t="shared" si="388"/>
        <v>0</v>
      </c>
      <c r="BA106" s="52">
        <f t="shared" si="388"/>
        <v>0</v>
      </c>
      <c r="BB106" s="52">
        <f t="shared" si="388"/>
        <v>0</v>
      </c>
      <c r="BC106" s="52">
        <f t="shared" si="388"/>
        <v>0</v>
      </c>
      <c r="BD106" s="52">
        <f t="shared" si="388"/>
        <v>0</v>
      </c>
      <c r="BE106" s="52">
        <f t="shared" si="388"/>
        <v>0</v>
      </c>
      <c r="BF106" s="52">
        <f t="shared" si="388"/>
        <v>0</v>
      </c>
      <c r="BG106" s="52">
        <f t="shared" si="388"/>
        <v>0</v>
      </c>
      <c r="BH106" s="52">
        <f t="shared" si="388"/>
        <v>0</v>
      </c>
      <c r="BI106" s="52">
        <f t="shared" si="388"/>
        <v>0</v>
      </c>
      <c r="BJ106" s="52">
        <f t="shared" si="388"/>
        <v>0</v>
      </c>
      <c r="BK106" s="52">
        <f t="shared" si="388"/>
        <v>0</v>
      </c>
      <c r="BL106" s="52">
        <f t="shared" si="388"/>
        <v>0</v>
      </c>
      <c r="BM106" s="52">
        <f t="shared" si="388"/>
        <v>0</v>
      </c>
      <c r="BN106" s="52">
        <f t="shared" si="388"/>
        <v>0</v>
      </c>
      <c r="BO106" s="52">
        <f t="shared" si="388"/>
        <v>0</v>
      </c>
      <c r="BP106" s="52">
        <f t="shared" si="388"/>
        <v>0</v>
      </c>
      <c r="BQ106" s="52">
        <f t="shared" si="388"/>
        <v>0</v>
      </c>
      <c r="BR106" s="52">
        <f t="shared" ref="BR106:CW106" si="389">IFERROR(IF(BR$28="FALSE",0,$C$106/$C$8),0)</f>
        <v>0</v>
      </c>
      <c r="BS106" s="52">
        <f t="shared" si="389"/>
        <v>0</v>
      </c>
      <c r="BT106" s="52">
        <f t="shared" si="389"/>
        <v>0</v>
      </c>
      <c r="BU106" s="52">
        <f t="shared" si="389"/>
        <v>0</v>
      </c>
      <c r="BV106" s="52">
        <f t="shared" si="389"/>
        <v>0</v>
      </c>
      <c r="BW106" s="52">
        <f t="shared" si="389"/>
        <v>0</v>
      </c>
      <c r="BX106" s="52">
        <f t="shared" si="389"/>
        <v>0</v>
      </c>
      <c r="BY106" s="52">
        <f t="shared" si="389"/>
        <v>0</v>
      </c>
      <c r="BZ106" s="52">
        <f t="shared" si="389"/>
        <v>0</v>
      </c>
      <c r="CA106" s="52">
        <f t="shared" si="389"/>
        <v>0</v>
      </c>
      <c r="CB106" s="52">
        <f t="shared" si="389"/>
        <v>0</v>
      </c>
      <c r="CC106" s="52">
        <f t="shared" si="389"/>
        <v>0</v>
      </c>
      <c r="CD106" s="52">
        <f t="shared" si="389"/>
        <v>0</v>
      </c>
      <c r="CE106" s="52">
        <f t="shared" si="389"/>
        <v>0</v>
      </c>
      <c r="CF106" s="52">
        <f t="shared" si="389"/>
        <v>0</v>
      </c>
      <c r="CG106" s="52">
        <f t="shared" si="389"/>
        <v>0</v>
      </c>
      <c r="CH106" s="52">
        <f t="shared" si="389"/>
        <v>0</v>
      </c>
      <c r="CI106" s="52">
        <f t="shared" si="389"/>
        <v>0</v>
      </c>
      <c r="CJ106" s="52">
        <f t="shared" si="389"/>
        <v>0</v>
      </c>
      <c r="CK106" s="52">
        <f t="shared" si="389"/>
        <v>0</v>
      </c>
      <c r="CL106" s="52">
        <f t="shared" si="389"/>
        <v>0</v>
      </c>
      <c r="CM106" s="52">
        <f t="shared" si="389"/>
        <v>0</v>
      </c>
      <c r="CN106" s="52">
        <f t="shared" si="389"/>
        <v>0</v>
      </c>
      <c r="CO106" s="52">
        <f t="shared" si="389"/>
        <v>0</v>
      </c>
      <c r="CP106" s="52">
        <f t="shared" si="389"/>
        <v>0</v>
      </c>
      <c r="CQ106" s="52">
        <f t="shared" si="389"/>
        <v>0</v>
      </c>
      <c r="CR106" s="52">
        <f t="shared" si="389"/>
        <v>0</v>
      </c>
      <c r="CS106" s="52">
        <f t="shared" si="389"/>
        <v>0</v>
      </c>
      <c r="CT106" s="52">
        <f t="shared" si="389"/>
        <v>0</v>
      </c>
      <c r="CU106" s="52">
        <f t="shared" si="389"/>
        <v>0</v>
      </c>
      <c r="CV106" s="52">
        <f t="shared" si="389"/>
        <v>0</v>
      </c>
      <c r="CW106" s="52">
        <f t="shared" si="389"/>
        <v>0</v>
      </c>
      <c r="CX106" s="52">
        <f t="shared" ref="CX106:EC106" si="390">IFERROR(IF(CX$28="FALSE",0,$C$106/$C$8),0)</f>
        <v>0</v>
      </c>
      <c r="CY106" s="52">
        <f t="shared" si="390"/>
        <v>0</v>
      </c>
      <c r="CZ106" s="52">
        <f t="shared" si="390"/>
        <v>0</v>
      </c>
      <c r="DA106" s="52">
        <f t="shared" si="390"/>
        <v>0</v>
      </c>
      <c r="DB106" s="52">
        <f t="shared" si="390"/>
        <v>0</v>
      </c>
      <c r="DC106" s="52">
        <f t="shared" si="390"/>
        <v>0</v>
      </c>
      <c r="DD106" s="52">
        <f t="shared" si="390"/>
        <v>0</v>
      </c>
      <c r="DE106" s="52">
        <f t="shared" si="390"/>
        <v>0</v>
      </c>
      <c r="DF106" s="52">
        <f t="shared" si="390"/>
        <v>0</v>
      </c>
      <c r="DG106" s="52">
        <f t="shared" si="390"/>
        <v>0</v>
      </c>
      <c r="DH106" s="52">
        <f t="shared" si="390"/>
        <v>0</v>
      </c>
      <c r="DI106" s="52">
        <f t="shared" si="390"/>
        <v>0</v>
      </c>
      <c r="DJ106" s="52">
        <f t="shared" si="390"/>
        <v>0</v>
      </c>
      <c r="DK106" s="52">
        <f t="shared" si="390"/>
        <v>0</v>
      </c>
      <c r="DL106" s="52">
        <f t="shared" si="390"/>
        <v>0</v>
      </c>
      <c r="DM106" s="52">
        <f t="shared" si="390"/>
        <v>0</v>
      </c>
      <c r="DN106" s="52">
        <f t="shared" si="390"/>
        <v>0</v>
      </c>
      <c r="DO106" s="52">
        <f t="shared" si="390"/>
        <v>0</v>
      </c>
      <c r="DP106" s="52">
        <f t="shared" si="390"/>
        <v>0</v>
      </c>
      <c r="DQ106" s="52">
        <f t="shared" si="390"/>
        <v>0</v>
      </c>
      <c r="DR106" s="52">
        <f t="shared" si="390"/>
        <v>0</v>
      </c>
      <c r="DS106" s="52">
        <f t="shared" si="390"/>
        <v>0</v>
      </c>
      <c r="DT106" s="52">
        <f t="shared" si="390"/>
        <v>0</v>
      </c>
      <c r="DU106" s="52">
        <f t="shared" si="390"/>
        <v>0</v>
      </c>
      <c r="DV106" s="52">
        <f t="shared" si="390"/>
        <v>0</v>
      </c>
      <c r="DW106" s="52">
        <f t="shared" si="390"/>
        <v>0</v>
      </c>
      <c r="DX106" s="52">
        <f t="shared" si="390"/>
        <v>0</v>
      </c>
      <c r="DY106" s="52">
        <f t="shared" si="390"/>
        <v>0</v>
      </c>
      <c r="DZ106" s="52">
        <f t="shared" si="390"/>
        <v>0</v>
      </c>
      <c r="EA106" s="52">
        <f t="shared" si="390"/>
        <v>0</v>
      </c>
      <c r="EB106" s="52">
        <f t="shared" si="390"/>
        <v>0</v>
      </c>
      <c r="EC106" s="52">
        <f t="shared" si="390"/>
        <v>0</v>
      </c>
      <c r="ED106" s="52">
        <f t="shared" ref="ED106:FD106" si="391">IFERROR(IF(ED$28="FALSE",0,$C$106/$C$8),0)</f>
        <v>0</v>
      </c>
      <c r="EE106" s="52">
        <f t="shared" si="391"/>
        <v>0</v>
      </c>
      <c r="EF106" s="52">
        <f t="shared" si="391"/>
        <v>0</v>
      </c>
      <c r="EG106" s="52">
        <f t="shared" si="391"/>
        <v>0</v>
      </c>
      <c r="EH106" s="52">
        <f t="shared" si="391"/>
        <v>0</v>
      </c>
      <c r="EI106" s="52">
        <f t="shared" si="391"/>
        <v>0</v>
      </c>
      <c r="EJ106" s="52">
        <f t="shared" si="391"/>
        <v>0</v>
      </c>
      <c r="EK106" s="52">
        <f t="shared" si="391"/>
        <v>0</v>
      </c>
      <c r="EL106" s="52">
        <f t="shared" si="391"/>
        <v>0</v>
      </c>
      <c r="EM106" s="52">
        <f t="shared" si="391"/>
        <v>0</v>
      </c>
      <c r="EN106" s="52">
        <f t="shared" si="391"/>
        <v>0</v>
      </c>
      <c r="EO106" s="52">
        <f t="shared" si="391"/>
        <v>0</v>
      </c>
      <c r="EP106" s="52">
        <f t="shared" si="391"/>
        <v>0</v>
      </c>
      <c r="EQ106" s="52">
        <f t="shared" si="391"/>
        <v>0</v>
      </c>
      <c r="ER106" s="52">
        <f t="shared" si="391"/>
        <v>0</v>
      </c>
      <c r="ES106" s="52">
        <f t="shared" si="391"/>
        <v>0</v>
      </c>
      <c r="ET106" s="52">
        <f t="shared" si="391"/>
        <v>0</v>
      </c>
      <c r="EU106" s="52">
        <f t="shared" si="391"/>
        <v>0</v>
      </c>
      <c r="EV106" s="52">
        <f t="shared" si="391"/>
        <v>0</v>
      </c>
      <c r="EW106" s="52">
        <f t="shared" si="391"/>
        <v>0</v>
      </c>
      <c r="EX106" s="52">
        <f t="shared" si="391"/>
        <v>0</v>
      </c>
      <c r="EY106" s="52">
        <f t="shared" si="391"/>
        <v>0</v>
      </c>
      <c r="EZ106" s="52">
        <f t="shared" si="391"/>
        <v>0</v>
      </c>
      <c r="FA106" s="52">
        <f t="shared" si="391"/>
        <v>0</v>
      </c>
      <c r="FB106" s="52">
        <f t="shared" si="391"/>
        <v>0</v>
      </c>
      <c r="FC106" s="52">
        <f t="shared" si="391"/>
        <v>0</v>
      </c>
      <c r="FD106" s="52">
        <f t="shared" si="391"/>
        <v>0</v>
      </c>
    </row>
    <row r="107" spans="2:160">
      <c r="B107" s="51" t="s">
        <v>187</v>
      </c>
      <c r="C107" s="52">
        <f ca="1">IF(Startup!$C$3="Project",SUMIF(Startup!$C$7:$D$27,Overview!B107,Startup!$D$7:$D$27),(SUMIF(Startup!$C$7:$D$27,Overview!B107,Startup!$D$7:$D$27)*Startup!$C$4))+IF(Pilot!$C$3="Project",SUMIF(Pilot!$C$7:$D$27,Overview!B107,Pilot!$D$7:$D$27),(SUMIF(Pilot!$C$7:$D$27,Overview!B107,Pilot!$D$7:$D$27)*Pilot!$C$4))+IF(PMO!$C$3="Project",SUMIF(PMO!$C$7:$D$27,Overview!B107,PMO!$D$7:$D$27),(SUMIF(PMO!$C$7:$D$27,Overview!B107,PMO!$D$7:$D$27)*PMO!$C$4))+IF('Design &amp; Fulfillment'!$C$3="Project",SUMIF('Design &amp; Fulfillment'!$C$7:$D$27,Overview!B107,'Design &amp; Fulfillment'!$D$7:$D$27),(SUMIF('Design &amp; Fulfillment'!$C$7:$D$27,Overview!B107,'Design &amp; Fulfillment'!$D$7:$D$27)*'Design &amp; Fulfillment'!$C$4))+IF(Workplace!$C$3="Project",SUMIF(Workplace!$C$7:$D$27,Overview!B107,Workplace!$D$7:$D$27),(SUMIF(Workplace!$C$7:$D$27,Overview!B107,Workplace!$D$7:$D$27)*Workplace!$C$4))+IF(Integration!$C$3="Project",SUMIF(Integration!$C$7:$D$27,Overview!B107,Integration!$D$7:$D$27),(SUMIF(Integration!$C$7:$D$27,Overview!B107,Integration!$D$7:$D$27)*Integration!$C$4))+IF(Logistics!$C$3="Project",SUMIF(Logistics!$C$7:$D$27,Overview!B107,Logistics!$D$7:$D$27),(SUMIF(Logistics!$C$7:$D$27,Overview!B107,Logistics!$D$7:$D$27)*Logistics!$C$4))+IF('Service Desk'!$C$3="Project",SUMIF('Service Desk'!$C$7:$D$27,Overview!B107,'Service Desk'!$D$7:$D$27),(SUMIF('Service Desk'!$C$7:$D$27,Overview!B107,'Service Desk'!$D$7:$D$27)*'Service Desk'!$C$4))+IF('Pro Services'!$C$3="Project",SUMIF('Pro Services'!$C$7:$D$27,Overview!B107,'Pro Services'!$D$7:$D$27),(SUMIF('Pro Services'!$C$7:$D$27,Overview!B107,'Pro Services'!$D$7:$D$27)*'Pro Services'!$C$4))</f>
        <v>0</v>
      </c>
      <c r="D107" s="53">
        <f ca="1">IF(Startup!$C$3="Project",SUMIF(Startup!$C$7:$H$27,Overview!B107,Startup!$H$7:$H$27),(SUMIF(Startup!$C$7:$H$27,Overview!B107,Startup!$H$7:$H$27)*Startup!$C$4))+IF(Pilot!$C$3="Project",SUMIF(Pilot!$C$7:$H$27,Overview!B107,Pilot!$H$7:$H$27),(SUMIF(Pilot!$C$7:$H$27,Overview!B107,Pilot!$H$7:$H$27)*Pilot!$C$4))+IF(PMO!$C$3="Project",SUMIF(PMO!$C$7:$H$27,Overview!B107,PMO!$H$7:$H$27),(SUMIF(PMO!$C$7:$H$27,Overview!B107,PMO!$H$7:$H$27)*PMO!$C$4))+IF('Design &amp; Fulfillment'!$C$3="Project",SUMIF('Design &amp; Fulfillment'!$C$7:$H$27,Overview!B107,'Design &amp; Fulfillment'!$H$7:$H$27),(SUMIF('Design &amp; Fulfillment'!$C$7:$H$27,Overview!B107,'Design &amp; Fulfillment'!$H$7:$H$27)*'Design &amp; Fulfillment'!$C$4))+IF(Workplace!$C$3="Project",SUMIF(Workplace!$C$7:$H$27,Overview!B107,Workplace!$H$7:$H$27),(SUMIF(Workplace!$C$7:$H$27,Overview!B107,Workplace!$H$7:$H$27)*Workplace!$C$4))+IF(Integration!$C$3="Project",SUMIF(Integration!$C$7:$H$27,Overview!B107,Integration!$H$7:$H$27),(SUMIF(Integration!$C$7:$H$27,Overview!B107,Integration!$H$7:$H$27)*Integration!$C$4))+IF(Logistics!$C$3="Project",SUMIF(Logistics!$C$7:$H$27,Overview!B107,Logistics!$H$7:$H$27),(SUMIF(Logistics!$C$7:$H$27,Overview!B107,Logistics!$H$7:$H$27)*Logistics!$C$4))+IF('Service Desk'!$C$3="Project",SUMIF('Service Desk'!$C$7:$H$27,Overview!B107,'Service Desk'!$H$7:$H$27),(SUMIF('Service Desk'!$C$7:$H$27,Overview!B107,'Service Desk'!$H$7:$H$27)*'Service Desk'!$C$4))+IF('Pro Services'!$C$3="Project",SUMIF('Pro Services'!$C$7:$H$27,Overview!B107,'Pro Services'!$H$7:$H$27),(SUMIF('Pro Services'!$C$7:$H$27,Overview!B107,'Pro Services'!$H$7:$H$27)*'Pro Services'!$C$4))</f>
        <v>0</v>
      </c>
      <c r="E107" s="52">
        <f t="shared" ca="1" si="120"/>
        <v>0</v>
      </c>
      <c r="F107" s="52">
        <f t="shared" ref="F107:AK107" si="392">IFERROR(IF(F$28="FALSE",0,$C$107/$C$8),0)</f>
        <v>0</v>
      </c>
      <c r="G107" s="52">
        <f t="shared" si="392"/>
        <v>0</v>
      </c>
      <c r="H107" s="52">
        <f t="shared" si="392"/>
        <v>0</v>
      </c>
      <c r="I107" s="52">
        <f t="shared" si="392"/>
        <v>0</v>
      </c>
      <c r="J107" s="52">
        <f t="shared" si="392"/>
        <v>0</v>
      </c>
      <c r="K107" s="52">
        <f t="shared" si="392"/>
        <v>0</v>
      </c>
      <c r="L107" s="52">
        <f t="shared" si="392"/>
        <v>0</v>
      </c>
      <c r="M107" s="52">
        <f t="shared" si="392"/>
        <v>0</v>
      </c>
      <c r="N107" s="52">
        <f t="shared" si="392"/>
        <v>0</v>
      </c>
      <c r="O107" s="52">
        <f t="shared" si="392"/>
        <v>0</v>
      </c>
      <c r="P107" s="52">
        <f t="shared" si="392"/>
        <v>0</v>
      </c>
      <c r="Q107" s="52">
        <f t="shared" si="392"/>
        <v>0</v>
      </c>
      <c r="R107" s="52">
        <f t="shared" si="392"/>
        <v>0</v>
      </c>
      <c r="S107" s="52">
        <f t="shared" si="392"/>
        <v>0</v>
      </c>
      <c r="T107" s="52">
        <f t="shared" si="392"/>
        <v>0</v>
      </c>
      <c r="U107" s="52">
        <f t="shared" si="392"/>
        <v>0</v>
      </c>
      <c r="V107" s="52">
        <f t="shared" si="392"/>
        <v>0</v>
      </c>
      <c r="W107" s="52">
        <f t="shared" si="392"/>
        <v>0</v>
      </c>
      <c r="X107" s="52">
        <f t="shared" si="392"/>
        <v>0</v>
      </c>
      <c r="Y107" s="52">
        <f t="shared" si="392"/>
        <v>0</v>
      </c>
      <c r="Z107" s="52">
        <f t="shared" si="392"/>
        <v>0</v>
      </c>
      <c r="AA107" s="52">
        <f t="shared" si="392"/>
        <v>0</v>
      </c>
      <c r="AB107" s="52">
        <f t="shared" si="392"/>
        <v>0</v>
      </c>
      <c r="AC107" s="52">
        <f t="shared" si="392"/>
        <v>0</v>
      </c>
      <c r="AD107" s="52">
        <f t="shared" si="392"/>
        <v>0</v>
      </c>
      <c r="AE107" s="52">
        <f t="shared" si="392"/>
        <v>0</v>
      </c>
      <c r="AF107" s="52">
        <f t="shared" si="392"/>
        <v>0</v>
      </c>
      <c r="AG107" s="52">
        <f t="shared" si="392"/>
        <v>0</v>
      </c>
      <c r="AH107" s="52">
        <f t="shared" si="392"/>
        <v>0</v>
      </c>
      <c r="AI107" s="52">
        <f t="shared" si="392"/>
        <v>0</v>
      </c>
      <c r="AJ107" s="52">
        <f t="shared" si="392"/>
        <v>0</v>
      </c>
      <c r="AK107" s="52">
        <f t="shared" si="392"/>
        <v>0</v>
      </c>
      <c r="AL107" s="52">
        <f t="shared" ref="AL107:BQ107" si="393">IFERROR(IF(AL$28="FALSE",0,$C$107/$C$8),0)</f>
        <v>0</v>
      </c>
      <c r="AM107" s="52">
        <f t="shared" si="393"/>
        <v>0</v>
      </c>
      <c r="AN107" s="52">
        <f t="shared" si="393"/>
        <v>0</v>
      </c>
      <c r="AO107" s="52">
        <f t="shared" si="393"/>
        <v>0</v>
      </c>
      <c r="AP107" s="52">
        <f t="shared" si="393"/>
        <v>0</v>
      </c>
      <c r="AQ107" s="52">
        <f t="shared" si="393"/>
        <v>0</v>
      </c>
      <c r="AR107" s="52">
        <f t="shared" si="393"/>
        <v>0</v>
      </c>
      <c r="AS107" s="52">
        <f t="shared" si="393"/>
        <v>0</v>
      </c>
      <c r="AT107" s="52">
        <f t="shared" si="393"/>
        <v>0</v>
      </c>
      <c r="AU107" s="52">
        <f t="shared" si="393"/>
        <v>0</v>
      </c>
      <c r="AV107" s="52">
        <f t="shared" si="393"/>
        <v>0</v>
      </c>
      <c r="AW107" s="52">
        <f t="shared" si="393"/>
        <v>0</v>
      </c>
      <c r="AX107" s="52">
        <f t="shared" si="393"/>
        <v>0</v>
      </c>
      <c r="AY107" s="52">
        <f t="shared" si="393"/>
        <v>0</v>
      </c>
      <c r="AZ107" s="52">
        <f t="shared" si="393"/>
        <v>0</v>
      </c>
      <c r="BA107" s="52">
        <f t="shared" si="393"/>
        <v>0</v>
      </c>
      <c r="BB107" s="52">
        <f t="shared" si="393"/>
        <v>0</v>
      </c>
      <c r="BC107" s="52">
        <f t="shared" si="393"/>
        <v>0</v>
      </c>
      <c r="BD107" s="52">
        <f t="shared" si="393"/>
        <v>0</v>
      </c>
      <c r="BE107" s="52">
        <f t="shared" si="393"/>
        <v>0</v>
      </c>
      <c r="BF107" s="52">
        <f t="shared" si="393"/>
        <v>0</v>
      </c>
      <c r="BG107" s="52">
        <f t="shared" si="393"/>
        <v>0</v>
      </c>
      <c r="BH107" s="52">
        <f t="shared" si="393"/>
        <v>0</v>
      </c>
      <c r="BI107" s="52">
        <f t="shared" si="393"/>
        <v>0</v>
      </c>
      <c r="BJ107" s="52">
        <f t="shared" si="393"/>
        <v>0</v>
      </c>
      <c r="BK107" s="52">
        <f t="shared" si="393"/>
        <v>0</v>
      </c>
      <c r="BL107" s="52">
        <f t="shared" si="393"/>
        <v>0</v>
      </c>
      <c r="BM107" s="52">
        <f t="shared" si="393"/>
        <v>0</v>
      </c>
      <c r="BN107" s="52">
        <f t="shared" si="393"/>
        <v>0</v>
      </c>
      <c r="BO107" s="52">
        <f t="shared" si="393"/>
        <v>0</v>
      </c>
      <c r="BP107" s="52">
        <f t="shared" si="393"/>
        <v>0</v>
      </c>
      <c r="BQ107" s="52">
        <f t="shared" si="393"/>
        <v>0</v>
      </c>
      <c r="BR107" s="52">
        <f t="shared" ref="BR107:CW107" si="394">IFERROR(IF(BR$28="FALSE",0,$C$107/$C$8),0)</f>
        <v>0</v>
      </c>
      <c r="BS107" s="52">
        <f t="shared" si="394"/>
        <v>0</v>
      </c>
      <c r="BT107" s="52">
        <f t="shared" si="394"/>
        <v>0</v>
      </c>
      <c r="BU107" s="52">
        <f t="shared" si="394"/>
        <v>0</v>
      </c>
      <c r="BV107" s="52">
        <f t="shared" si="394"/>
        <v>0</v>
      </c>
      <c r="BW107" s="52">
        <f t="shared" si="394"/>
        <v>0</v>
      </c>
      <c r="BX107" s="52">
        <f t="shared" si="394"/>
        <v>0</v>
      </c>
      <c r="BY107" s="52">
        <f t="shared" si="394"/>
        <v>0</v>
      </c>
      <c r="BZ107" s="52">
        <f t="shared" si="394"/>
        <v>0</v>
      </c>
      <c r="CA107" s="52">
        <f t="shared" si="394"/>
        <v>0</v>
      </c>
      <c r="CB107" s="52">
        <f t="shared" si="394"/>
        <v>0</v>
      </c>
      <c r="CC107" s="52">
        <f t="shared" si="394"/>
        <v>0</v>
      </c>
      <c r="CD107" s="52">
        <f t="shared" si="394"/>
        <v>0</v>
      </c>
      <c r="CE107" s="52">
        <f t="shared" si="394"/>
        <v>0</v>
      </c>
      <c r="CF107" s="52">
        <f t="shared" si="394"/>
        <v>0</v>
      </c>
      <c r="CG107" s="52">
        <f t="shared" si="394"/>
        <v>0</v>
      </c>
      <c r="CH107" s="52">
        <f t="shared" si="394"/>
        <v>0</v>
      </c>
      <c r="CI107" s="52">
        <f t="shared" si="394"/>
        <v>0</v>
      </c>
      <c r="CJ107" s="52">
        <f t="shared" si="394"/>
        <v>0</v>
      </c>
      <c r="CK107" s="52">
        <f t="shared" si="394"/>
        <v>0</v>
      </c>
      <c r="CL107" s="52">
        <f t="shared" si="394"/>
        <v>0</v>
      </c>
      <c r="CM107" s="52">
        <f t="shared" si="394"/>
        <v>0</v>
      </c>
      <c r="CN107" s="52">
        <f t="shared" si="394"/>
        <v>0</v>
      </c>
      <c r="CO107" s="52">
        <f t="shared" si="394"/>
        <v>0</v>
      </c>
      <c r="CP107" s="52">
        <f t="shared" si="394"/>
        <v>0</v>
      </c>
      <c r="CQ107" s="52">
        <f t="shared" si="394"/>
        <v>0</v>
      </c>
      <c r="CR107" s="52">
        <f t="shared" si="394"/>
        <v>0</v>
      </c>
      <c r="CS107" s="52">
        <f t="shared" si="394"/>
        <v>0</v>
      </c>
      <c r="CT107" s="52">
        <f t="shared" si="394"/>
        <v>0</v>
      </c>
      <c r="CU107" s="52">
        <f t="shared" si="394"/>
        <v>0</v>
      </c>
      <c r="CV107" s="52">
        <f t="shared" si="394"/>
        <v>0</v>
      </c>
      <c r="CW107" s="52">
        <f t="shared" si="394"/>
        <v>0</v>
      </c>
      <c r="CX107" s="52">
        <f t="shared" ref="CX107:EC107" si="395">IFERROR(IF(CX$28="FALSE",0,$C$107/$C$8),0)</f>
        <v>0</v>
      </c>
      <c r="CY107" s="52">
        <f t="shared" si="395"/>
        <v>0</v>
      </c>
      <c r="CZ107" s="52">
        <f t="shared" si="395"/>
        <v>0</v>
      </c>
      <c r="DA107" s="52">
        <f t="shared" si="395"/>
        <v>0</v>
      </c>
      <c r="DB107" s="52">
        <f t="shared" si="395"/>
        <v>0</v>
      </c>
      <c r="DC107" s="52">
        <f t="shared" si="395"/>
        <v>0</v>
      </c>
      <c r="DD107" s="52">
        <f t="shared" si="395"/>
        <v>0</v>
      </c>
      <c r="DE107" s="52">
        <f t="shared" si="395"/>
        <v>0</v>
      </c>
      <c r="DF107" s="52">
        <f t="shared" si="395"/>
        <v>0</v>
      </c>
      <c r="DG107" s="52">
        <f t="shared" si="395"/>
        <v>0</v>
      </c>
      <c r="DH107" s="52">
        <f t="shared" si="395"/>
        <v>0</v>
      </c>
      <c r="DI107" s="52">
        <f t="shared" si="395"/>
        <v>0</v>
      </c>
      <c r="DJ107" s="52">
        <f t="shared" si="395"/>
        <v>0</v>
      </c>
      <c r="DK107" s="52">
        <f t="shared" si="395"/>
        <v>0</v>
      </c>
      <c r="DL107" s="52">
        <f t="shared" si="395"/>
        <v>0</v>
      </c>
      <c r="DM107" s="52">
        <f t="shared" si="395"/>
        <v>0</v>
      </c>
      <c r="DN107" s="52">
        <f t="shared" si="395"/>
        <v>0</v>
      </c>
      <c r="DO107" s="52">
        <f t="shared" si="395"/>
        <v>0</v>
      </c>
      <c r="DP107" s="52">
        <f t="shared" si="395"/>
        <v>0</v>
      </c>
      <c r="DQ107" s="52">
        <f t="shared" si="395"/>
        <v>0</v>
      </c>
      <c r="DR107" s="52">
        <f t="shared" si="395"/>
        <v>0</v>
      </c>
      <c r="DS107" s="52">
        <f t="shared" si="395"/>
        <v>0</v>
      </c>
      <c r="DT107" s="52">
        <f t="shared" si="395"/>
        <v>0</v>
      </c>
      <c r="DU107" s="52">
        <f t="shared" si="395"/>
        <v>0</v>
      </c>
      <c r="DV107" s="52">
        <f t="shared" si="395"/>
        <v>0</v>
      </c>
      <c r="DW107" s="52">
        <f t="shared" si="395"/>
        <v>0</v>
      </c>
      <c r="DX107" s="52">
        <f t="shared" si="395"/>
        <v>0</v>
      </c>
      <c r="DY107" s="52">
        <f t="shared" si="395"/>
        <v>0</v>
      </c>
      <c r="DZ107" s="52">
        <f t="shared" si="395"/>
        <v>0</v>
      </c>
      <c r="EA107" s="52">
        <f t="shared" si="395"/>
        <v>0</v>
      </c>
      <c r="EB107" s="52">
        <f t="shared" si="395"/>
        <v>0</v>
      </c>
      <c r="EC107" s="52">
        <f t="shared" si="395"/>
        <v>0</v>
      </c>
      <c r="ED107" s="52">
        <f t="shared" ref="ED107:FD107" si="396">IFERROR(IF(ED$28="FALSE",0,$C$107/$C$8),0)</f>
        <v>0</v>
      </c>
      <c r="EE107" s="52">
        <f t="shared" si="396"/>
        <v>0</v>
      </c>
      <c r="EF107" s="52">
        <f t="shared" si="396"/>
        <v>0</v>
      </c>
      <c r="EG107" s="52">
        <f t="shared" si="396"/>
        <v>0</v>
      </c>
      <c r="EH107" s="52">
        <f t="shared" si="396"/>
        <v>0</v>
      </c>
      <c r="EI107" s="52">
        <f t="shared" si="396"/>
        <v>0</v>
      </c>
      <c r="EJ107" s="52">
        <f t="shared" si="396"/>
        <v>0</v>
      </c>
      <c r="EK107" s="52">
        <f t="shared" si="396"/>
        <v>0</v>
      </c>
      <c r="EL107" s="52">
        <f t="shared" si="396"/>
        <v>0</v>
      </c>
      <c r="EM107" s="52">
        <f t="shared" si="396"/>
        <v>0</v>
      </c>
      <c r="EN107" s="52">
        <f t="shared" si="396"/>
        <v>0</v>
      </c>
      <c r="EO107" s="52">
        <f t="shared" si="396"/>
        <v>0</v>
      </c>
      <c r="EP107" s="52">
        <f t="shared" si="396"/>
        <v>0</v>
      </c>
      <c r="EQ107" s="52">
        <f t="shared" si="396"/>
        <v>0</v>
      </c>
      <c r="ER107" s="52">
        <f t="shared" si="396"/>
        <v>0</v>
      </c>
      <c r="ES107" s="52">
        <f t="shared" si="396"/>
        <v>0</v>
      </c>
      <c r="ET107" s="52">
        <f t="shared" si="396"/>
        <v>0</v>
      </c>
      <c r="EU107" s="52">
        <f t="shared" si="396"/>
        <v>0</v>
      </c>
      <c r="EV107" s="52">
        <f t="shared" si="396"/>
        <v>0</v>
      </c>
      <c r="EW107" s="52">
        <f t="shared" si="396"/>
        <v>0</v>
      </c>
      <c r="EX107" s="52">
        <f t="shared" si="396"/>
        <v>0</v>
      </c>
      <c r="EY107" s="52">
        <f t="shared" si="396"/>
        <v>0</v>
      </c>
      <c r="EZ107" s="52">
        <f t="shared" si="396"/>
        <v>0</v>
      </c>
      <c r="FA107" s="52">
        <f t="shared" si="396"/>
        <v>0</v>
      </c>
      <c r="FB107" s="52">
        <f t="shared" si="396"/>
        <v>0</v>
      </c>
      <c r="FC107" s="52">
        <f t="shared" si="396"/>
        <v>0</v>
      </c>
      <c r="FD107" s="52">
        <f t="shared" si="396"/>
        <v>0</v>
      </c>
    </row>
    <row r="108" spans="2:160">
      <c r="B108" s="51" t="s">
        <v>188</v>
      </c>
      <c r="C108" s="52">
        <f ca="1">IF(Startup!$C$3="Project",SUMIF(Startup!$C$7:$D$27,Overview!B108,Startup!$D$7:$D$27),(SUMIF(Startup!$C$7:$D$27,Overview!B108,Startup!$D$7:$D$27)*Startup!$C$4))+IF(Pilot!$C$3="Project",SUMIF(Pilot!$C$7:$D$27,Overview!B108,Pilot!$D$7:$D$27),(SUMIF(Pilot!$C$7:$D$27,Overview!B108,Pilot!$D$7:$D$27)*Pilot!$C$4))+IF(PMO!$C$3="Project",SUMIF(PMO!$C$7:$D$27,Overview!B108,PMO!$D$7:$D$27),(SUMIF(PMO!$C$7:$D$27,Overview!B108,PMO!$D$7:$D$27)*PMO!$C$4))+IF('Design &amp; Fulfillment'!$C$3="Project",SUMIF('Design &amp; Fulfillment'!$C$7:$D$27,Overview!B108,'Design &amp; Fulfillment'!$D$7:$D$27),(SUMIF('Design &amp; Fulfillment'!$C$7:$D$27,Overview!B108,'Design &amp; Fulfillment'!$D$7:$D$27)*'Design &amp; Fulfillment'!$C$4))+IF(Workplace!$C$3="Project",SUMIF(Workplace!$C$7:$D$27,Overview!B108,Workplace!$D$7:$D$27),(SUMIF(Workplace!$C$7:$D$27,Overview!B108,Workplace!$D$7:$D$27)*Workplace!$C$4))+IF(Integration!$C$3="Project",SUMIF(Integration!$C$7:$D$27,Overview!B108,Integration!$D$7:$D$27),(SUMIF(Integration!$C$7:$D$27,Overview!B108,Integration!$D$7:$D$27)*Integration!$C$4))+IF(Logistics!$C$3="Project",SUMIF(Logistics!$C$7:$D$27,Overview!B108,Logistics!$D$7:$D$27),(SUMIF(Logistics!$C$7:$D$27,Overview!B108,Logistics!$D$7:$D$27)*Logistics!$C$4))+IF('Service Desk'!$C$3="Project",SUMIF('Service Desk'!$C$7:$D$27,Overview!B108,'Service Desk'!$D$7:$D$27),(SUMIF('Service Desk'!$C$7:$D$27,Overview!B108,'Service Desk'!$D$7:$D$27)*'Service Desk'!$C$4))+IF('Pro Services'!$C$3="Project",SUMIF('Pro Services'!$C$7:$D$27,Overview!B108,'Pro Services'!$D$7:$D$27),(SUMIF('Pro Services'!$C$7:$D$27,Overview!B108,'Pro Services'!$D$7:$D$27)*'Pro Services'!$C$4))</f>
        <v>0</v>
      </c>
      <c r="D108" s="53">
        <f ca="1">IF(Startup!$C$3="Project",SUMIF(Startup!$C$7:$H$27,Overview!B108,Startup!$H$7:$H$27),(SUMIF(Startup!$C$7:$H$27,Overview!B108,Startup!$H$7:$H$27)*Startup!$C$4))+IF(Pilot!$C$3="Project",SUMIF(Pilot!$C$7:$H$27,Overview!B108,Pilot!$H$7:$H$27),(SUMIF(Pilot!$C$7:$H$27,Overview!B108,Pilot!$H$7:$H$27)*Pilot!$C$4))+IF(PMO!$C$3="Project",SUMIF(PMO!$C$7:$H$27,Overview!B108,PMO!$H$7:$H$27),(SUMIF(PMO!$C$7:$H$27,Overview!B108,PMO!$H$7:$H$27)*PMO!$C$4))+IF('Design &amp; Fulfillment'!$C$3="Project",SUMIF('Design &amp; Fulfillment'!$C$7:$H$27,Overview!B108,'Design &amp; Fulfillment'!$H$7:$H$27),(SUMIF('Design &amp; Fulfillment'!$C$7:$H$27,Overview!B108,'Design &amp; Fulfillment'!$H$7:$H$27)*'Design &amp; Fulfillment'!$C$4))+IF(Workplace!$C$3="Project",SUMIF(Workplace!$C$7:$H$27,Overview!B108,Workplace!$H$7:$H$27),(SUMIF(Workplace!$C$7:$H$27,Overview!B108,Workplace!$H$7:$H$27)*Workplace!$C$4))+IF(Integration!$C$3="Project",SUMIF(Integration!$C$7:$H$27,Overview!B108,Integration!$H$7:$H$27),(SUMIF(Integration!$C$7:$H$27,Overview!B108,Integration!$H$7:$H$27)*Integration!$C$4))+IF(Logistics!$C$3="Project",SUMIF(Logistics!$C$7:$H$27,Overview!B108,Logistics!$H$7:$H$27),(SUMIF(Logistics!$C$7:$H$27,Overview!B108,Logistics!$H$7:$H$27)*Logistics!$C$4))+IF('Service Desk'!$C$3="Project",SUMIF('Service Desk'!$C$7:$H$27,Overview!B108,'Service Desk'!$H$7:$H$27),(SUMIF('Service Desk'!$C$7:$H$27,Overview!B108,'Service Desk'!$H$7:$H$27)*'Service Desk'!$C$4))+IF('Pro Services'!$C$3="Project",SUMIF('Pro Services'!$C$7:$H$27,Overview!B108,'Pro Services'!$H$7:$H$27),(SUMIF('Pro Services'!$C$7:$H$27,Overview!B108,'Pro Services'!$H$7:$H$27)*'Pro Services'!$C$4))</f>
        <v>0</v>
      </c>
      <c r="E108" s="52">
        <f t="shared" ca="1" si="120"/>
        <v>0</v>
      </c>
      <c r="F108" s="52">
        <f t="shared" ref="F108:AK108" si="397">IFERROR(IF(F$28="FALSE",0,$C$108/$C$8),0)</f>
        <v>0</v>
      </c>
      <c r="G108" s="52">
        <f t="shared" si="397"/>
        <v>0</v>
      </c>
      <c r="H108" s="52">
        <f t="shared" si="397"/>
        <v>0</v>
      </c>
      <c r="I108" s="52">
        <f t="shared" si="397"/>
        <v>0</v>
      </c>
      <c r="J108" s="52">
        <f t="shared" si="397"/>
        <v>0</v>
      </c>
      <c r="K108" s="52">
        <f t="shared" si="397"/>
        <v>0</v>
      </c>
      <c r="L108" s="52">
        <f t="shared" si="397"/>
        <v>0</v>
      </c>
      <c r="M108" s="52">
        <f t="shared" si="397"/>
        <v>0</v>
      </c>
      <c r="N108" s="52">
        <f t="shared" si="397"/>
        <v>0</v>
      </c>
      <c r="O108" s="52">
        <f t="shared" si="397"/>
        <v>0</v>
      </c>
      <c r="P108" s="52">
        <f t="shared" si="397"/>
        <v>0</v>
      </c>
      <c r="Q108" s="52">
        <f t="shared" si="397"/>
        <v>0</v>
      </c>
      <c r="R108" s="52">
        <f t="shared" si="397"/>
        <v>0</v>
      </c>
      <c r="S108" s="52">
        <f t="shared" si="397"/>
        <v>0</v>
      </c>
      <c r="T108" s="52">
        <f t="shared" si="397"/>
        <v>0</v>
      </c>
      <c r="U108" s="52">
        <f t="shared" si="397"/>
        <v>0</v>
      </c>
      <c r="V108" s="52">
        <f t="shared" si="397"/>
        <v>0</v>
      </c>
      <c r="W108" s="52">
        <f t="shared" si="397"/>
        <v>0</v>
      </c>
      <c r="X108" s="52">
        <f t="shared" si="397"/>
        <v>0</v>
      </c>
      <c r="Y108" s="52">
        <f t="shared" si="397"/>
        <v>0</v>
      </c>
      <c r="Z108" s="52">
        <f t="shared" si="397"/>
        <v>0</v>
      </c>
      <c r="AA108" s="52">
        <f t="shared" si="397"/>
        <v>0</v>
      </c>
      <c r="AB108" s="52">
        <f t="shared" si="397"/>
        <v>0</v>
      </c>
      <c r="AC108" s="52">
        <f t="shared" si="397"/>
        <v>0</v>
      </c>
      <c r="AD108" s="52">
        <f t="shared" si="397"/>
        <v>0</v>
      </c>
      <c r="AE108" s="52">
        <f t="shared" si="397"/>
        <v>0</v>
      </c>
      <c r="AF108" s="52">
        <f t="shared" si="397"/>
        <v>0</v>
      </c>
      <c r="AG108" s="52">
        <f t="shared" si="397"/>
        <v>0</v>
      </c>
      <c r="AH108" s="52">
        <f t="shared" si="397"/>
        <v>0</v>
      </c>
      <c r="AI108" s="52">
        <f t="shared" si="397"/>
        <v>0</v>
      </c>
      <c r="AJ108" s="52">
        <f t="shared" si="397"/>
        <v>0</v>
      </c>
      <c r="AK108" s="52">
        <f t="shared" si="397"/>
        <v>0</v>
      </c>
      <c r="AL108" s="52">
        <f t="shared" ref="AL108:BQ108" si="398">IFERROR(IF(AL$28="FALSE",0,$C$108/$C$8),0)</f>
        <v>0</v>
      </c>
      <c r="AM108" s="52">
        <f t="shared" si="398"/>
        <v>0</v>
      </c>
      <c r="AN108" s="52">
        <f t="shared" si="398"/>
        <v>0</v>
      </c>
      <c r="AO108" s="52">
        <f t="shared" si="398"/>
        <v>0</v>
      </c>
      <c r="AP108" s="52">
        <f t="shared" si="398"/>
        <v>0</v>
      </c>
      <c r="AQ108" s="52">
        <f t="shared" si="398"/>
        <v>0</v>
      </c>
      <c r="AR108" s="52">
        <f t="shared" si="398"/>
        <v>0</v>
      </c>
      <c r="AS108" s="52">
        <f t="shared" si="398"/>
        <v>0</v>
      </c>
      <c r="AT108" s="52">
        <f t="shared" si="398"/>
        <v>0</v>
      </c>
      <c r="AU108" s="52">
        <f t="shared" si="398"/>
        <v>0</v>
      </c>
      <c r="AV108" s="52">
        <f t="shared" si="398"/>
        <v>0</v>
      </c>
      <c r="AW108" s="52">
        <f t="shared" si="398"/>
        <v>0</v>
      </c>
      <c r="AX108" s="52">
        <f t="shared" si="398"/>
        <v>0</v>
      </c>
      <c r="AY108" s="52">
        <f t="shared" si="398"/>
        <v>0</v>
      </c>
      <c r="AZ108" s="52">
        <f t="shared" si="398"/>
        <v>0</v>
      </c>
      <c r="BA108" s="52">
        <f t="shared" si="398"/>
        <v>0</v>
      </c>
      <c r="BB108" s="52">
        <f t="shared" si="398"/>
        <v>0</v>
      </c>
      <c r="BC108" s="52">
        <f t="shared" si="398"/>
        <v>0</v>
      </c>
      <c r="BD108" s="52">
        <f t="shared" si="398"/>
        <v>0</v>
      </c>
      <c r="BE108" s="52">
        <f t="shared" si="398"/>
        <v>0</v>
      </c>
      <c r="BF108" s="52">
        <f t="shared" si="398"/>
        <v>0</v>
      </c>
      <c r="BG108" s="52">
        <f t="shared" si="398"/>
        <v>0</v>
      </c>
      <c r="BH108" s="52">
        <f t="shared" si="398"/>
        <v>0</v>
      </c>
      <c r="BI108" s="52">
        <f t="shared" si="398"/>
        <v>0</v>
      </c>
      <c r="BJ108" s="52">
        <f t="shared" si="398"/>
        <v>0</v>
      </c>
      <c r="BK108" s="52">
        <f t="shared" si="398"/>
        <v>0</v>
      </c>
      <c r="BL108" s="52">
        <f t="shared" si="398"/>
        <v>0</v>
      </c>
      <c r="BM108" s="52">
        <f t="shared" si="398"/>
        <v>0</v>
      </c>
      <c r="BN108" s="52">
        <f t="shared" si="398"/>
        <v>0</v>
      </c>
      <c r="BO108" s="52">
        <f t="shared" si="398"/>
        <v>0</v>
      </c>
      <c r="BP108" s="52">
        <f t="shared" si="398"/>
        <v>0</v>
      </c>
      <c r="BQ108" s="52">
        <f t="shared" si="398"/>
        <v>0</v>
      </c>
      <c r="BR108" s="52">
        <f t="shared" ref="BR108:CW108" si="399">IFERROR(IF(BR$28="FALSE",0,$C$108/$C$8),0)</f>
        <v>0</v>
      </c>
      <c r="BS108" s="52">
        <f t="shared" si="399"/>
        <v>0</v>
      </c>
      <c r="BT108" s="52">
        <f t="shared" si="399"/>
        <v>0</v>
      </c>
      <c r="BU108" s="52">
        <f t="shared" si="399"/>
        <v>0</v>
      </c>
      <c r="BV108" s="52">
        <f t="shared" si="399"/>
        <v>0</v>
      </c>
      <c r="BW108" s="52">
        <f t="shared" si="399"/>
        <v>0</v>
      </c>
      <c r="BX108" s="52">
        <f t="shared" si="399"/>
        <v>0</v>
      </c>
      <c r="BY108" s="52">
        <f t="shared" si="399"/>
        <v>0</v>
      </c>
      <c r="BZ108" s="52">
        <f t="shared" si="399"/>
        <v>0</v>
      </c>
      <c r="CA108" s="52">
        <f t="shared" si="399"/>
        <v>0</v>
      </c>
      <c r="CB108" s="52">
        <f t="shared" si="399"/>
        <v>0</v>
      </c>
      <c r="CC108" s="52">
        <f t="shared" si="399"/>
        <v>0</v>
      </c>
      <c r="CD108" s="52">
        <f t="shared" si="399"/>
        <v>0</v>
      </c>
      <c r="CE108" s="52">
        <f t="shared" si="399"/>
        <v>0</v>
      </c>
      <c r="CF108" s="52">
        <f t="shared" si="399"/>
        <v>0</v>
      </c>
      <c r="CG108" s="52">
        <f t="shared" si="399"/>
        <v>0</v>
      </c>
      <c r="CH108" s="52">
        <f t="shared" si="399"/>
        <v>0</v>
      </c>
      <c r="CI108" s="52">
        <f t="shared" si="399"/>
        <v>0</v>
      </c>
      <c r="CJ108" s="52">
        <f t="shared" si="399"/>
        <v>0</v>
      </c>
      <c r="CK108" s="52">
        <f t="shared" si="399"/>
        <v>0</v>
      </c>
      <c r="CL108" s="52">
        <f t="shared" si="399"/>
        <v>0</v>
      </c>
      <c r="CM108" s="52">
        <f t="shared" si="399"/>
        <v>0</v>
      </c>
      <c r="CN108" s="52">
        <f t="shared" si="399"/>
        <v>0</v>
      </c>
      <c r="CO108" s="52">
        <f t="shared" si="399"/>
        <v>0</v>
      </c>
      <c r="CP108" s="52">
        <f t="shared" si="399"/>
        <v>0</v>
      </c>
      <c r="CQ108" s="52">
        <f t="shared" si="399"/>
        <v>0</v>
      </c>
      <c r="CR108" s="52">
        <f t="shared" si="399"/>
        <v>0</v>
      </c>
      <c r="CS108" s="52">
        <f t="shared" si="399"/>
        <v>0</v>
      </c>
      <c r="CT108" s="52">
        <f t="shared" si="399"/>
        <v>0</v>
      </c>
      <c r="CU108" s="52">
        <f t="shared" si="399"/>
        <v>0</v>
      </c>
      <c r="CV108" s="52">
        <f t="shared" si="399"/>
        <v>0</v>
      </c>
      <c r="CW108" s="52">
        <f t="shared" si="399"/>
        <v>0</v>
      </c>
      <c r="CX108" s="52">
        <f t="shared" ref="CX108:EC108" si="400">IFERROR(IF(CX$28="FALSE",0,$C$108/$C$8),0)</f>
        <v>0</v>
      </c>
      <c r="CY108" s="52">
        <f t="shared" si="400"/>
        <v>0</v>
      </c>
      <c r="CZ108" s="52">
        <f t="shared" si="400"/>
        <v>0</v>
      </c>
      <c r="DA108" s="52">
        <f t="shared" si="400"/>
        <v>0</v>
      </c>
      <c r="DB108" s="52">
        <f t="shared" si="400"/>
        <v>0</v>
      </c>
      <c r="DC108" s="52">
        <f t="shared" si="400"/>
        <v>0</v>
      </c>
      <c r="DD108" s="52">
        <f t="shared" si="400"/>
        <v>0</v>
      </c>
      <c r="DE108" s="52">
        <f t="shared" si="400"/>
        <v>0</v>
      </c>
      <c r="DF108" s="52">
        <f t="shared" si="400"/>
        <v>0</v>
      </c>
      <c r="DG108" s="52">
        <f t="shared" si="400"/>
        <v>0</v>
      </c>
      <c r="DH108" s="52">
        <f t="shared" si="400"/>
        <v>0</v>
      </c>
      <c r="DI108" s="52">
        <f t="shared" si="400"/>
        <v>0</v>
      </c>
      <c r="DJ108" s="52">
        <f t="shared" si="400"/>
        <v>0</v>
      </c>
      <c r="DK108" s="52">
        <f t="shared" si="400"/>
        <v>0</v>
      </c>
      <c r="DL108" s="52">
        <f t="shared" si="400"/>
        <v>0</v>
      </c>
      <c r="DM108" s="52">
        <f t="shared" si="400"/>
        <v>0</v>
      </c>
      <c r="DN108" s="52">
        <f t="shared" si="400"/>
        <v>0</v>
      </c>
      <c r="DO108" s="52">
        <f t="shared" si="400"/>
        <v>0</v>
      </c>
      <c r="DP108" s="52">
        <f t="shared" si="400"/>
        <v>0</v>
      </c>
      <c r="DQ108" s="52">
        <f t="shared" si="400"/>
        <v>0</v>
      </c>
      <c r="DR108" s="52">
        <f t="shared" si="400"/>
        <v>0</v>
      </c>
      <c r="DS108" s="52">
        <f t="shared" si="400"/>
        <v>0</v>
      </c>
      <c r="DT108" s="52">
        <f t="shared" si="400"/>
        <v>0</v>
      </c>
      <c r="DU108" s="52">
        <f t="shared" si="400"/>
        <v>0</v>
      </c>
      <c r="DV108" s="52">
        <f t="shared" si="400"/>
        <v>0</v>
      </c>
      <c r="DW108" s="52">
        <f t="shared" si="400"/>
        <v>0</v>
      </c>
      <c r="DX108" s="52">
        <f t="shared" si="400"/>
        <v>0</v>
      </c>
      <c r="DY108" s="52">
        <f t="shared" si="400"/>
        <v>0</v>
      </c>
      <c r="DZ108" s="52">
        <f t="shared" si="400"/>
        <v>0</v>
      </c>
      <c r="EA108" s="52">
        <f t="shared" si="400"/>
        <v>0</v>
      </c>
      <c r="EB108" s="52">
        <f t="shared" si="400"/>
        <v>0</v>
      </c>
      <c r="EC108" s="52">
        <f t="shared" si="400"/>
        <v>0</v>
      </c>
      <c r="ED108" s="52">
        <f t="shared" ref="ED108:FD108" si="401">IFERROR(IF(ED$28="FALSE",0,$C$108/$C$8),0)</f>
        <v>0</v>
      </c>
      <c r="EE108" s="52">
        <f t="shared" si="401"/>
        <v>0</v>
      </c>
      <c r="EF108" s="52">
        <f t="shared" si="401"/>
        <v>0</v>
      </c>
      <c r="EG108" s="52">
        <f t="shared" si="401"/>
        <v>0</v>
      </c>
      <c r="EH108" s="52">
        <f t="shared" si="401"/>
        <v>0</v>
      </c>
      <c r="EI108" s="52">
        <f t="shared" si="401"/>
        <v>0</v>
      </c>
      <c r="EJ108" s="52">
        <f t="shared" si="401"/>
        <v>0</v>
      </c>
      <c r="EK108" s="52">
        <f t="shared" si="401"/>
        <v>0</v>
      </c>
      <c r="EL108" s="52">
        <f t="shared" si="401"/>
        <v>0</v>
      </c>
      <c r="EM108" s="52">
        <f t="shared" si="401"/>
        <v>0</v>
      </c>
      <c r="EN108" s="52">
        <f t="shared" si="401"/>
        <v>0</v>
      </c>
      <c r="EO108" s="52">
        <f t="shared" si="401"/>
        <v>0</v>
      </c>
      <c r="EP108" s="52">
        <f t="shared" si="401"/>
        <v>0</v>
      </c>
      <c r="EQ108" s="52">
        <f t="shared" si="401"/>
        <v>0</v>
      </c>
      <c r="ER108" s="52">
        <f t="shared" si="401"/>
        <v>0</v>
      </c>
      <c r="ES108" s="52">
        <f t="shared" si="401"/>
        <v>0</v>
      </c>
      <c r="ET108" s="52">
        <f t="shared" si="401"/>
        <v>0</v>
      </c>
      <c r="EU108" s="52">
        <f t="shared" si="401"/>
        <v>0</v>
      </c>
      <c r="EV108" s="52">
        <f t="shared" si="401"/>
        <v>0</v>
      </c>
      <c r="EW108" s="52">
        <f t="shared" si="401"/>
        <v>0</v>
      </c>
      <c r="EX108" s="52">
        <f t="shared" si="401"/>
        <v>0</v>
      </c>
      <c r="EY108" s="52">
        <f t="shared" si="401"/>
        <v>0</v>
      </c>
      <c r="EZ108" s="52">
        <f t="shared" si="401"/>
        <v>0</v>
      </c>
      <c r="FA108" s="52">
        <f t="shared" si="401"/>
        <v>0</v>
      </c>
      <c r="FB108" s="52">
        <f t="shared" si="401"/>
        <v>0</v>
      </c>
      <c r="FC108" s="52">
        <f t="shared" si="401"/>
        <v>0</v>
      </c>
      <c r="FD108" s="52">
        <f t="shared" si="401"/>
        <v>0</v>
      </c>
    </row>
    <row r="109" spans="2:160">
      <c r="B109" s="51" t="s">
        <v>189</v>
      </c>
      <c r="C109" s="52">
        <f ca="1">IF(Startup!$C$3="Project",SUMIF(Startup!$C$7:$D$27,Overview!B109,Startup!$D$7:$D$27),(SUMIF(Startup!$C$7:$D$27,Overview!B109,Startup!$D$7:$D$27)*Startup!$C$4))+IF(Pilot!$C$3="Project",SUMIF(Pilot!$C$7:$D$27,Overview!B109,Pilot!$D$7:$D$27),(SUMIF(Pilot!$C$7:$D$27,Overview!B109,Pilot!$D$7:$D$27)*Pilot!$C$4))+IF(PMO!$C$3="Project",SUMIF(PMO!$C$7:$D$27,Overview!B109,PMO!$D$7:$D$27),(SUMIF(PMO!$C$7:$D$27,Overview!B109,PMO!$D$7:$D$27)*PMO!$C$4))+IF('Design &amp; Fulfillment'!$C$3="Project",SUMIF('Design &amp; Fulfillment'!$C$7:$D$27,Overview!B109,'Design &amp; Fulfillment'!$D$7:$D$27),(SUMIF('Design &amp; Fulfillment'!$C$7:$D$27,Overview!B109,'Design &amp; Fulfillment'!$D$7:$D$27)*'Design &amp; Fulfillment'!$C$4))+IF(Workplace!$C$3="Project",SUMIF(Workplace!$C$7:$D$27,Overview!B109,Workplace!$D$7:$D$27),(SUMIF(Workplace!$C$7:$D$27,Overview!B109,Workplace!$D$7:$D$27)*Workplace!$C$4))+IF(Integration!$C$3="Project",SUMIF(Integration!$C$7:$D$27,Overview!B109,Integration!$D$7:$D$27),(SUMIF(Integration!$C$7:$D$27,Overview!B109,Integration!$D$7:$D$27)*Integration!$C$4))+IF(Logistics!$C$3="Project",SUMIF(Logistics!$C$7:$D$27,Overview!B109,Logistics!$D$7:$D$27),(SUMIF(Logistics!$C$7:$D$27,Overview!B109,Logistics!$D$7:$D$27)*Logistics!$C$4))+IF('Service Desk'!$C$3="Project",SUMIF('Service Desk'!$C$7:$D$27,Overview!B109,'Service Desk'!$D$7:$D$27),(SUMIF('Service Desk'!$C$7:$D$27,Overview!B109,'Service Desk'!$D$7:$D$27)*'Service Desk'!$C$4))+IF('Pro Services'!$C$3="Project",SUMIF('Pro Services'!$C$7:$D$27,Overview!B109,'Pro Services'!$D$7:$D$27),(SUMIF('Pro Services'!$C$7:$D$27,Overview!B109,'Pro Services'!$D$7:$D$27)*'Pro Services'!$C$4))</f>
        <v>0</v>
      </c>
      <c r="D109" s="53">
        <f ca="1">IF(Startup!$C$3="Project",SUMIF(Startup!$C$7:$H$27,Overview!B109,Startup!$H$7:$H$27),(SUMIF(Startup!$C$7:$H$27,Overview!B109,Startup!$H$7:$H$27)*Startup!$C$4))+IF(Pilot!$C$3="Project",SUMIF(Pilot!$C$7:$H$27,Overview!B109,Pilot!$H$7:$H$27),(SUMIF(Pilot!$C$7:$H$27,Overview!B109,Pilot!$H$7:$H$27)*Pilot!$C$4))+IF(PMO!$C$3="Project",SUMIF(PMO!$C$7:$H$27,Overview!B109,PMO!$H$7:$H$27),(SUMIF(PMO!$C$7:$H$27,Overview!B109,PMO!$H$7:$H$27)*PMO!$C$4))+IF('Design &amp; Fulfillment'!$C$3="Project",SUMIF('Design &amp; Fulfillment'!$C$7:$H$27,Overview!B109,'Design &amp; Fulfillment'!$H$7:$H$27),(SUMIF('Design &amp; Fulfillment'!$C$7:$H$27,Overview!B109,'Design &amp; Fulfillment'!$H$7:$H$27)*'Design &amp; Fulfillment'!$C$4))+IF(Workplace!$C$3="Project",SUMIF(Workplace!$C$7:$H$27,Overview!B109,Workplace!$H$7:$H$27),(SUMIF(Workplace!$C$7:$H$27,Overview!B109,Workplace!$H$7:$H$27)*Workplace!$C$4))+IF(Integration!$C$3="Project",SUMIF(Integration!$C$7:$H$27,Overview!B109,Integration!$H$7:$H$27),(SUMIF(Integration!$C$7:$H$27,Overview!B109,Integration!$H$7:$H$27)*Integration!$C$4))+IF(Logistics!$C$3="Project",SUMIF(Logistics!$C$7:$H$27,Overview!B109,Logistics!$H$7:$H$27),(SUMIF(Logistics!$C$7:$H$27,Overview!B109,Logistics!$H$7:$H$27)*Logistics!$C$4))+IF('Service Desk'!$C$3="Project",SUMIF('Service Desk'!$C$7:$H$27,Overview!B109,'Service Desk'!$H$7:$H$27),(SUMIF('Service Desk'!$C$7:$H$27,Overview!B109,'Service Desk'!$H$7:$H$27)*'Service Desk'!$C$4))+IF('Pro Services'!$C$3="Project",SUMIF('Pro Services'!$C$7:$H$27,Overview!B109,'Pro Services'!$H$7:$H$27),(SUMIF('Pro Services'!$C$7:$H$27,Overview!B109,'Pro Services'!$H$7:$H$27)*'Pro Services'!$C$4))</f>
        <v>0</v>
      </c>
      <c r="E109" s="52">
        <f t="shared" ca="1" si="120"/>
        <v>0</v>
      </c>
      <c r="F109" s="52">
        <f t="shared" ref="F109:AK109" si="402">IFERROR(IF(F$28="FALSE",0,$C$109/$C$8),0)</f>
        <v>0</v>
      </c>
      <c r="G109" s="52">
        <f t="shared" si="402"/>
        <v>0</v>
      </c>
      <c r="H109" s="52">
        <f t="shared" si="402"/>
        <v>0</v>
      </c>
      <c r="I109" s="52">
        <f t="shared" si="402"/>
        <v>0</v>
      </c>
      <c r="J109" s="52">
        <f t="shared" si="402"/>
        <v>0</v>
      </c>
      <c r="K109" s="52">
        <f t="shared" si="402"/>
        <v>0</v>
      </c>
      <c r="L109" s="52">
        <f t="shared" si="402"/>
        <v>0</v>
      </c>
      <c r="M109" s="52">
        <f t="shared" si="402"/>
        <v>0</v>
      </c>
      <c r="N109" s="52">
        <f t="shared" si="402"/>
        <v>0</v>
      </c>
      <c r="O109" s="52">
        <f t="shared" si="402"/>
        <v>0</v>
      </c>
      <c r="P109" s="52">
        <f t="shared" si="402"/>
        <v>0</v>
      </c>
      <c r="Q109" s="52">
        <f t="shared" si="402"/>
        <v>0</v>
      </c>
      <c r="R109" s="52">
        <f t="shared" si="402"/>
        <v>0</v>
      </c>
      <c r="S109" s="52">
        <f t="shared" si="402"/>
        <v>0</v>
      </c>
      <c r="T109" s="52">
        <f t="shared" si="402"/>
        <v>0</v>
      </c>
      <c r="U109" s="52">
        <f t="shared" si="402"/>
        <v>0</v>
      </c>
      <c r="V109" s="52">
        <f t="shared" si="402"/>
        <v>0</v>
      </c>
      <c r="W109" s="52">
        <f t="shared" si="402"/>
        <v>0</v>
      </c>
      <c r="X109" s="52">
        <f t="shared" si="402"/>
        <v>0</v>
      </c>
      <c r="Y109" s="52">
        <f t="shared" si="402"/>
        <v>0</v>
      </c>
      <c r="Z109" s="52">
        <f t="shared" si="402"/>
        <v>0</v>
      </c>
      <c r="AA109" s="52">
        <f t="shared" si="402"/>
        <v>0</v>
      </c>
      <c r="AB109" s="52">
        <f t="shared" si="402"/>
        <v>0</v>
      </c>
      <c r="AC109" s="52">
        <f t="shared" si="402"/>
        <v>0</v>
      </c>
      <c r="AD109" s="52">
        <f t="shared" si="402"/>
        <v>0</v>
      </c>
      <c r="AE109" s="52">
        <f t="shared" si="402"/>
        <v>0</v>
      </c>
      <c r="AF109" s="52">
        <f t="shared" si="402"/>
        <v>0</v>
      </c>
      <c r="AG109" s="52">
        <f t="shared" si="402"/>
        <v>0</v>
      </c>
      <c r="AH109" s="52">
        <f t="shared" si="402"/>
        <v>0</v>
      </c>
      <c r="AI109" s="52">
        <f t="shared" si="402"/>
        <v>0</v>
      </c>
      <c r="AJ109" s="52">
        <f t="shared" si="402"/>
        <v>0</v>
      </c>
      <c r="AK109" s="52">
        <f t="shared" si="402"/>
        <v>0</v>
      </c>
      <c r="AL109" s="52">
        <f t="shared" ref="AL109:BQ109" si="403">IFERROR(IF(AL$28="FALSE",0,$C$109/$C$8),0)</f>
        <v>0</v>
      </c>
      <c r="AM109" s="52">
        <f t="shared" si="403"/>
        <v>0</v>
      </c>
      <c r="AN109" s="52">
        <f t="shared" si="403"/>
        <v>0</v>
      </c>
      <c r="AO109" s="52">
        <f t="shared" si="403"/>
        <v>0</v>
      </c>
      <c r="AP109" s="52">
        <f t="shared" si="403"/>
        <v>0</v>
      </c>
      <c r="AQ109" s="52">
        <f t="shared" si="403"/>
        <v>0</v>
      </c>
      <c r="AR109" s="52">
        <f t="shared" si="403"/>
        <v>0</v>
      </c>
      <c r="AS109" s="52">
        <f t="shared" si="403"/>
        <v>0</v>
      </c>
      <c r="AT109" s="52">
        <f t="shared" si="403"/>
        <v>0</v>
      </c>
      <c r="AU109" s="52">
        <f t="shared" si="403"/>
        <v>0</v>
      </c>
      <c r="AV109" s="52">
        <f t="shared" si="403"/>
        <v>0</v>
      </c>
      <c r="AW109" s="52">
        <f t="shared" si="403"/>
        <v>0</v>
      </c>
      <c r="AX109" s="52">
        <f t="shared" si="403"/>
        <v>0</v>
      </c>
      <c r="AY109" s="52">
        <f t="shared" si="403"/>
        <v>0</v>
      </c>
      <c r="AZ109" s="52">
        <f t="shared" si="403"/>
        <v>0</v>
      </c>
      <c r="BA109" s="52">
        <f t="shared" si="403"/>
        <v>0</v>
      </c>
      <c r="BB109" s="52">
        <f t="shared" si="403"/>
        <v>0</v>
      </c>
      <c r="BC109" s="52">
        <f t="shared" si="403"/>
        <v>0</v>
      </c>
      <c r="BD109" s="52">
        <f t="shared" si="403"/>
        <v>0</v>
      </c>
      <c r="BE109" s="52">
        <f t="shared" si="403"/>
        <v>0</v>
      </c>
      <c r="BF109" s="52">
        <f t="shared" si="403"/>
        <v>0</v>
      </c>
      <c r="BG109" s="52">
        <f t="shared" si="403"/>
        <v>0</v>
      </c>
      <c r="BH109" s="52">
        <f t="shared" si="403"/>
        <v>0</v>
      </c>
      <c r="BI109" s="52">
        <f t="shared" si="403"/>
        <v>0</v>
      </c>
      <c r="BJ109" s="52">
        <f t="shared" si="403"/>
        <v>0</v>
      </c>
      <c r="BK109" s="52">
        <f t="shared" si="403"/>
        <v>0</v>
      </c>
      <c r="BL109" s="52">
        <f t="shared" si="403"/>
        <v>0</v>
      </c>
      <c r="BM109" s="52">
        <f t="shared" si="403"/>
        <v>0</v>
      </c>
      <c r="BN109" s="52">
        <f t="shared" si="403"/>
        <v>0</v>
      </c>
      <c r="BO109" s="52">
        <f t="shared" si="403"/>
        <v>0</v>
      </c>
      <c r="BP109" s="52">
        <f t="shared" si="403"/>
        <v>0</v>
      </c>
      <c r="BQ109" s="52">
        <f t="shared" si="403"/>
        <v>0</v>
      </c>
      <c r="BR109" s="52">
        <f t="shared" ref="BR109:CW109" si="404">IFERROR(IF(BR$28="FALSE",0,$C$109/$C$8),0)</f>
        <v>0</v>
      </c>
      <c r="BS109" s="52">
        <f t="shared" si="404"/>
        <v>0</v>
      </c>
      <c r="BT109" s="52">
        <f t="shared" si="404"/>
        <v>0</v>
      </c>
      <c r="BU109" s="52">
        <f t="shared" si="404"/>
        <v>0</v>
      </c>
      <c r="BV109" s="52">
        <f t="shared" si="404"/>
        <v>0</v>
      </c>
      <c r="BW109" s="52">
        <f t="shared" si="404"/>
        <v>0</v>
      </c>
      <c r="BX109" s="52">
        <f t="shared" si="404"/>
        <v>0</v>
      </c>
      <c r="BY109" s="52">
        <f t="shared" si="404"/>
        <v>0</v>
      </c>
      <c r="BZ109" s="52">
        <f t="shared" si="404"/>
        <v>0</v>
      </c>
      <c r="CA109" s="52">
        <f t="shared" si="404"/>
        <v>0</v>
      </c>
      <c r="CB109" s="52">
        <f t="shared" si="404"/>
        <v>0</v>
      </c>
      <c r="CC109" s="52">
        <f t="shared" si="404"/>
        <v>0</v>
      </c>
      <c r="CD109" s="52">
        <f t="shared" si="404"/>
        <v>0</v>
      </c>
      <c r="CE109" s="52">
        <f t="shared" si="404"/>
        <v>0</v>
      </c>
      <c r="CF109" s="52">
        <f t="shared" si="404"/>
        <v>0</v>
      </c>
      <c r="CG109" s="52">
        <f t="shared" si="404"/>
        <v>0</v>
      </c>
      <c r="CH109" s="52">
        <f t="shared" si="404"/>
        <v>0</v>
      </c>
      <c r="CI109" s="52">
        <f t="shared" si="404"/>
        <v>0</v>
      </c>
      <c r="CJ109" s="52">
        <f t="shared" si="404"/>
        <v>0</v>
      </c>
      <c r="CK109" s="52">
        <f t="shared" si="404"/>
        <v>0</v>
      </c>
      <c r="CL109" s="52">
        <f t="shared" si="404"/>
        <v>0</v>
      </c>
      <c r="CM109" s="52">
        <f t="shared" si="404"/>
        <v>0</v>
      </c>
      <c r="CN109" s="52">
        <f t="shared" si="404"/>
        <v>0</v>
      </c>
      <c r="CO109" s="52">
        <f t="shared" si="404"/>
        <v>0</v>
      </c>
      <c r="CP109" s="52">
        <f t="shared" si="404"/>
        <v>0</v>
      </c>
      <c r="CQ109" s="52">
        <f t="shared" si="404"/>
        <v>0</v>
      </c>
      <c r="CR109" s="52">
        <f t="shared" si="404"/>
        <v>0</v>
      </c>
      <c r="CS109" s="52">
        <f t="shared" si="404"/>
        <v>0</v>
      </c>
      <c r="CT109" s="52">
        <f t="shared" si="404"/>
        <v>0</v>
      </c>
      <c r="CU109" s="52">
        <f t="shared" si="404"/>
        <v>0</v>
      </c>
      <c r="CV109" s="52">
        <f t="shared" si="404"/>
        <v>0</v>
      </c>
      <c r="CW109" s="52">
        <f t="shared" si="404"/>
        <v>0</v>
      </c>
      <c r="CX109" s="52">
        <f t="shared" ref="CX109:EC109" si="405">IFERROR(IF(CX$28="FALSE",0,$C$109/$C$8),0)</f>
        <v>0</v>
      </c>
      <c r="CY109" s="52">
        <f t="shared" si="405"/>
        <v>0</v>
      </c>
      <c r="CZ109" s="52">
        <f t="shared" si="405"/>
        <v>0</v>
      </c>
      <c r="DA109" s="52">
        <f t="shared" si="405"/>
        <v>0</v>
      </c>
      <c r="DB109" s="52">
        <f t="shared" si="405"/>
        <v>0</v>
      </c>
      <c r="DC109" s="52">
        <f t="shared" si="405"/>
        <v>0</v>
      </c>
      <c r="DD109" s="52">
        <f t="shared" si="405"/>
        <v>0</v>
      </c>
      <c r="DE109" s="52">
        <f t="shared" si="405"/>
        <v>0</v>
      </c>
      <c r="DF109" s="52">
        <f t="shared" si="405"/>
        <v>0</v>
      </c>
      <c r="DG109" s="52">
        <f t="shared" si="405"/>
        <v>0</v>
      </c>
      <c r="DH109" s="52">
        <f t="shared" si="405"/>
        <v>0</v>
      </c>
      <c r="DI109" s="52">
        <f t="shared" si="405"/>
        <v>0</v>
      </c>
      <c r="DJ109" s="52">
        <f t="shared" si="405"/>
        <v>0</v>
      </c>
      <c r="DK109" s="52">
        <f t="shared" si="405"/>
        <v>0</v>
      </c>
      <c r="DL109" s="52">
        <f t="shared" si="405"/>
        <v>0</v>
      </c>
      <c r="DM109" s="52">
        <f t="shared" si="405"/>
        <v>0</v>
      </c>
      <c r="DN109" s="52">
        <f t="shared" si="405"/>
        <v>0</v>
      </c>
      <c r="DO109" s="52">
        <f t="shared" si="405"/>
        <v>0</v>
      </c>
      <c r="DP109" s="52">
        <f t="shared" si="405"/>
        <v>0</v>
      </c>
      <c r="DQ109" s="52">
        <f t="shared" si="405"/>
        <v>0</v>
      </c>
      <c r="DR109" s="52">
        <f t="shared" si="405"/>
        <v>0</v>
      </c>
      <c r="DS109" s="52">
        <f t="shared" si="405"/>
        <v>0</v>
      </c>
      <c r="DT109" s="52">
        <f t="shared" si="405"/>
        <v>0</v>
      </c>
      <c r="DU109" s="52">
        <f t="shared" si="405"/>
        <v>0</v>
      </c>
      <c r="DV109" s="52">
        <f t="shared" si="405"/>
        <v>0</v>
      </c>
      <c r="DW109" s="52">
        <f t="shared" si="405"/>
        <v>0</v>
      </c>
      <c r="DX109" s="52">
        <f t="shared" si="405"/>
        <v>0</v>
      </c>
      <c r="DY109" s="52">
        <f t="shared" si="405"/>
        <v>0</v>
      </c>
      <c r="DZ109" s="52">
        <f t="shared" si="405"/>
        <v>0</v>
      </c>
      <c r="EA109" s="52">
        <f t="shared" si="405"/>
        <v>0</v>
      </c>
      <c r="EB109" s="52">
        <f t="shared" si="405"/>
        <v>0</v>
      </c>
      <c r="EC109" s="52">
        <f t="shared" si="405"/>
        <v>0</v>
      </c>
      <c r="ED109" s="52">
        <f t="shared" ref="ED109:FD109" si="406">IFERROR(IF(ED$28="FALSE",0,$C$109/$C$8),0)</f>
        <v>0</v>
      </c>
      <c r="EE109" s="52">
        <f t="shared" si="406"/>
        <v>0</v>
      </c>
      <c r="EF109" s="52">
        <f t="shared" si="406"/>
        <v>0</v>
      </c>
      <c r="EG109" s="52">
        <f t="shared" si="406"/>
        <v>0</v>
      </c>
      <c r="EH109" s="52">
        <f t="shared" si="406"/>
        <v>0</v>
      </c>
      <c r="EI109" s="52">
        <f t="shared" si="406"/>
        <v>0</v>
      </c>
      <c r="EJ109" s="52">
        <f t="shared" si="406"/>
        <v>0</v>
      </c>
      <c r="EK109" s="52">
        <f t="shared" si="406"/>
        <v>0</v>
      </c>
      <c r="EL109" s="52">
        <f t="shared" si="406"/>
        <v>0</v>
      </c>
      <c r="EM109" s="52">
        <f t="shared" si="406"/>
        <v>0</v>
      </c>
      <c r="EN109" s="52">
        <f t="shared" si="406"/>
        <v>0</v>
      </c>
      <c r="EO109" s="52">
        <f t="shared" si="406"/>
        <v>0</v>
      </c>
      <c r="EP109" s="52">
        <f t="shared" si="406"/>
        <v>0</v>
      </c>
      <c r="EQ109" s="52">
        <f t="shared" si="406"/>
        <v>0</v>
      </c>
      <c r="ER109" s="52">
        <f t="shared" si="406"/>
        <v>0</v>
      </c>
      <c r="ES109" s="52">
        <f t="shared" si="406"/>
        <v>0</v>
      </c>
      <c r="ET109" s="52">
        <f t="shared" si="406"/>
        <v>0</v>
      </c>
      <c r="EU109" s="52">
        <f t="shared" si="406"/>
        <v>0</v>
      </c>
      <c r="EV109" s="52">
        <f t="shared" si="406"/>
        <v>0</v>
      </c>
      <c r="EW109" s="52">
        <f t="shared" si="406"/>
        <v>0</v>
      </c>
      <c r="EX109" s="52">
        <f t="shared" si="406"/>
        <v>0</v>
      </c>
      <c r="EY109" s="52">
        <f t="shared" si="406"/>
        <v>0</v>
      </c>
      <c r="EZ109" s="52">
        <f t="shared" si="406"/>
        <v>0</v>
      </c>
      <c r="FA109" s="52">
        <f t="shared" si="406"/>
        <v>0</v>
      </c>
      <c r="FB109" s="52">
        <f t="shared" si="406"/>
        <v>0</v>
      </c>
      <c r="FC109" s="52">
        <f t="shared" si="406"/>
        <v>0</v>
      </c>
      <c r="FD109" s="52">
        <f t="shared" si="406"/>
        <v>0</v>
      </c>
    </row>
    <row r="110" spans="2:160">
      <c r="B110" s="51" t="s">
        <v>190</v>
      </c>
      <c r="C110" s="52">
        <f ca="1">IF(Startup!$C$3="Project",SUMIF(Startup!$C$7:$D$27,Overview!B110,Startup!$D$7:$D$27),(SUMIF(Startup!$C$7:$D$27,Overview!B110,Startup!$D$7:$D$27)*Startup!$C$4))+IF(Pilot!$C$3="Project",SUMIF(Pilot!$C$7:$D$27,Overview!B110,Pilot!$D$7:$D$27),(SUMIF(Pilot!$C$7:$D$27,Overview!B110,Pilot!$D$7:$D$27)*Pilot!$C$4))+IF(PMO!$C$3="Project",SUMIF(PMO!$C$7:$D$27,Overview!B110,PMO!$D$7:$D$27),(SUMIF(PMO!$C$7:$D$27,Overview!B110,PMO!$D$7:$D$27)*PMO!$C$4))+IF('Design &amp; Fulfillment'!$C$3="Project",SUMIF('Design &amp; Fulfillment'!$C$7:$D$27,Overview!B110,'Design &amp; Fulfillment'!$D$7:$D$27),(SUMIF('Design &amp; Fulfillment'!$C$7:$D$27,Overview!B110,'Design &amp; Fulfillment'!$D$7:$D$27)*'Design &amp; Fulfillment'!$C$4))+IF(Workplace!$C$3="Project",SUMIF(Workplace!$C$7:$D$27,Overview!B110,Workplace!$D$7:$D$27),(SUMIF(Workplace!$C$7:$D$27,Overview!B110,Workplace!$D$7:$D$27)*Workplace!$C$4))+IF(Integration!$C$3="Project",SUMIF(Integration!$C$7:$D$27,Overview!B110,Integration!$D$7:$D$27),(SUMIF(Integration!$C$7:$D$27,Overview!B110,Integration!$D$7:$D$27)*Integration!$C$4))+IF(Logistics!$C$3="Project",SUMIF(Logistics!$C$7:$D$27,Overview!B110,Logistics!$D$7:$D$27),(SUMIF(Logistics!$C$7:$D$27,Overview!B110,Logistics!$D$7:$D$27)*Logistics!$C$4))+IF('Service Desk'!$C$3="Project",SUMIF('Service Desk'!$C$7:$D$27,Overview!B110,'Service Desk'!$D$7:$D$27),(SUMIF('Service Desk'!$C$7:$D$27,Overview!B110,'Service Desk'!$D$7:$D$27)*'Service Desk'!$C$4))+IF('Pro Services'!$C$3="Project",SUMIF('Pro Services'!$C$7:$D$27,Overview!B110,'Pro Services'!$D$7:$D$27),(SUMIF('Pro Services'!$C$7:$D$27,Overview!B110,'Pro Services'!$D$7:$D$27)*'Pro Services'!$C$4))</f>
        <v>0</v>
      </c>
      <c r="D110" s="53">
        <f ca="1">IF(Startup!$C$3="Project",SUMIF(Startup!$C$7:$H$27,Overview!B110,Startup!$H$7:$H$27),(SUMIF(Startup!$C$7:$H$27,Overview!B110,Startup!$H$7:$H$27)*Startup!$C$4))+IF(Pilot!$C$3="Project",SUMIF(Pilot!$C$7:$H$27,Overview!B110,Pilot!$H$7:$H$27),(SUMIF(Pilot!$C$7:$H$27,Overview!B110,Pilot!$H$7:$H$27)*Pilot!$C$4))+IF(PMO!$C$3="Project",SUMIF(PMO!$C$7:$H$27,Overview!B110,PMO!$H$7:$H$27),(SUMIF(PMO!$C$7:$H$27,Overview!B110,PMO!$H$7:$H$27)*PMO!$C$4))+IF('Design &amp; Fulfillment'!$C$3="Project",SUMIF('Design &amp; Fulfillment'!$C$7:$H$27,Overview!B110,'Design &amp; Fulfillment'!$H$7:$H$27),(SUMIF('Design &amp; Fulfillment'!$C$7:$H$27,Overview!B110,'Design &amp; Fulfillment'!$H$7:$H$27)*'Design &amp; Fulfillment'!$C$4))+IF(Workplace!$C$3="Project",SUMIF(Workplace!$C$7:$H$27,Overview!B110,Workplace!$H$7:$H$27),(SUMIF(Workplace!$C$7:$H$27,Overview!B110,Workplace!$H$7:$H$27)*Workplace!$C$4))+IF(Integration!$C$3="Project",SUMIF(Integration!$C$7:$H$27,Overview!B110,Integration!$H$7:$H$27),(SUMIF(Integration!$C$7:$H$27,Overview!B110,Integration!$H$7:$H$27)*Integration!$C$4))+IF(Logistics!$C$3="Project",SUMIF(Logistics!$C$7:$H$27,Overview!B110,Logistics!$H$7:$H$27),(SUMIF(Logistics!$C$7:$H$27,Overview!B110,Logistics!$H$7:$H$27)*Logistics!$C$4))+IF('Service Desk'!$C$3="Project",SUMIF('Service Desk'!$C$7:$H$27,Overview!B110,'Service Desk'!$H$7:$H$27),(SUMIF('Service Desk'!$C$7:$H$27,Overview!B110,'Service Desk'!$H$7:$H$27)*'Service Desk'!$C$4))+IF('Pro Services'!$C$3="Project",SUMIF('Pro Services'!$C$7:$H$27,Overview!B110,'Pro Services'!$H$7:$H$27),(SUMIF('Pro Services'!$C$7:$H$27,Overview!B110,'Pro Services'!$H$7:$H$27)*'Pro Services'!$C$4))</f>
        <v>0</v>
      </c>
      <c r="E110" s="52">
        <f t="shared" ca="1" si="120"/>
        <v>0</v>
      </c>
      <c r="F110" s="52">
        <f t="shared" ref="F110:AK110" si="407">IFERROR(IF(F$28="FALSE",0,$C$110/$C$8),0)</f>
        <v>0</v>
      </c>
      <c r="G110" s="52">
        <f t="shared" si="407"/>
        <v>0</v>
      </c>
      <c r="H110" s="52">
        <f t="shared" si="407"/>
        <v>0</v>
      </c>
      <c r="I110" s="52">
        <f t="shared" si="407"/>
        <v>0</v>
      </c>
      <c r="J110" s="52">
        <f t="shared" si="407"/>
        <v>0</v>
      </c>
      <c r="K110" s="52">
        <f t="shared" si="407"/>
        <v>0</v>
      </c>
      <c r="L110" s="52">
        <f t="shared" si="407"/>
        <v>0</v>
      </c>
      <c r="M110" s="52">
        <f t="shared" si="407"/>
        <v>0</v>
      </c>
      <c r="N110" s="52">
        <f t="shared" si="407"/>
        <v>0</v>
      </c>
      <c r="O110" s="52">
        <f t="shared" si="407"/>
        <v>0</v>
      </c>
      <c r="P110" s="52">
        <f t="shared" si="407"/>
        <v>0</v>
      </c>
      <c r="Q110" s="52">
        <f t="shared" si="407"/>
        <v>0</v>
      </c>
      <c r="R110" s="52">
        <f t="shared" si="407"/>
        <v>0</v>
      </c>
      <c r="S110" s="52">
        <f t="shared" si="407"/>
        <v>0</v>
      </c>
      <c r="T110" s="52">
        <f t="shared" si="407"/>
        <v>0</v>
      </c>
      <c r="U110" s="52">
        <f t="shared" si="407"/>
        <v>0</v>
      </c>
      <c r="V110" s="52">
        <f t="shared" si="407"/>
        <v>0</v>
      </c>
      <c r="W110" s="52">
        <f t="shared" si="407"/>
        <v>0</v>
      </c>
      <c r="X110" s="52">
        <f t="shared" si="407"/>
        <v>0</v>
      </c>
      <c r="Y110" s="52">
        <f t="shared" si="407"/>
        <v>0</v>
      </c>
      <c r="Z110" s="52">
        <f t="shared" si="407"/>
        <v>0</v>
      </c>
      <c r="AA110" s="52">
        <f t="shared" si="407"/>
        <v>0</v>
      </c>
      <c r="AB110" s="52">
        <f t="shared" si="407"/>
        <v>0</v>
      </c>
      <c r="AC110" s="52">
        <f t="shared" si="407"/>
        <v>0</v>
      </c>
      <c r="AD110" s="52">
        <f t="shared" si="407"/>
        <v>0</v>
      </c>
      <c r="AE110" s="52">
        <f t="shared" si="407"/>
        <v>0</v>
      </c>
      <c r="AF110" s="52">
        <f t="shared" si="407"/>
        <v>0</v>
      </c>
      <c r="AG110" s="52">
        <f t="shared" si="407"/>
        <v>0</v>
      </c>
      <c r="AH110" s="52">
        <f t="shared" si="407"/>
        <v>0</v>
      </c>
      <c r="AI110" s="52">
        <f t="shared" si="407"/>
        <v>0</v>
      </c>
      <c r="AJ110" s="52">
        <f t="shared" si="407"/>
        <v>0</v>
      </c>
      <c r="AK110" s="52">
        <f t="shared" si="407"/>
        <v>0</v>
      </c>
      <c r="AL110" s="52">
        <f t="shared" ref="AL110:BQ110" si="408">IFERROR(IF(AL$28="FALSE",0,$C$110/$C$8),0)</f>
        <v>0</v>
      </c>
      <c r="AM110" s="52">
        <f t="shared" si="408"/>
        <v>0</v>
      </c>
      <c r="AN110" s="52">
        <f t="shared" si="408"/>
        <v>0</v>
      </c>
      <c r="AO110" s="52">
        <f t="shared" si="408"/>
        <v>0</v>
      </c>
      <c r="AP110" s="52">
        <f t="shared" si="408"/>
        <v>0</v>
      </c>
      <c r="AQ110" s="52">
        <f t="shared" si="408"/>
        <v>0</v>
      </c>
      <c r="AR110" s="52">
        <f t="shared" si="408"/>
        <v>0</v>
      </c>
      <c r="AS110" s="52">
        <f t="shared" si="408"/>
        <v>0</v>
      </c>
      <c r="AT110" s="52">
        <f t="shared" si="408"/>
        <v>0</v>
      </c>
      <c r="AU110" s="52">
        <f t="shared" si="408"/>
        <v>0</v>
      </c>
      <c r="AV110" s="52">
        <f t="shared" si="408"/>
        <v>0</v>
      </c>
      <c r="AW110" s="52">
        <f t="shared" si="408"/>
        <v>0</v>
      </c>
      <c r="AX110" s="52">
        <f t="shared" si="408"/>
        <v>0</v>
      </c>
      <c r="AY110" s="52">
        <f t="shared" si="408"/>
        <v>0</v>
      </c>
      <c r="AZ110" s="52">
        <f t="shared" si="408"/>
        <v>0</v>
      </c>
      <c r="BA110" s="52">
        <f t="shared" si="408"/>
        <v>0</v>
      </c>
      <c r="BB110" s="52">
        <f t="shared" si="408"/>
        <v>0</v>
      </c>
      <c r="BC110" s="52">
        <f t="shared" si="408"/>
        <v>0</v>
      </c>
      <c r="BD110" s="52">
        <f t="shared" si="408"/>
        <v>0</v>
      </c>
      <c r="BE110" s="52">
        <f t="shared" si="408"/>
        <v>0</v>
      </c>
      <c r="BF110" s="52">
        <f t="shared" si="408"/>
        <v>0</v>
      </c>
      <c r="BG110" s="52">
        <f t="shared" si="408"/>
        <v>0</v>
      </c>
      <c r="BH110" s="52">
        <f t="shared" si="408"/>
        <v>0</v>
      </c>
      <c r="BI110" s="52">
        <f t="shared" si="408"/>
        <v>0</v>
      </c>
      <c r="BJ110" s="52">
        <f t="shared" si="408"/>
        <v>0</v>
      </c>
      <c r="BK110" s="52">
        <f t="shared" si="408"/>
        <v>0</v>
      </c>
      <c r="BL110" s="52">
        <f t="shared" si="408"/>
        <v>0</v>
      </c>
      <c r="BM110" s="52">
        <f t="shared" si="408"/>
        <v>0</v>
      </c>
      <c r="BN110" s="52">
        <f t="shared" si="408"/>
        <v>0</v>
      </c>
      <c r="BO110" s="52">
        <f t="shared" si="408"/>
        <v>0</v>
      </c>
      <c r="BP110" s="52">
        <f t="shared" si="408"/>
        <v>0</v>
      </c>
      <c r="BQ110" s="52">
        <f t="shared" si="408"/>
        <v>0</v>
      </c>
      <c r="BR110" s="52">
        <f t="shared" ref="BR110:CW110" si="409">IFERROR(IF(BR$28="FALSE",0,$C$110/$C$8),0)</f>
        <v>0</v>
      </c>
      <c r="BS110" s="52">
        <f t="shared" si="409"/>
        <v>0</v>
      </c>
      <c r="BT110" s="52">
        <f t="shared" si="409"/>
        <v>0</v>
      </c>
      <c r="BU110" s="52">
        <f t="shared" si="409"/>
        <v>0</v>
      </c>
      <c r="BV110" s="52">
        <f t="shared" si="409"/>
        <v>0</v>
      </c>
      <c r="BW110" s="52">
        <f t="shared" si="409"/>
        <v>0</v>
      </c>
      <c r="BX110" s="52">
        <f t="shared" si="409"/>
        <v>0</v>
      </c>
      <c r="BY110" s="52">
        <f t="shared" si="409"/>
        <v>0</v>
      </c>
      <c r="BZ110" s="52">
        <f t="shared" si="409"/>
        <v>0</v>
      </c>
      <c r="CA110" s="52">
        <f t="shared" si="409"/>
        <v>0</v>
      </c>
      <c r="CB110" s="52">
        <f t="shared" si="409"/>
        <v>0</v>
      </c>
      <c r="CC110" s="52">
        <f t="shared" si="409"/>
        <v>0</v>
      </c>
      <c r="CD110" s="52">
        <f t="shared" si="409"/>
        <v>0</v>
      </c>
      <c r="CE110" s="52">
        <f t="shared" si="409"/>
        <v>0</v>
      </c>
      <c r="CF110" s="52">
        <f t="shared" si="409"/>
        <v>0</v>
      </c>
      <c r="CG110" s="52">
        <f t="shared" si="409"/>
        <v>0</v>
      </c>
      <c r="CH110" s="52">
        <f t="shared" si="409"/>
        <v>0</v>
      </c>
      <c r="CI110" s="52">
        <f t="shared" si="409"/>
        <v>0</v>
      </c>
      <c r="CJ110" s="52">
        <f t="shared" si="409"/>
        <v>0</v>
      </c>
      <c r="CK110" s="52">
        <f t="shared" si="409"/>
        <v>0</v>
      </c>
      <c r="CL110" s="52">
        <f t="shared" si="409"/>
        <v>0</v>
      </c>
      <c r="CM110" s="52">
        <f t="shared" si="409"/>
        <v>0</v>
      </c>
      <c r="CN110" s="52">
        <f t="shared" si="409"/>
        <v>0</v>
      </c>
      <c r="CO110" s="52">
        <f t="shared" si="409"/>
        <v>0</v>
      </c>
      <c r="CP110" s="52">
        <f t="shared" si="409"/>
        <v>0</v>
      </c>
      <c r="CQ110" s="52">
        <f t="shared" si="409"/>
        <v>0</v>
      </c>
      <c r="CR110" s="52">
        <f t="shared" si="409"/>
        <v>0</v>
      </c>
      <c r="CS110" s="52">
        <f t="shared" si="409"/>
        <v>0</v>
      </c>
      <c r="CT110" s="52">
        <f t="shared" si="409"/>
        <v>0</v>
      </c>
      <c r="CU110" s="52">
        <f t="shared" si="409"/>
        <v>0</v>
      </c>
      <c r="CV110" s="52">
        <f t="shared" si="409"/>
        <v>0</v>
      </c>
      <c r="CW110" s="52">
        <f t="shared" si="409"/>
        <v>0</v>
      </c>
      <c r="CX110" s="52">
        <f t="shared" ref="CX110:EC110" si="410">IFERROR(IF(CX$28="FALSE",0,$C$110/$C$8),0)</f>
        <v>0</v>
      </c>
      <c r="CY110" s="52">
        <f t="shared" si="410"/>
        <v>0</v>
      </c>
      <c r="CZ110" s="52">
        <f t="shared" si="410"/>
        <v>0</v>
      </c>
      <c r="DA110" s="52">
        <f t="shared" si="410"/>
        <v>0</v>
      </c>
      <c r="DB110" s="52">
        <f t="shared" si="410"/>
        <v>0</v>
      </c>
      <c r="DC110" s="52">
        <f t="shared" si="410"/>
        <v>0</v>
      </c>
      <c r="DD110" s="52">
        <f t="shared" si="410"/>
        <v>0</v>
      </c>
      <c r="DE110" s="52">
        <f t="shared" si="410"/>
        <v>0</v>
      </c>
      <c r="DF110" s="52">
        <f t="shared" si="410"/>
        <v>0</v>
      </c>
      <c r="DG110" s="52">
        <f t="shared" si="410"/>
        <v>0</v>
      </c>
      <c r="DH110" s="52">
        <f t="shared" si="410"/>
        <v>0</v>
      </c>
      <c r="DI110" s="52">
        <f t="shared" si="410"/>
        <v>0</v>
      </c>
      <c r="DJ110" s="52">
        <f t="shared" si="410"/>
        <v>0</v>
      </c>
      <c r="DK110" s="52">
        <f t="shared" si="410"/>
        <v>0</v>
      </c>
      <c r="DL110" s="52">
        <f t="shared" si="410"/>
        <v>0</v>
      </c>
      <c r="DM110" s="52">
        <f t="shared" si="410"/>
        <v>0</v>
      </c>
      <c r="DN110" s="52">
        <f t="shared" si="410"/>
        <v>0</v>
      </c>
      <c r="DO110" s="52">
        <f t="shared" si="410"/>
        <v>0</v>
      </c>
      <c r="DP110" s="52">
        <f t="shared" si="410"/>
        <v>0</v>
      </c>
      <c r="DQ110" s="52">
        <f t="shared" si="410"/>
        <v>0</v>
      </c>
      <c r="DR110" s="52">
        <f t="shared" si="410"/>
        <v>0</v>
      </c>
      <c r="DS110" s="52">
        <f t="shared" si="410"/>
        <v>0</v>
      </c>
      <c r="DT110" s="52">
        <f t="shared" si="410"/>
        <v>0</v>
      </c>
      <c r="DU110" s="52">
        <f t="shared" si="410"/>
        <v>0</v>
      </c>
      <c r="DV110" s="52">
        <f t="shared" si="410"/>
        <v>0</v>
      </c>
      <c r="DW110" s="52">
        <f t="shared" si="410"/>
        <v>0</v>
      </c>
      <c r="DX110" s="52">
        <f t="shared" si="410"/>
        <v>0</v>
      </c>
      <c r="DY110" s="52">
        <f t="shared" si="410"/>
        <v>0</v>
      </c>
      <c r="DZ110" s="52">
        <f t="shared" si="410"/>
        <v>0</v>
      </c>
      <c r="EA110" s="52">
        <f t="shared" si="410"/>
        <v>0</v>
      </c>
      <c r="EB110" s="52">
        <f t="shared" si="410"/>
        <v>0</v>
      </c>
      <c r="EC110" s="52">
        <f t="shared" si="410"/>
        <v>0</v>
      </c>
      <c r="ED110" s="52">
        <f t="shared" ref="ED110:FD110" si="411">IFERROR(IF(ED$28="FALSE",0,$C$110/$C$8),0)</f>
        <v>0</v>
      </c>
      <c r="EE110" s="52">
        <f t="shared" si="411"/>
        <v>0</v>
      </c>
      <c r="EF110" s="52">
        <f t="shared" si="411"/>
        <v>0</v>
      </c>
      <c r="EG110" s="52">
        <f t="shared" si="411"/>
        <v>0</v>
      </c>
      <c r="EH110" s="52">
        <f t="shared" si="411"/>
        <v>0</v>
      </c>
      <c r="EI110" s="52">
        <f t="shared" si="411"/>
        <v>0</v>
      </c>
      <c r="EJ110" s="52">
        <f t="shared" si="411"/>
        <v>0</v>
      </c>
      <c r="EK110" s="52">
        <f t="shared" si="411"/>
        <v>0</v>
      </c>
      <c r="EL110" s="52">
        <f t="shared" si="411"/>
        <v>0</v>
      </c>
      <c r="EM110" s="52">
        <f t="shared" si="411"/>
        <v>0</v>
      </c>
      <c r="EN110" s="52">
        <f t="shared" si="411"/>
        <v>0</v>
      </c>
      <c r="EO110" s="52">
        <f t="shared" si="411"/>
        <v>0</v>
      </c>
      <c r="EP110" s="52">
        <f t="shared" si="411"/>
        <v>0</v>
      </c>
      <c r="EQ110" s="52">
        <f t="shared" si="411"/>
        <v>0</v>
      </c>
      <c r="ER110" s="52">
        <f t="shared" si="411"/>
        <v>0</v>
      </c>
      <c r="ES110" s="52">
        <f t="shared" si="411"/>
        <v>0</v>
      </c>
      <c r="ET110" s="52">
        <f t="shared" si="411"/>
        <v>0</v>
      </c>
      <c r="EU110" s="52">
        <f t="shared" si="411"/>
        <v>0</v>
      </c>
      <c r="EV110" s="52">
        <f t="shared" si="411"/>
        <v>0</v>
      </c>
      <c r="EW110" s="52">
        <f t="shared" si="411"/>
        <v>0</v>
      </c>
      <c r="EX110" s="52">
        <f t="shared" si="411"/>
        <v>0</v>
      </c>
      <c r="EY110" s="52">
        <f t="shared" si="411"/>
        <v>0</v>
      </c>
      <c r="EZ110" s="52">
        <f t="shared" si="411"/>
        <v>0</v>
      </c>
      <c r="FA110" s="52">
        <f t="shared" si="411"/>
        <v>0</v>
      </c>
      <c r="FB110" s="52">
        <f t="shared" si="411"/>
        <v>0</v>
      </c>
      <c r="FC110" s="52">
        <f t="shared" si="411"/>
        <v>0</v>
      </c>
      <c r="FD110" s="52">
        <f t="shared" si="411"/>
        <v>0</v>
      </c>
    </row>
    <row r="111" spans="2:160">
      <c r="B111" s="51" t="s">
        <v>192</v>
      </c>
      <c r="C111" s="52">
        <f ca="1">IF(Startup!$C$3="Project",SUMIF(Startup!$C$7:$D$27,Overview!B111,Startup!$D$7:$D$27),(SUMIF(Startup!$C$7:$D$27,Overview!B111,Startup!$D$7:$D$27)*Startup!$C$4))+IF(Pilot!$C$3="Project",SUMIF(Pilot!$C$7:$D$27,Overview!B111,Pilot!$D$7:$D$27),(SUMIF(Pilot!$C$7:$D$27,Overview!B111,Pilot!$D$7:$D$27)*Pilot!$C$4))+IF(PMO!$C$3="Project",SUMIF(PMO!$C$7:$D$27,Overview!B111,PMO!$D$7:$D$27),(SUMIF(PMO!$C$7:$D$27,Overview!B111,PMO!$D$7:$D$27)*PMO!$C$4))+IF('Design &amp; Fulfillment'!$C$3="Project",SUMIF('Design &amp; Fulfillment'!$C$7:$D$27,Overview!B111,'Design &amp; Fulfillment'!$D$7:$D$27),(SUMIF('Design &amp; Fulfillment'!$C$7:$D$27,Overview!B111,'Design &amp; Fulfillment'!$D$7:$D$27)*'Design &amp; Fulfillment'!$C$4))+IF(Workplace!$C$3="Project",SUMIF(Workplace!$C$7:$D$27,Overview!B111,Workplace!$D$7:$D$27),(SUMIF(Workplace!$C$7:$D$27,Overview!B111,Workplace!$D$7:$D$27)*Workplace!$C$4))+IF(Integration!$C$3="Project",SUMIF(Integration!$C$7:$D$27,Overview!B111,Integration!$D$7:$D$27),(SUMIF(Integration!$C$7:$D$27,Overview!B111,Integration!$D$7:$D$27)*Integration!$C$4))+IF(Logistics!$C$3="Project",SUMIF(Logistics!$C$7:$D$27,Overview!B111,Logistics!$D$7:$D$27),(SUMIF(Logistics!$C$7:$D$27,Overview!B111,Logistics!$D$7:$D$27)*Logistics!$C$4))+IF('Service Desk'!$C$3="Project",SUMIF('Service Desk'!$C$7:$D$27,Overview!B111,'Service Desk'!$D$7:$D$27),(SUMIF('Service Desk'!$C$7:$D$27,Overview!B111,'Service Desk'!$D$7:$D$27)*'Service Desk'!$C$4))+IF('Pro Services'!$C$3="Project",SUMIF('Pro Services'!$C$7:$D$27,Overview!B111,'Pro Services'!$D$7:$D$27),(SUMIF('Pro Services'!$C$7:$D$27,Overview!B111,'Pro Services'!$D$7:$D$27)*'Pro Services'!$C$4))</f>
        <v>0</v>
      </c>
      <c r="D111" s="53">
        <f ca="1">IF(Startup!$C$3="Project",SUMIF(Startup!$C$7:$H$27,Overview!B111,Startup!$H$7:$H$27),(SUMIF(Startup!$C$7:$H$27,Overview!B111,Startup!$H$7:$H$27)*Startup!$C$4))+IF(Pilot!$C$3="Project",SUMIF(Pilot!$C$7:$H$27,Overview!B111,Pilot!$H$7:$H$27),(SUMIF(Pilot!$C$7:$H$27,Overview!B111,Pilot!$H$7:$H$27)*Pilot!$C$4))+IF(PMO!$C$3="Project",SUMIF(PMO!$C$7:$H$27,Overview!B111,PMO!$H$7:$H$27),(SUMIF(PMO!$C$7:$H$27,Overview!B111,PMO!$H$7:$H$27)*PMO!$C$4))+IF('Design &amp; Fulfillment'!$C$3="Project",SUMIF('Design &amp; Fulfillment'!$C$7:$H$27,Overview!B111,'Design &amp; Fulfillment'!$H$7:$H$27),(SUMIF('Design &amp; Fulfillment'!$C$7:$H$27,Overview!B111,'Design &amp; Fulfillment'!$H$7:$H$27)*'Design &amp; Fulfillment'!$C$4))+IF(Workplace!$C$3="Project",SUMIF(Workplace!$C$7:$H$27,Overview!B111,Workplace!$H$7:$H$27),(SUMIF(Workplace!$C$7:$H$27,Overview!B111,Workplace!$H$7:$H$27)*Workplace!$C$4))+IF(Integration!$C$3="Project",SUMIF(Integration!$C$7:$H$27,Overview!B111,Integration!$H$7:$H$27),(SUMIF(Integration!$C$7:$H$27,Overview!B111,Integration!$H$7:$H$27)*Integration!$C$4))+IF(Logistics!$C$3="Project",SUMIF(Logistics!$C$7:$H$27,Overview!B111,Logistics!$H$7:$H$27),(SUMIF(Logistics!$C$7:$H$27,Overview!B111,Logistics!$H$7:$H$27)*Logistics!$C$4))+IF('Service Desk'!$C$3="Project",SUMIF('Service Desk'!$C$7:$H$27,Overview!B111,'Service Desk'!$H$7:$H$27),(SUMIF('Service Desk'!$C$7:$H$27,Overview!B111,'Service Desk'!$H$7:$H$27)*'Service Desk'!$C$4))+IF('Pro Services'!$C$3="Project",SUMIF('Pro Services'!$C$7:$H$27,Overview!B111,'Pro Services'!$H$7:$H$27),(SUMIF('Pro Services'!$C$7:$H$27,Overview!B111,'Pro Services'!$H$7:$H$27)*'Pro Services'!$C$4))</f>
        <v>0</v>
      </c>
      <c r="E111" s="52">
        <f t="shared" ca="1" si="120"/>
        <v>0</v>
      </c>
      <c r="F111" s="52">
        <f t="shared" ref="F111:AK111" si="412">IFERROR(IF(F$28="FALSE",0,$C$111/$C$8),0)</f>
        <v>0</v>
      </c>
      <c r="G111" s="52">
        <f t="shared" si="412"/>
        <v>0</v>
      </c>
      <c r="H111" s="52">
        <f t="shared" si="412"/>
        <v>0</v>
      </c>
      <c r="I111" s="52">
        <f t="shared" si="412"/>
        <v>0</v>
      </c>
      <c r="J111" s="52">
        <f t="shared" si="412"/>
        <v>0</v>
      </c>
      <c r="K111" s="52">
        <f t="shared" si="412"/>
        <v>0</v>
      </c>
      <c r="L111" s="52">
        <f t="shared" si="412"/>
        <v>0</v>
      </c>
      <c r="M111" s="52">
        <f t="shared" si="412"/>
        <v>0</v>
      </c>
      <c r="N111" s="52">
        <f t="shared" si="412"/>
        <v>0</v>
      </c>
      <c r="O111" s="52">
        <f t="shared" si="412"/>
        <v>0</v>
      </c>
      <c r="P111" s="52">
        <f t="shared" si="412"/>
        <v>0</v>
      </c>
      <c r="Q111" s="52">
        <f t="shared" si="412"/>
        <v>0</v>
      </c>
      <c r="R111" s="52">
        <f t="shared" si="412"/>
        <v>0</v>
      </c>
      <c r="S111" s="52">
        <f t="shared" si="412"/>
        <v>0</v>
      </c>
      <c r="T111" s="52">
        <f t="shared" si="412"/>
        <v>0</v>
      </c>
      <c r="U111" s="52">
        <f t="shared" si="412"/>
        <v>0</v>
      </c>
      <c r="V111" s="52">
        <f t="shared" si="412"/>
        <v>0</v>
      </c>
      <c r="W111" s="52">
        <f t="shared" si="412"/>
        <v>0</v>
      </c>
      <c r="X111" s="52">
        <f t="shared" si="412"/>
        <v>0</v>
      </c>
      <c r="Y111" s="52">
        <f t="shared" si="412"/>
        <v>0</v>
      </c>
      <c r="Z111" s="52">
        <f t="shared" si="412"/>
        <v>0</v>
      </c>
      <c r="AA111" s="52">
        <f t="shared" si="412"/>
        <v>0</v>
      </c>
      <c r="AB111" s="52">
        <f t="shared" si="412"/>
        <v>0</v>
      </c>
      <c r="AC111" s="52">
        <f t="shared" si="412"/>
        <v>0</v>
      </c>
      <c r="AD111" s="52">
        <f t="shared" si="412"/>
        <v>0</v>
      </c>
      <c r="AE111" s="52">
        <f t="shared" si="412"/>
        <v>0</v>
      </c>
      <c r="AF111" s="52">
        <f t="shared" si="412"/>
        <v>0</v>
      </c>
      <c r="AG111" s="52">
        <f t="shared" si="412"/>
        <v>0</v>
      </c>
      <c r="AH111" s="52">
        <f t="shared" si="412"/>
        <v>0</v>
      </c>
      <c r="AI111" s="52">
        <f t="shared" si="412"/>
        <v>0</v>
      </c>
      <c r="AJ111" s="52">
        <f t="shared" si="412"/>
        <v>0</v>
      </c>
      <c r="AK111" s="52">
        <f t="shared" si="412"/>
        <v>0</v>
      </c>
      <c r="AL111" s="52">
        <f t="shared" ref="AL111:BQ111" si="413">IFERROR(IF(AL$28="FALSE",0,$C$111/$C$8),0)</f>
        <v>0</v>
      </c>
      <c r="AM111" s="52">
        <f t="shared" si="413"/>
        <v>0</v>
      </c>
      <c r="AN111" s="52">
        <f t="shared" si="413"/>
        <v>0</v>
      </c>
      <c r="AO111" s="52">
        <f t="shared" si="413"/>
        <v>0</v>
      </c>
      <c r="AP111" s="52">
        <f t="shared" si="413"/>
        <v>0</v>
      </c>
      <c r="AQ111" s="52">
        <f t="shared" si="413"/>
        <v>0</v>
      </c>
      <c r="AR111" s="52">
        <f t="shared" si="413"/>
        <v>0</v>
      </c>
      <c r="AS111" s="52">
        <f t="shared" si="413"/>
        <v>0</v>
      </c>
      <c r="AT111" s="52">
        <f t="shared" si="413"/>
        <v>0</v>
      </c>
      <c r="AU111" s="52">
        <f t="shared" si="413"/>
        <v>0</v>
      </c>
      <c r="AV111" s="52">
        <f t="shared" si="413"/>
        <v>0</v>
      </c>
      <c r="AW111" s="52">
        <f t="shared" si="413"/>
        <v>0</v>
      </c>
      <c r="AX111" s="52">
        <f t="shared" si="413"/>
        <v>0</v>
      </c>
      <c r="AY111" s="52">
        <f t="shared" si="413"/>
        <v>0</v>
      </c>
      <c r="AZ111" s="52">
        <f t="shared" si="413"/>
        <v>0</v>
      </c>
      <c r="BA111" s="52">
        <f t="shared" si="413"/>
        <v>0</v>
      </c>
      <c r="BB111" s="52">
        <f t="shared" si="413"/>
        <v>0</v>
      </c>
      <c r="BC111" s="52">
        <f t="shared" si="413"/>
        <v>0</v>
      </c>
      <c r="BD111" s="52">
        <f t="shared" si="413"/>
        <v>0</v>
      </c>
      <c r="BE111" s="52">
        <f t="shared" si="413"/>
        <v>0</v>
      </c>
      <c r="BF111" s="52">
        <f t="shared" si="413"/>
        <v>0</v>
      </c>
      <c r="BG111" s="52">
        <f t="shared" si="413"/>
        <v>0</v>
      </c>
      <c r="BH111" s="52">
        <f t="shared" si="413"/>
        <v>0</v>
      </c>
      <c r="BI111" s="52">
        <f t="shared" si="413"/>
        <v>0</v>
      </c>
      <c r="BJ111" s="52">
        <f t="shared" si="413"/>
        <v>0</v>
      </c>
      <c r="BK111" s="52">
        <f t="shared" si="413"/>
        <v>0</v>
      </c>
      <c r="BL111" s="52">
        <f t="shared" si="413"/>
        <v>0</v>
      </c>
      <c r="BM111" s="52">
        <f t="shared" si="413"/>
        <v>0</v>
      </c>
      <c r="BN111" s="52">
        <f t="shared" si="413"/>
        <v>0</v>
      </c>
      <c r="BO111" s="52">
        <f t="shared" si="413"/>
        <v>0</v>
      </c>
      <c r="BP111" s="52">
        <f t="shared" si="413"/>
        <v>0</v>
      </c>
      <c r="BQ111" s="52">
        <f t="shared" si="413"/>
        <v>0</v>
      </c>
      <c r="BR111" s="52">
        <f t="shared" ref="BR111:CW111" si="414">IFERROR(IF(BR$28="FALSE",0,$C$111/$C$8),0)</f>
        <v>0</v>
      </c>
      <c r="BS111" s="52">
        <f t="shared" si="414"/>
        <v>0</v>
      </c>
      <c r="BT111" s="52">
        <f t="shared" si="414"/>
        <v>0</v>
      </c>
      <c r="BU111" s="52">
        <f t="shared" si="414"/>
        <v>0</v>
      </c>
      <c r="BV111" s="52">
        <f t="shared" si="414"/>
        <v>0</v>
      </c>
      <c r="BW111" s="52">
        <f t="shared" si="414"/>
        <v>0</v>
      </c>
      <c r="BX111" s="52">
        <f t="shared" si="414"/>
        <v>0</v>
      </c>
      <c r="BY111" s="52">
        <f t="shared" si="414"/>
        <v>0</v>
      </c>
      <c r="BZ111" s="52">
        <f t="shared" si="414"/>
        <v>0</v>
      </c>
      <c r="CA111" s="52">
        <f t="shared" si="414"/>
        <v>0</v>
      </c>
      <c r="CB111" s="52">
        <f t="shared" si="414"/>
        <v>0</v>
      </c>
      <c r="CC111" s="52">
        <f t="shared" si="414"/>
        <v>0</v>
      </c>
      <c r="CD111" s="52">
        <f t="shared" si="414"/>
        <v>0</v>
      </c>
      <c r="CE111" s="52">
        <f t="shared" si="414"/>
        <v>0</v>
      </c>
      <c r="CF111" s="52">
        <f t="shared" si="414"/>
        <v>0</v>
      </c>
      <c r="CG111" s="52">
        <f t="shared" si="414"/>
        <v>0</v>
      </c>
      <c r="CH111" s="52">
        <f t="shared" si="414"/>
        <v>0</v>
      </c>
      <c r="CI111" s="52">
        <f t="shared" si="414"/>
        <v>0</v>
      </c>
      <c r="CJ111" s="52">
        <f t="shared" si="414"/>
        <v>0</v>
      </c>
      <c r="CK111" s="52">
        <f t="shared" si="414"/>
        <v>0</v>
      </c>
      <c r="CL111" s="52">
        <f t="shared" si="414"/>
        <v>0</v>
      </c>
      <c r="CM111" s="52">
        <f t="shared" si="414"/>
        <v>0</v>
      </c>
      <c r="CN111" s="52">
        <f t="shared" si="414"/>
        <v>0</v>
      </c>
      <c r="CO111" s="52">
        <f t="shared" si="414"/>
        <v>0</v>
      </c>
      <c r="CP111" s="52">
        <f t="shared" si="414"/>
        <v>0</v>
      </c>
      <c r="CQ111" s="52">
        <f t="shared" si="414"/>
        <v>0</v>
      </c>
      <c r="CR111" s="52">
        <f t="shared" si="414"/>
        <v>0</v>
      </c>
      <c r="CS111" s="52">
        <f t="shared" si="414"/>
        <v>0</v>
      </c>
      <c r="CT111" s="52">
        <f t="shared" si="414"/>
        <v>0</v>
      </c>
      <c r="CU111" s="52">
        <f t="shared" si="414"/>
        <v>0</v>
      </c>
      <c r="CV111" s="52">
        <f t="shared" si="414"/>
        <v>0</v>
      </c>
      <c r="CW111" s="52">
        <f t="shared" si="414"/>
        <v>0</v>
      </c>
      <c r="CX111" s="52">
        <f t="shared" ref="CX111:EC111" si="415">IFERROR(IF(CX$28="FALSE",0,$C$111/$C$8),0)</f>
        <v>0</v>
      </c>
      <c r="CY111" s="52">
        <f t="shared" si="415"/>
        <v>0</v>
      </c>
      <c r="CZ111" s="52">
        <f t="shared" si="415"/>
        <v>0</v>
      </c>
      <c r="DA111" s="52">
        <f t="shared" si="415"/>
        <v>0</v>
      </c>
      <c r="DB111" s="52">
        <f t="shared" si="415"/>
        <v>0</v>
      </c>
      <c r="DC111" s="52">
        <f t="shared" si="415"/>
        <v>0</v>
      </c>
      <c r="DD111" s="52">
        <f t="shared" si="415"/>
        <v>0</v>
      </c>
      <c r="DE111" s="52">
        <f t="shared" si="415"/>
        <v>0</v>
      </c>
      <c r="DF111" s="52">
        <f t="shared" si="415"/>
        <v>0</v>
      </c>
      <c r="DG111" s="52">
        <f t="shared" si="415"/>
        <v>0</v>
      </c>
      <c r="DH111" s="52">
        <f t="shared" si="415"/>
        <v>0</v>
      </c>
      <c r="DI111" s="52">
        <f t="shared" si="415"/>
        <v>0</v>
      </c>
      <c r="DJ111" s="52">
        <f t="shared" si="415"/>
        <v>0</v>
      </c>
      <c r="DK111" s="52">
        <f t="shared" si="415"/>
        <v>0</v>
      </c>
      <c r="DL111" s="52">
        <f t="shared" si="415"/>
        <v>0</v>
      </c>
      <c r="DM111" s="52">
        <f t="shared" si="415"/>
        <v>0</v>
      </c>
      <c r="DN111" s="52">
        <f t="shared" si="415"/>
        <v>0</v>
      </c>
      <c r="DO111" s="52">
        <f t="shared" si="415"/>
        <v>0</v>
      </c>
      <c r="DP111" s="52">
        <f t="shared" si="415"/>
        <v>0</v>
      </c>
      <c r="DQ111" s="52">
        <f t="shared" si="415"/>
        <v>0</v>
      </c>
      <c r="DR111" s="52">
        <f t="shared" si="415"/>
        <v>0</v>
      </c>
      <c r="DS111" s="52">
        <f t="shared" si="415"/>
        <v>0</v>
      </c>
      <c r="DT111" s="52">
        <f t="shared" si="415"/>
        <v>0</v>
      </c>
      <c r="DU111" s="52">
        <f t="shared" si="415"/>
        <v>0</v>
      </c>
      <c r="DV111" s="52">
        <f t="shared" si="415"/>
        <v>0</v>
      </c>
      <c r="DW111" s="52">
        <f t="shared" si="415"/>
        <v>0</v>
      </c>
      <c r="DX111" s="52">
        <f t="shared" si="415"/>
        <v>0</v>
      </c>
      <c r="DY111" s="52">
        <f t="shared" si="415"/>
        <v>0</v>
      </c>
      <c r="DZ111" s="52">
        <f t="shared" si="415"/>
        <v>0</v>
      </c>
      <c r="EA111" s="52">
        <f t="shared" si="415"/>
        <v>0</v>
      </c>
      <c r="EB111" s="52">
        <f t="shared" si="415"/>
        <v>0</v>
      </c>
      <c r="EC111" s="52">
        <f t="shared" si="415"/>
        <v>0</v>
      </c>
      <c r="ED111" s="52">
        <f t="shared" ref="ED111:FD111" si="416">IFERROR(IF(ED$28="FALSE",0,$C$111/$C$8),0)</f>
        <v>0</v>
      </c>
      <c r="EE111" s="52">
        <f t="shared" si="416"/>
        <v>0</v>
      </c>
      <c r="EF111" s="52">
        <f t="shared" si="416"/>
        <v>0</v>
      </c>
      <c r="EG111" s="52">
        <f t="shared" si="416"/>
        <v>0</v>
      </c>
      <c r="EH111" s="52">
        <f t="shared" si="416"/>
        <v>0</v>
      </c>
      <c r="EI111" s="52">
        <f t="shared" si="416"/>
        <v>0</v>
      </c>
      <c r="EJ111" s="52">
        <f t="shared" si="416"/>
        <v>0</v>
      </c>
      <c r="EK111" s="52">
        <f t="shared" si="416"/>
        <v>0</v>
      </c>
      <c r="EL111" s="52">
        <f t="shared" si="416"/>
        <v>0</v>
      </c>
      <c r="EM111" s="52">
        <f t="shared" si="416"/>
        <v>0</v>
      </c>
      <c r="EN111" s="52">
        <f t="shared" si="416"/>
        <v>0</v>
      </c>
      <c r="EO111" s="52">
        <f t="shared" si="416"/>
        <v>0</v>
      </c>
      <c r="EP111" s="52">
        <f t="shared" si="416"/>
        <v>0</v>
      </c>
      <c r="EQ111" s="52">
        <f t="shared" si="416"/>
        <v>0</v>
      </c>
      <c r="ER111" s="52">
        <f t="shared" si="416"/>
        <v>0</v>
      </c>
      <c r="ES111" s="52">
        <f t="shared" si="416"/>
        <v>0</v>
      </c>
      <c r="ET111" s="52">
        <f t="shared" si="416"/>
        <v>0</v>
      </c>
      <c r="EU111" s="52">
        <f t="shared" si="416"/>
        <v>0</v>
      </c>
      <c r="EV111" s="52">
        <f t="shared" si="416"/>
        <v>0</v>
      </c>
      <c r="EW111" s="52">
        <f t="shared" si="416"/>
        <v>0</v>
      </c>
      <c r="EX111" s="52">
        <f t="shared" si="416"/>
        <v>0</v>
      </c>
      <c r="EY111" s="52">
        <f t="shared" si="416"/>
        <v>0</v>
      </c>
      <c r="EZ111" s="52">
        <f t="shared" si="416"/>
        <v>0</v>
      </c>
      <c r="FA111" s="52">
        <f t="shared" si="416"/>
        <v>0</v>
      </c>
      <c r="FB111" s="52">
        <f t="shared" si="416"/>
        <v>0</v>
      </c>
      <c r="FC111" s="52">
        <f t="shared" si="416"/>
        <v>0</v>
      </c>
      <c r="FD111" s="52">
        <f t="shared" si="416"/>
        <v>0</v>
      </c>
    </row>
    <row r="112" spans="2:160">
      <c r="B112" s="51" t="s">
        <v>193</v>
      </c>
      <c r="C112" s="52">
        <f ca="1">IF(Startup!$C$3="Project",SUMIF(Startup!$C$7:$D$27,Overview!B112,Startup!$D$7:$D$27),(SUMIF(Startup!$C$7:$D$27,Overview!B112,Startup!$D$7:$D$27)*Startup!$C$4))+IF(Pilot!$C$3="Project",SUMIF(Pilot!$C$7:$D$27,Overview!B112,Pilot!$D$7:$D$27),(SUMIF(Pilot!$C$7:$D$27,Overview!B112,Pilot!$D$7:$D$27)*Pilot!$C$4))+IF(PMO!$C$3="Project",SUMIF(PMO!$C$7:$D$27,Overview!B112,PMO!$D$7:$D$27),(SUMIF(PMO!$C$7:$D$27,Overview!B112,PMO!$D$7:$D$27)*PMO!$C$4))+IF('Design &amp; Fulfillment'!$C$3="Project",SUMIF('Design &amp; Fulfillment'!$C$7:$D$27,Overview!B112,'Design &amp; Fulfillment'!$D$7:$D$27),(SUMIF('Design &amp; Fulfillment'!$C$7:$D$27,Overview!B112,'Design &amp; Fulfillment'!$D$7:$D$27)*'Design &amp; Fulfillment'!$C$4))+IF(Workplace!$C$3="Project",SUMIF(Workplace!$C$7:$D$27,Overview!B112,Workplace!$D$7:$D$27),(SUMIF(Workplace!$C$7:$D$27,Overview!B112,Workplace!$D$7:$D$27)*Workplace!$C$4))+IF(Integration!$C$3="Project",SUMIF(Integration!$C$7:$D$27,Overview!B112,Integration!$D$7:$D$27),(SUMIF(Integration!$C$7:$D$27,Overview!B112,Integration!$D$7:$D$27)*Integration!$C$4))+IF(Logistics!$C$3="Project",SUMIF(Logistics!$C$7:$D$27,Overview!B112,Logistics!$D$7:$D$27),(SUMIF(Logistics!$C$7:$D$27,Overview!B112,Logistics!$D$7:$D$27)*Logistics!$C$4))+IF('Service Desk'!$C$3="Project",SUMIF('Service Desk'!$C$7:$D$27,Overview!B112,'Service Desk'!$D$7:$D$27),(SUMIF('Service Desk'!$C$7:$D$27,Overview!B112,'Service Desk'!$D$7:$D$27)*'Service Desk'!$C$4))+IF('Pro Services'!$C$3="Project",SUMIF('Pro Services'!$C$7:$D$27,Overview!B112,'Pro Services'!$D$7:$D$27),(SUMIF('Pro Services'!$C$7:$D$27,Overview!B112,'Pro Services'!$D$7:$D$27)*'Pro Services'!$C$4))</f>
        <v>0</v>
      </c>
      <c r="D112" s="53">
        <f ca="1">IF(Startup!$C$3="Project",SUMIF(Startup!$C$7:$H$27,Overview!B112,Startup!$H$7:$H$27),(SUMIF(Startup!$C$7:$H$27,Overview!B112,Startup!$H$7:$H$27)*Startup!$C$4))+IF(Pilot!$C$3="Project",SUMIF(Pilot!$C$7:$H$27,Overview!B112,Pilot!$H$7:$H$27),(SUMIF(Pilot!$C$7:$H$27,Overview!B112,Pilot!$H$7:$H$27)*Pilot!$C$4))+IF(PMO!$C$3="Project",SUMIF(PMO!$C$7:$H$27,Overview!B112,PMO!$H$7:$H$27),(SUMIF(PMO!$C$7:$H$27,Overview!B112,PMO!$H$7:$H$27)*PMO!$C$4))+IF('Design &amp; Fulfillment'!$C$3="Project",SUMIF('Design &amp; Fulfillment'!$C$7:$H$27,Overview!B112,'Design &amp; Fulfillment'!$H$7:$H$27),(SUMIF('Design &amp; Fulfillment'!$C$7:$H$27,Overview!B112,'Design &amp; Fulfillment'!$H$7:$H$27)*'Design &amp; Fulfillment'!$C$4))+IF(Workplace!$C$3="Project",SUMIF(Workplace!$C$7:$H$27,Overview!B112,Workplace!$H$7:$H$27),(SUMIF(Workplace!$C$7:$H$27,Overview!B112,Workplace!$H$7:$H$27)*Workplace!$C$4))+IF(Integration!$C$3="Project",SUMIF(Integration!$C$7:$H$27,Overview!B112,Integration!$H$7:$H$27),(SUMIF(Integration!$C$7:$H$27,Overview!B112,Integration!$H$7:$H$27)*Integration!$C$4))+IF(Logistics!$C$3="Project",SUMIF(Logistics!$C$7:$H$27,Overview!B112,Logistics!$H$7:$H$27),(SUMIF(Logistics!$C$7:$H$27,Overview!B112,Logistics!$H$7:$H$27)*Logistics!$C$4))+IF('Service Desk'!$C$3="Project",SUMIF('Service Desk'!$C$7:$H$27,Overview!B112,'Service Desk'!$H$7:$H$27),(SUMIF('Service Desk'!$C$7:$H$27,Overview!B112,'Service Desk'!$H$7:$H$27)*'Service Desk'!$C$4))+IF('Pro Services'!$C$3="Project",SUMIF('Pro Services'!$C$7:$H$27,Overview!B112,'Pro Services'!$H$7:$H$27),(SUMIF('Pro Services'!$C$7:$H$27,Overview!B112,'Pro Services'!$H$7:$H$27)*'Pro Services'!$C$4))</f>
        <v>0</v>
      </c>
      <c r="E112" s="52">
        <f t="shared" ca="1" si="120"/>
        <v>0</v>
      </c>
      <c r="F112" s="52">
        <f t="shared" ref="F112:AK112" si="417">IFERROR(IF(F$28="FALSE",0,$C$112/$C$8),0)</f>
        <v>0</v>
      </c>
      <c r="G112" s="52">
        <f t="shared" si="417"/>
        <v>0</v>
      </c>
      <c r="H112" s="52">
        <f t="shared" si="417"/>
        <v>0</v>
      </c>
      <c r="I112" s="52">
        <f t="shared" si="417"/>
        <v>0</v>
      </c>
      <c r="J112" s="52">
        <f t="shared" si="417"/>
        <v>0</v>
      </c>
      <c r="K112" s="52">
        <f t="shared" si="417"/>
        <v>0</v>
      </c>
      <c r="L112" s="52">
        <f t="shared" si="417"/>
        <v>0</v>
      </c>
      <c r="M112" s="52">
        <f t="shared" si="417"/>
        <v>0</v>
      </c>
      <c r="N112" s="52">
        <f t="shared" si="417"/>
        <v>0</v>
      </c>
      <c r="O112" s="52">
        <f t="shared" si="417"/>
        <v>0</v>
      </c>
      <c r="P112" s="52">
        <f t="shared" si="417"/>
        <v>0</v>
      </c>
      <c r="Q112" s="52">
        <f t="shared" si="417"/>
        <v>0</v>
      </c>
      <c r="R112" s="52">
        <f t="shared" si="417"/>
        <v>0</v>
      </c>
      <c r="S112" s="52">
        <f t="shared" si="417"/>
        <v>0</v>
      </c>
      <c r="T112" s="52">
        <f t="shared" si="417"/>
        <v>0</v>
      </c>
      <c r="U112" s="52">
        <f t="shared" si="417"/>
        <v>0</v>
      </c>
      <c r="V112" s="52">
        <f t="shared" si="417"/>
        <v>0</v>
      </c>
      <c r="W112" s="52">
        <f t="shared" si="417"/>
        <v>0</v>
      </c>
      <c r="X112" s="52">
        <f t="shared" si="417"/>
        <v>0</v>
      </c>
      <c r="Y112" s="52">
        <f t="shared" si="417"/>
        <v>0</v>
      </c>
      <c r="Z112" s="52">
        <f t="shared" si="417"/>
        <v>0</v>
      </c>
      <c r="AA112" s="52">
        <f t="shared" si="417"/>
        <v>0</v>
      </c>
      <c r="AB112" s="52">
        <f t="shared" si="417"/>
        <v>0</v>
      </c>
      <c r="AC112" s="52">
        <f t="shared" si="417"/>
        <v>0</v>
      </c>
      <c r="AD112" s="52">
        <f t="shared" si="417"/>
        <v>0</v>
      </c>
      <c r="AE112" s="52">
        <f t="shared" si="417"/>
        <v>0</v>
      </c>
      <c r="AF112" s="52">
        <f t="shared" si="417"/>
        <v>0</v>
      </c>
      <c r="AG112" s="52">
        <f t="shared" si="417"/>
        <v>0</v>
      </c>
      <c r="AH112" s="52">
        <f t="shared" si="417"/>
        <v>0</v>
      </c>
      <c r="AI112" s="52">
        <f t="shared" si="417"/>
        <v>0</v>
      </c>
      <c r="AJ112" s="52">
        <f t="shared" si="417"/>
        <v>0</v>
      </c>
      <c r="AK112" s="52">
        <f t="shared" si="417"/>
        <v>0</v>
      </c>
      <c r="AL112" s="52">
        <f t="shared" ref="AL112:BQ112" si="418">IFERROR(IF(AL$28="FALSE",0,$C$112/$C$8),0)</f>
        <v>0</v>
      </c>
      <c r="AM112" s="52">
        <f t="shared" si="418"/>
        <v>0</v>
      </c>
      <c r="AN112" s="52">
        <f t="shared" si="418"/>
        <v>0</v>
      </c>
      <c r="AO112" s="52">
        <f t="shared" si="418"/>
        <v>0</v>
      </c>
      <c r="AP112" s="52">
        <f t="shared" si="418"/>
        <v>0</v>
      </c>
      <c r="AQ112" s="52">
        <f t="shared" si="418"/>
        <v>0</v>
      </c>
      <c r="AR112" s="52">
        <f t="shared" si="418"/>
        <v>0</v>
      </c>
      <c r="AS112" s="52">
        <f t="shared" si="418"/>
        <v>0</v>
      </c>
      <c r="AT112" s="52">
        <f t="shared" si="418"/>
        <v>0</v>
      </c>
      <c r="AU112" s="52">
        <f t="shared" si="418"/>
        <v>0</v>
      </c>
      <c r="AV112" s="52">
        <f t="shared" si="418"/>
        <v>0</v>
      </c>
      <c r="AW112" s="52">
        <f t="shared" si="418"/>
        <v>0</v>
      </c>
      <c r="AX112" s="52">
        <f t="shared" si="418"/>
        <v>0</v>
      </c>
      <c r="AY112" s="52">
        <f t="shared" si="418"/>
        <v>0</v>
      </c>
      <c r="AZ112" s="52">
        <f t="shared" si="418"/>
        <v>0</v>
      </c>
      <c r="BA112" s="52">
        <f t="shared" si="418"/>
        <v>0</v>
      </c>
      <c r="BB112" s="52">
        <f t="shared" si="418"/>
        <v>0</v>
      </c>
      <c r="BC112" s="52">
        <f t="shared" si="418"/>
        <v>0</v>
      </c>
      <c r="BD112" s="52">
        <f t="shared" si="418"/>
        <v>0</v>
      </c>
      <c r="BE112" s="52">
        <f t="shared" si="418"/>
        <v>0</v>
      </c>
      <c r="BF112" s="52">
        <f t="shared" si="418"/>
        <v>0</v>
      </c>
      <c r="BG112" s="52">
        <f t="shared" si="418"/>
        <v>0</v>
      </c>
      <c r="BH112" s="52">
        <f t="shared" si="418"/>
        <v>0</v>
      </c>
      <c r="BI112" s="52">
        <f t="shared" si="418"/>
        <v>0</v>
      </c>
      <c r="BJ112" s="52">
        <f t="shared" si="418"/>
        <v>0</v>
      </c>
      <c r="BK112" s="52">
        <f t="shared" si="418"/>
        <v>0</v>
      </c>
      <c r="BL112" s="52">
        <f t="shared" si="418"/>
        <v>0</v>
      </c>
      <c r="BM112" s="52">
        <f t="shared" si="418"/>
        <v>0</v>
      </c>
      <c r="BN112" s="52">
        <f t="shared" si="418"/>
        <v>0</v>
      </c>
      <c r="BO112" s="52">
        <f t="shared" si="418"/>
        <v>0</v>
      </c>
      <c r="BP112" s="52">
        <f t="shared" si="418"/>
        <v>0</v>
      </c>
      <c r="BQ112" s="52">
        <f t="shared" si="418"/>
        <v>0</v>
      </c>
      <c r="BR112" s="52">
        <f t="shared" ref="BR112:CW112" si="419">IFERROR(IF(BR$28="FALSE",0,$C$112/$C$8),0)</f>
        <v>0</v>
      </c>
      <c r="BS112" s="52">
        <f t="shared" si="419"/>
        <v>0</v>
      </c>
      <c r="BT112" s="52">
        <f t="shared" si="419"/>
        <v>0</v>
      </c>
      <c r="BU112" s="52">
        <f t="shared" si="419"/>
        <v>0</v>
      </c>
      <c r="BV112" s="52">
        <f t="shared" si="419"/>
        <v>0</v>
      </c>
      <c r="BW112" s="52">
        <f t="shared" si="419"/>
        <v>0</v>
      </c>
      <c r="BX112" s="52">
        <f t="shared" si="419"/>
        <v>0</v>
      </c>
      <c r="BY112" s="52">
        <f t="shared" si="419"/>
        <v>0</v>
      </c>
      <c r="BZ112" s="52">
        <f t="shared" si="419"/>
        <v>0</v>
      </c>
      <c r="CA112" s="52">
        <f t="shared" si="419"/>
        <v>0</v>
      </c>
      <c r="CB112" s="52">
        <f t="shared" si="419"/>
        <v>0</v>
      </c>
      <c r="CC112" s="52">
        <f t="shared" si="419"/>
        <v>0</v>
      </c>
      <c r="CD112" s="52">
        <f t="shared" si="419"/>
        <v>0</v>
      </c>
      <c r="CE112" s="52">
        <f t="shared" si="419"/>
        <v>0</v>
      </c>
      <c r="CF112" s="52">
        <f t="shared" si="419"/>
        <v>0</v>
      </c>
      <c r="CG112" s="52">
        <f t="shared" si="419"/>
        <v>0</v>
      </c>
      <c r="CH112" s="52">
        <f t="shared" si="419"/>
        <v>0</v>
      </c>
      <c r="CI112" s="52">
        <f t="shared" si="419"/>
        <v>0</v>
      </c>
      <c r="CJ112" s="52">
        <f t="shared" si="419"/>
        <v>0</v>
      </c>
      <c r="CK112" s="52">
        <f t="shared" si="419"/>
        <v>0</v>
      </c>
      <c r="CL112" s="52">
        <f t="shared" si="419"/>
        <v>0</v>
      </c>
      <c r="CM112" s="52">
        <f t="shared" si="419"/>
        <v>0</v>
      </c>
      <c r="CN112" s="52">
        <f t="shared" si="419"/>
        <v>0</v>
      </c>
      <c r="CO112" s="52">
        <f t="shared" si="419"/>
        <v>0</v>
      </c>
      <c r="CP112" s="52">
        <f t="shared" si="419"/>
        <v>0</v>
      </c>
      <c r="CQ112" s="52">
        <f t="shared" si="419"/>
        <v>0</v>
      </c>
      <c r="CR112" s="52">
        <f t="shared" si="419"/>
        <v>0</v>
      </c>
      <c r="CS112" s="52">
        <f t="shared" si="419"/>
        <v>0</v>
      </c>
      <c r="CT112" s="52">
        <f t="shared" si="419"/>
        <v>0</v>
      </c>
      <c r="CU112" s="52">
        <f t="shared" si="419"/>
        <v>0</v>
      </c>
      <c r="CV112" s="52">
        <f t="shared" si="419"/>
        <v>0</v>
      </c>
      <c r="CW112" s="52">
        <f t="shared" si="419"/>
        <v>0</v>
      </c>
      <c r="CX112" s="52">
        <f t="shared" ref="CX112:EC112" si="420">IFERROR(IF(CX$28="FALSE",0,$C$112/$C$8),0)</f>
        <v>0</v>
      </c>
      <c r="CY112" s="52">
        <f t="shared" si="420"/>
        <v>0</v>
      </c>
      <c r="CZ112" s="52">
        <f t="shared" si="420"/>
        <v>0</v>
      </c>
      <c r="DA112" s="52">
        <f t="shared" si="420"/>
        <v>0</v>
      </c>
      <c r="DB112" s="52">
        <f t="shared" si="420"/>
        <v>0</v>
      </c>
      <c r="DC112" s="52">
        <f t="shared" si="420"/>
        <v>0</v>
      </c>
      <c r="DD112" s="52">
        <f t="shared" si="420"/>
        <v>0</v>
      </c>
      <c r="DE112" s="52">
        <f t="shared" si="420"/>
        <v>0</v>
      </c>
      <c r="DF112" s="52">
        <f t="shared" si="420"/>
        <v>0</v>
      </c>
      <c r="DG112" s="52">
        <f t="shared" si="420"/>
        <v>0</v>
      </c>
      <c r="DH112" s="52">
        <f t="shared" si="420"/>
        <v>0</v>
      </c>
      <c r="DI112" s="52">
        <f t="shared" si="420"/>
        <v>0</v>
      </c>
      <c r="DJ112" s="52">
        <f t="shared" si="420"/>
        <v>0</v>
      </c>
      <c r="DK112" s="52">
        <f t="shared" si="420"/>
        <v>0</v>
      </c>
      <c r="DL112" s="52">
        <f t="shared" si="420"/>
        <v>0</v>
      </c>
      <c r="DM112" s="52">
        <f t="shared" si="420"/>
        <v>0</v>
      </c>
      <c r="DN112" s="52">
        <f t="shared" si="420"/>
        <v>0</v>
      </c>
      <c r="DO112" s="52">
        <f t="shared" si="420"/>
        <v>0</v>
      </c>
      <c r="DP112" s="52">
        <f t="shared" si="420"/>
        <v>0</v>
      </c>
      <c r="DQ112" s="52">
        <f t="shared" si="420"/>
        <v>0</v>
      </c>
      <c r="DR112" s="52">
        <f t="shared" si="420"/>
        <v>0</v>
      </c>
      <c r="DS112" s="52">
        <f t="shared" si="420"/>
        <v>0</v>
      </c>
      <c r="DT112" s="52">
        <f t="shared" si="420"/>
        <v>0</v>
      </c>
      <c r="DU112" s="52">
        <f t="shared" si="420"/>
        <v>0</v>
      </c>
      <c r="DV112" s="52">
        <f t="shared" si="420"/>
        <v>0</v>
      </c>
      <c r="DW112" s="52">
        <f t="shared" si="420"/>
        <v>0</v>
      </c>
      <c r="DX112" s="52">
        <f t="shared" si="420"/>
        <v>0</v>
      </c>
      <c r="DY112" s="52">
        <f t="shared" si="420"/>
        <v>0</v>
      </c>
      <c r="DZ112" s="52">
        <f t="shared" si="420"/>
        <v>0</v>
      </c>
      <c r="EA112" s="52">
        <f t="shared" si="420"/>
        <v>0</v>
      </c>
      <c r="EB112" s="52">
        <f t="shared" si="420"/>
        <v>0</v>
      </c>
      <c r="EC112" s="52">
        <f t="shared" si="420"/>
        <v>0</v>
      </c>
      <c r="ED112" s="52">
        <f t="shared" ref="ED112:FD112" si="421">IFERROR(IF(ED$28="FALSE",0,$C$112/$C$8),0)</f>
        <v>0</v>
      </c>
      <c r="EE112" s="52">
        <f t="shared" si="421"/>
        <v>0</v>
      </c>
      <c r="EF112" s="52">
        <f t="shared" si="421"/>
        <v>0</v>
      </c>
      <c r="EG112" s="52">
        <f t="shared" si="421"/>
        <v>0</v>
      </c>
      <c r="EH112" s="52">
        <f t="shared" si="421"/>
        <v>0</v>
      </c>
      <c r="EI112" s="52">
        <f t="shared" si="421"/>
        <v>0</v>
      </c>
      <c r="EJ112" s="52">
        <f t="shared" si="421"/>
        <v>0</v>
      </c>
      <c r="EK112" s="52">
        <f t="shared" si="421"/>
        <v>0</v>
      </c>
      <c r="EL112" s="52">
        <f t="shared" si="421"/>
        <v>0</v>
      </c>
      <c r="EM112" s="52">
        <f t="shared" si="421"/>
        <v>0</v>
      </c>
      <c r="EN112" s="52">
        <f t="shared" si="421"/>
        <v>0</v>
      </c>
      <c r="EO112" s="52">
        <f t="shared" si="421"/>
        <v>0</v>
      </c>
      <c r="EP112" s="52">
        <f t="shared" si="421"/>
        <v>0</v>
      </c>
      <c r="EQ112" s="52">
        <f t="shared" si="421"/>
        <v>0</v>
      </c>
      <c r="ER112" s="52">
        <f t="shared" si="421"/>
        <v>0</v>
      </c>
      <c r="ES112" s="52">
        <f t="shared" si="421"/>
        <v>0</v>
      </c>
      <c r="ET112" s="52">
        <f t="shared" si="421"/>
        <v>0</v>
      </c>
      <c r="EU112" s="52">
        <f t="shared" si="421"/>
        <v>0</v>
      </c>
      <c r="EV112" s="52">
        <f t="shared" si="421"/>
        <v>0</v>
      </c>
      <c r="EW112" s="52">
        <f t="shared" si="421"/>
        <v>0</v>
      </c>
      <c r="EX112" s="52">
        <f t="shared" si="421"/>
        <v>0</v>
      </c>
      <c r="EY112" s="52">
        <f t="shared" si="421"/>
        <v>0</v>
      </c>
      <c r="EZ112" s="52">
        <f t="shared" si="421"/>
        <v>0</v>
      </c>
      <c r="FA112" s="52">
        <f t="shared" si="421"/>
        <v>0</v>
      </c>
      <c r="FB112" s="52">
        <f t="shared" si="421"/>
        <v>0</v>
      </c>
      <c r="FC112" s="52">
        <f t="shared" si="421"/>
        <v>0</v>
      </c>
      <c r="FD112" s="52">
        <f t="shared" si="421"/>
        <v>0</v>
      </c>
    </row>
    <row r="113" spans="2:160">
      <c r="B113" s="51" t="s">
        <v>194</v>
      </c>
      <c r="C113" s="52">
        <f ca="1">IF(Startup!$C$3="Project",SUMIF(Startup!$C$7:$D$27,Overview!B113,Startup!$D$7:$D$27),(SUMIF(Startup!$C$7:$D$27,Overview!B113,Startup!$D$7:$D$27)*Startup!$C$4))+IF(Pilot!$C$3="Project",SUMIF(Pilot!$C$7:$D$27,Overview!B113,Pilot!$D$7:$D$27),(SUMIF(Pilot!$C$7:$D$27,Overview!B113,Pilot!$D$7:$D$27)*Pilot!$C$4))+IF(PMO!$C$3="Project",SUMIF(PMO!$C$7:$D$27,Overview!B113,PMO!$D$7:$D$27),(SUMIF(PMO!$C$7:$D$27,Overview!B113,PMO!$D$7:$D$27)*PMO!$C$4))+IF('Design &amp; Fulfillment'!$C$3="Project",SUMIF('Design &amp; Fulfillment'!$C$7:$D$27,Overview!B113,'Design &amp; Fulfillment'!$D$7:$D$27),(SUMIF('Design &amp; Fulfillment'!$C$7:$D$27,Overview!B113,'Design &amp; Fulfillment'!$D$7:$D$27)*'Design &amp; Fulfillment'!$C$4))+IF(Workplace!$C$3="Project",SUMIF(Workplace!$C$7:$D$27,Overview!B113,Workplace!$D$7:$D$27),(SUMIF(Workplace!$C$7:$D$27,Overview!B113,Workplace!$D$7:$D$27)*Workplace!$C$4))+IF(Integration!$C$3="Project",SUMIF(Integration!$C$7:$D$27,Overview!B113,Integration!$D$7:$D$27),(SUMIF(Integration!$C$7:$D$27,Overview!B113,Integration!$D$7:$D$27)*Integration!$C$4))+IF(Logistics!$C$3="Project",SUMIF(Logistics!$C$7:$D$27,Overview!B113,Logistics!$D$7:$D$27),(SUMIF(Logistics!$C$7:$D$27,Overview!B113,Logistics!$D$7:$D$27)*Logistics!$C$4))+IF('Service Desk'!$C$3="Project",SUMIF('Service Desk'!$C$7:$D$27,Overview!B113,'Service Desk'!$D$7:$D$27),(SUMIF('Service Desk'!$C$7:$D$27,Overview!B113,'Service Desk'!$D$7:$D$27)*'Service Desk'!$C$4))+IF('Pro Services'!$C$3="Project",SUMIF('Pro Services'!$C$7:$D$27,Overview!B113,'Pro Services'!$D$7:$D$27),(SUMIF('Pro Services'!$C$7:$D$27,Overview!B113,'Pro Services'!$D$7:$D$27)*'Pro Services'!$C$4))</f>
        <v>0</v>
      </c>
      <c r="D113" s="53">
        <f ca="1">IF(Startup!$C$3="Project",SUMIF(Startup!$C$7:$H$27,Overview!B113,Startup!$H$7:$H$27),(SUMIF(Startup!$C$7:$H$27,Overview!B113,Startup!$H$7:$H$27)*Startup!$C$4))+IF(Pilot!$C$3="Project",SUMIF(Pilot!$C$7:$H$27,Overview!B113,Pilot!$H$7:$H$27),(SUMIF(Pilot!$C$7:$H$27,Overview!B113,Pilot!$H$7:$H$27)*Pilot!$C$4))+IF(PMO!$C$3="Project",SUMIF(PMO!$C$7:$H$27,Overview!B113,PMO!$H$7:$H$27),(SUMIF(PMO!$C$7:$H$27,Overview!B113,PMO!$H$7:$H$27)*PMO!$C$4))+IF('Design &amp; Fulfillment'!$C$3="Project",SUMIF('Design &amp; Fulfillment'!$C$7:$H$27,Overview!B113,'Design &amp; Fulfillment'!$H$7:$H$27),(SUMIF('Design &amp; Fulfillment'!$C$7:$H$27,Overview!B113,'Design &amp; Fulfillment'!$H$7:$H$27)*'Design &amp; Fulfillment'!$C$4))+IF(Workplace!$C$3="Project",SUMIF(Workplace!$C$7:$H$27,Overview!B113,Workplace!$H$7:$H$27),(SUMIF(Workplace!$C$7:$H$27,Overview!B113,Workplace!$H$7:$H$27)*Workplace!$C$4))+IF(Integration!$C$3="Project",SUMIF(Integration!$C$7:$H$27,Overview!B113,Integration!$H$7:$H$27),(SUMIF(Integration!$C$7:$H$27,Overview!B113,Integration!$H$7:$H$27)*Integration!$C$4))+IF(Logistics!$C$3="Project",SUMIF(Logistics!$C$7:$H$27,Overview!B113,Logistics!$H$7:$H$27),(SUMIF(Logistics!$C$7:$H$27,Overview!B113,Logistics!$H$7:$H$27)*Logistics!$C$4))+IF('Service Desk'!$C$3="Project",SUMIF('Service Desk'!$C$7:$H$27,Overview!B113,'Service Desk'!$H$7:$H$27),(SUMIF('Service Desk'!$C$7:$H$27,Overview!B113,'Service Desk'!$H$7:$H$27)*'Service Desk'!$C$4))+IF('Pro Services'!$C$3="Project",SUMIF('Pro Services'!$C$7:$H$27,Overview!B113,'Pro Services'!$H$7:$H$27),(SUMIF('Pro Services'!$C$7:$H$27,Overview!B113,'Pro Services'!$H$7:$H$27)*'Pro Services'!$C$4))</f>
        <v>0</v>
      </c>
      <c r="E113" s="52">
        <f t="shared" ca="1" si="120"/>
        <v>0</v>
      </c>
      <c r="F113" s="52">
        <f t="shared" ref="F113:AK113" si="422">IFERROR(IF(F$28="FALSE",0,$C$113/$C$8),0)</f>
        <v>0</v>
      </c>
      <c r="G113" s="52">
        <f t="shared" si="422"/>
        <v>0</v>
      </c>
      <c r="H113" s="52">
        <f t="shared" si="422"/>
        <v>0</v>
      </c>
      <c r="I113" s="52">
        <f t="shared" si="422"/>
        <v>0</v>
      </c>
      <c r="J113" s="52">
        <f t="shared" si="422"/>
        <v>0</v>
      </c>
      <c r="K113" s="52">
        <f t="shared" si="422"/>
        <v>0</v>
      </c>
      <c r="L113" s="52">
        <f t="shared" si="422"/>
        <v>0</v>
      </c>
      <c r="M113" s="52">
        <f t="shared" si="422"/>
        <v>0</v>
      </c>
      <c r="N113" s="52">
        <f t="shared" si="422"/>
        <v>0</v>
      </c>
      <c r="O113" s="52">
        <f t="shared" si="422"/>
        <v>0</v>
      </c>
      <c r="P113" s="52">
        <f t="shared" si="422"/>
        <v>0</v>
      </c>
      <c r="Q113" s="52">
        <f t="shared" si="422"/>
        <v>0</v>
      </c>
      <c r="R113" s="52">
        <f t="shared" si="422"/>
        <v>0</v>
      </c>
      <c r="S113" s="52">
        <f t="shared" si="422"/>
        <v>0</v>
      </c>
      <c r="T113" s="52">
        <f t="shared" si="422"/>
        <v>0</v>
      </c>
      <c r="U113" s="52">
        <f t="shared" si="422"/>
        <v>0</v>
      </c>
      <c r="V113" s="52">
        <f t="shared" si="422"/>
        <v>0</v>
      </c>
      <c r="W113" s="52">
        <f t="shared" si="422"/>
        <v>0</v>
      </c>
      <c r="X113" s="52">
        <f t="shared" si="422"/>
        <v>0</v>
      </c>
      <c r="Y113" s="52">
        <f t="shared" si="422"/>
        <v>0</v>
      </c>
      <c r="Z113" s="52">
        <f t="shared" si="422"/>
        <v>0</v>
      </c>
      <c r="AA113" s="52">
        <f t="shared" si="422"/>
        <v>0</v>
      </c>
      <c r="AB113" s="52">
        <f t="shared" si="422"/>
        <v>0</v>
      </c>
      <c r="AC113" s="52">
        <f t="shared" si="422"/>
        <v>0</v>
      </c>
      <c r="AD113" s="52">
        <f t="shared" si="422"/>
        <v>0</v>
      </c>
      <c r="AE113" s="52">
        <f t="shared" si="422"/>
        <v>0</v>
      </c>
      <c r="AF113" s="52">
        <f t="shared" si="422"/>
        <v>0</v>
      </c>
      <c r="AG113" s="52">
        <f t="shared" si="422"/>
        <v>0</v>
      </c>
      <c r="AH113" s="52">
        <f t="shared" si="422"/>
        <v>0</v>
      </c>
      <c r="AI113" s="52">
        <f t="shared" si="422"/>
        <v>0</v>
      </c>
      <c r="AJ113" s="52">
        <f t="shared" si="422"/>
        <v>0</v>
      </c>
      <c r="AK113" s="52">
        <f t="shared" si="422"/>
        <v>0</v>
      </c>
      <c r="AL113" s="52">
        <f t="shared" ref="AL113:BQ113" si="423">IFERROR(IF(AL$28="FALSE",0,$C$113/$C$8),0)</f>
        <v>0</v>
      </c>
      <c r="AM113" s="52">
        <f t="shared" si="423"/>
        <v>0</v>
      </c>
      <c r="AN113" s="52">
        <f t="shared" si="423"/>
        <v>0</v>
      </c>
      <c r="AO113" s="52">
        <f t="shared" si="423"/>
        <v>0</v>
      </c>
      <c r="AP113" s="52">
        <f t="shared" si="423"/>
        <v>0</v>
      </c>
      <c r="AQ113" s="52">
        <f t="shared" si="423"/>
        <v>0</v>
      </c>
      <c r="AR113" s="52">
        <f t="shared" si="423"/>
        <v>0</v>
      </c>
      <c r="AS113" s="52">
        <f t="shared" si="423"/>
        <v>0</v>
      </c>
      <c r="AT113" s="52">
        <f t="shared" si="423"/>
        <v>0</v>
      </c>
      <c r="AU113" s="52">
        <f t="shared" si="423"/>
        <v>0</v>
      </c>
      <c r="AV113" s="52">
        <f t="shared" si="423"/>
        <v>0</v>
      </c>
      <c r="AW113" s="52">
        <f t="shared" si="423"/>
        <v>0</v>
      </c>
      <c r="AX113" s="52">
        <f t="shared" si="423"/>
        <v>0</v>
      </c>
      <c r="AY113" s="52">
        <f t="shared" si="423"/>
        <v>0</v>
      </c>
      <c r="AZ113" s="52">
        <f t="shared" si="423"/>
        <v>0</v>
      </c>
      <c r="BA113" s="52">
        <f t="shared" si="423"/>
        <v>0</v>
      </c>
      <c r="BB113" s="52">
        <f t="shared" si="423"/>
        <v>0</v>
      </c>
      <c r="BC113" s="52">
        <f t="shared" si="423"/>
        <v>0</v>
      </c>
      <c r="BD113" s="52">
        <f t="shared" si="423"/>
        <v>0</v>
      </c>
      <c r="BE113" s="52">
        <f t="shared" si="423"/>
        <v>0</v>
      </c>
      <c r="BF113" s="52">
        <f t="shared" si="423"/>
        <v>0</v>
      </c>
      <c r="BG113" s="52">
        <f t="shared" si="423"/>
        <v>0</v>
      </c>
      <c r="BH113" s="52">
        <f t="shared" si="423"/>
        <v>0</v>
      </c>
      <c r="BI113" s="52">
        <f t="shared" si="423"/>
        <v>0</v>
      </c>
      <c r="BJ113" s="52">
        <f t="shared" si="423"/>
        <v>0</v>
      </c>
      <c r="BK113" s="52">
        <f t="shared" si="423"/>
        <v>0</v>
      </c>
      <c r="BL113" s="52">
        <f t="shared" si="423"/>
        <v>0</v>
      </c>
      <c r="BM113" s="52">
        <f t="shared" si="423"/>
        <v>0</v>
      </c>
      <c r="BN113" s="52">
        <f t="shared" si="423"/>
        <v>0</v>
      </c>
      <c r="BO113" s="52">
        <f t="shared" si="423"/>
        <v>0</v>
      </c>
      <c r="BP113" s="52">
        <f t="shared" si="423"/>
        <v>0</v>
      </c>
      <c r="BQ113" s="52">
        <f t="shared" si="423"/>
        <v>0</v>
      </c>
      <c r="BR113" s="52">
        <f t="shared" ref="BR113:CW113" si="424">IFERROR(IF(BR$28="FALSE",0,$C$113/$C$8),0)</f>
        <v>0</v>
      </c>
      <c r="BS113" s="52">
        <f t="shared" si="424"/>
        <v>0</v>
      </c>
      <c r="BT113" s="52">
        <f t="shared" si="424"/>
        <v>0</v>
      </c>
      <c r="BU113" s="52">
        <f t="shared" si="424"/>
        <v>0</v>
      </c>
      <c r="BV113" s="52">
        <f t="shared" si="424"/>
        <v>0</v>
      </c>
      <c r="BW113" s="52">
        <f t="shared" si="424"/>
        <v>0</v>
      </c>
      <c r="BX113" s="52">
        <f t="shared" si="424"/>
        <v>0</v>
      </c>
      <c r="BY113" s="52">
        <f t="shared" si="424"/>
        <v>0</v>
      </c>
      <c r="BZ113" s="52">
        <f t="shared" si="424"/>
        <v>0</v>
      </c>
      <c r="CA113" s="52">
        <f t="shared" si="424"/>
        <v>0</v>
      </c>
      <c r="CB113" s="52">
        <f t="shared" si="424"/>
        <v>0</v>
      </c>
      <c r="CC113" s="52">
        <f t="shared" si="424"/>
        <v>0</v>
      </c>
      <c r="CD113" s="52">
        <f t="shared" si="424"/>
        <v>0</v>
      </c>
      <c r="CE113" s="52">
        <f t="shared" si="424"/>
        <v>0</v>
      </c>
      <c r="CF113" s="52">
        <f t="shared" si="424"/>
        <v>0</v>
      </c>
      <c r="CG113" s="52">
        <f t="shared" si="424"/>
        <v>0</v>
      </c>
      <c r="CH113" s="52">
        <f t="shared" si="424"/>
        <v>0</v>
      </c>
      <c r="CI113" s="52">
        <f t="shared" si="424"/>
        <v>0</v>
      </c>
      <c r="CJ113" s="52">
        <f t="shared" si="424"/>
        <v>0</v>
      </c>
      <c r="CK113" s="52">
        <f t="shared" si="424"/>
        <v>0</v>
      </c>
      <c r="CL113" s="52">
        <f t="shared" si="424"/>
        <v>0</v>
      </c>
      <c r="CM113" s="52">
        <f t="shared" si="424"/>
        <v>0</v>
      </c>
      <c r="CN113" s="52">
        <f t="shared" si="424"/>
        <v>0</v>
      </c>
      <c r="CO113" s="52">
        <f t="shared" si="424"/>
        <v>0</v>
      </c>
      <c r="CP113" s="52">
        <f t="shared" si="424"/>
        <v>0</v>
      </c>
      <c r="CQ113" s="52">
        <f t="shared" si="424"/>
        <v>0</v>
      </c>
      <c r="CR113" s="52">
        <f t="shared" si="424"/>
        <v>0</v>
      </c>
      <c r="CS113" s="52">
        <f t="shared" si="424"/>
        <v>0</v>
      </c>
      <c r="CT113" s="52">
        <f t="shared" si="424"/>
        <v>0</v>
      </c>
      <c r="CU113" s="52">
        <f t="shared" si="424"/>
        <v>0</v>
      </c>
      <c r="CV113" s="52">
        <f t="shared" si="424"/>
        <v>0</v>
      </c>
      <c r="CW113" s="52">
        <f t="shared" si="424"/>
        <v>0</v>
      </c>
      <c r="CX113" s="52">
        <f t="shared" ref="CX113:EC113" si="425">IFERROR(IF(CX$28="FALSE",0,$C$113/$C$8),0)</f>
        <v>0</v>
      </c>
      <c r="CY113" s="52">
        <f t="shared" si="425"/>
        <v>0</v>
      </c>
      <c r="CZ113" s="52">
        <f t="shared" si="425"/>
        <v>0</v>
      </c>
      <c r="DA113" s="52">
        <f t="shared" si="425"/>
        <v>0</v>
      </c>
      <c r="DB113" s="52">
        <f t="shared" si="425"/>
        <v>0</v>
      </c>
      <c r="DC113" s="52">
        <f t="shared" si="425"/>
        <v>0</v>
      </c>
      <c r="DD113" s="52">
        <f t="shared" si="425"/>
        <v>0</v>
      </c>
      <c r="DE113" s="52">
        <f t="shared" si="425"/>
        <v>0</v>
      </c>
      <c r="DF113" s="52">
        <f t="shared" si="425"/>
        <v>0</v>
      </c>
      <c r="DG113" s="52">
        <f t="shared" si="425"/>
        <v>0</v>
      </c>
      <c r="DH113" s="52">
        <f t="shared" si="425"/>
        <v>0</v>
      </c>
      <c r="DI113" s="52">
        <f t="shared" si="425"/>
        <v>0</v>
      </c>
      <c r="DJ113" s="52">
        <f t="shared" si="425"/>
        <v>0</v>
      </c>
      <c r="DK113" s="52">
        <f t="shared" si="425"/>
        <v>0</v>
      </c>
      <c r="DL113" s="52">
        <f t="shared" si="425"/>
        <v>0</v>
      </c>
      <c r="DM113" s="52">
        <f t="shared" si="425"/>
        <v>0</v>
      </c>
      <c r="DN113" s="52">
        <f t="shared" si="425"/>
        <v>0</v>
      </c>
      <c r="DO113" s="52">
        <f t="shared" si="425"/>
        <v>0</v>
      </c>
      <c r="DP113" s="52">
        <f t="shared" si="425"/>
        <v>0</v>
      </c>
      <c r="DQ113" s="52">
        <f t="shared" si="425"/>
        <v>0</v>
      </c>
      <c r="DR113" s="52">
        <f t="shared" si="425"/>
        <v>0</v>
      </c>
      <c r="DS113" s="52">
        <f t="shared" si="425"/>
        <v>0</v>
      </c>
      <c r="DT113" s="52">
        <f t="shared" si="425"/>
        <v>0</v>
      </c>
      <c r="DU113" s="52">
        <f t="shared" si="425"/>
        <v>0</v>
      </c>
      <c r="DV113" s="52">
        <f t="shared" si="425"/>
        <v>0</v>
      </c>
      <c r="DW113" s="52">
        <f t="shared" si="425"/>
        <v>0</v>
      </c>
      <c r="DX113" s="52">
        <f t="shared" si="425"/>
        <v>0</v>
      </c>
      <c r="DY113" s="52">
        <f t="shared" si="425"/>
        <v>0</v>
      </c>
      <c r="DZ113" s="52">
        <f t="shared" si="425"/>
        <v>0</v>
      </c>
      <c r="EA113" s="52">
        <f t="shared" si="425"/>
        <v>0</v>
      </c>
      <c r="EB113" s="52">
        <f t="shared" si="425"/>
        <v>0</v>
      </c>
      <c r="EC113" s="52">
        <f t="shared" si="425"/>
        <v>0</v>
      </c>
      <c r="ED113" s="52">
        <f t="shared" ref="ED113:FD113" si="426">IFERROR(IF(ED$28="FALSE",0,$C$113/$C$8),0)</f>
        <v>0</v>
      </c>
      <c r="EE113" s="52">
        <f t="shared" si="426"/>
        <v>0</v>
      </c>
      <c r="EF113" s="52">
        <f t="shared" si="426"/>
        <v>0</v>
      </c>
      <c r="EG113" s="52">
        <f t="shared" si="426"/>
        <v>0</v>
      </c>
      <c r="EH113" s="52">
        <f t="shared" si="426"/>
        <v>0</v>
      </c>
      <c r="EI113" s="52">
        <f t="shared" si="426"/>
        <v>0</v>
      </c>
      <c r="EJ113" s="52">
        <f t="shared" si="426"/>
        <v>0</v>
      </c>
      <c r="EK113" s="52">
        <f t="shared" si="426"/>
        <v>0</v>
      </c>
      <c r="EL113" s="52">
        <f t="shared" si="426"/>
        <v>0</v>
      </c>
      <c r="EM113" s="52">
        <f t="shared" si="426"/>
        <v>0</v>
      </c>
      <c r="EN113" s="52">
        <f t="shared" si="426"/>
        <v>0</v>
      </c>
      <c r="EO113" s="52">
        <f t="shared" si="426"/>
        <v>0</v>
      </c>
      <c r="EP113" s="52">
        <f t="shared" si="426"/>
        <v>0</v>
      </c>
      <c r="EQ113" s="52">
        <f t="shared" si="426"/>
        <v>0</v>
      </c>
      <c r="ER113" s="52">
        <f t="shared" si="426"/>
        <v>0</v>
      </c>
      <c r="ES113" s="52">
        <f t="shared" si="426"/>
        <v>0</v>
      </c>
      <c r="ET113" s="52">
        <f t="shared" si="426"/>
        <v>0</v>
      </c>
      <c r="EU113" s="52">
        <f t="shared" si="426"/>
        <v>0</v>
      </c>
      <c r="EV113" s="52">
        <f t="shared" si="426"/>
        <v>0</v>
      </c>
      <c r="EW113" s="52">
        <f t="shared" si="426"/>
        <v>0</v>
      </c>
      <c r="EX113" s="52">
        <f t="shared" si="426"/>
        <v>0</v>
      </c>
      <c r="EY113" s="52">
        <f t="shared" si="426"/>
        <v>0</v>
      </c>
      <c r="EZ113" s="52">
        <f t="shared" si="426"/>
        <v>0</v>
      </c>
      <c r="FA113" s="52">
        <f t="shared" si="426"/>
        <v>0</v>
      </c>
      <c r="FB113" s="52">
        <f t="shared" si="426"/>
        <v>0</v>
      </c>
      <c r="FC113" s="52">
        <f t="shared" si="426"/>
        <v>0</v>
      </c>
      <c r="FD113" s="52">
        <f t="shared" si="426"/>
        <v>0</v>
      </c>
    </row>
    <row r="114" spans="2:160">
      <c r="B114" s="51" t="s">
        <v>196</v>
      </c>
      <c r="C114" s="52">
        <f ca="1">IF(Startup!$C$3="Project",SUMIF(Startup!$C$7:$D$27,Overview!B114,Startup!$D$7:$D$27),(SUMIF(Startup!$C$7:$D$27,Overview!B114,Startup!$D$7:$D$27)*Startup!$C$4))+IF(Pilot!$C$3="Project",SUMIF(Pilot!$C$7:$D$27,Overview!B114,Pilot!$D$7:$D$27),(SUMIF(Pilot!$C$7:$D$27,Overview!B114,Pilot!$D$7:$D$27)*Pilot!$C$4))+IF(PMO!$C$3="Project",SUMIF(PMO!$C$7:$D$27,Overview!B114,PMO!$D$7:$D$27),(SUMIF(PMO!$C$7:$D$27,Overview!B114,PMO!$D$7:$D$27)*PMO!$C$4))+IF('Design &amp; Fulfillment'!$C$3="Project",SUMIF('Design &amp; Fulfillment'!$C$7:$D$27,Overview!B114,'Design &amp; Fulfillment'!$D$7:$D$27),(SUMIF('Design &amp; Fulfillment'!$C$7:$D$27,Overview!B114,'Design &amp; Fulfillment'!$D$7:$D$27)*'Design &amp; Fulfillment'!$C$4))+IF(Workplace!$C$3="Project",SUMIF(Workplace!$C$7:$D$27,Overview!B114,Workplace!$D$7:$D$27),(SUMIF(Workplace!$C$7:$D$27,Overview!B114,Workplace!$D$7:$D$27)*Workplace!$C$4))+IF(Integration!$C$3="Project",SUMIF(Integration!$C$7:$D$27,Overview!B114,Integration!$D$7:$D$27),(SUMIF(Integration!$C$7:$D$27,Overview!B114,Integration!$D$7:$D$27)*Integration!$C$4))+IF(Logistics!$C$3="Project",SUMIF(Logistics!$C$7:$D$27,Overview!B114,Logistics!$D$7:$D$27),(SUMIF(Logistics!$C$7:$D$27,Overview!B114,Logistics!$D$7:$D$27)*Logistics!$C$4))+IF('Service Desk'!$C$3="Project",SUMIF('Service Desk'!$C$7:$D$27,Overview!B114,'Service Desk'!$D$7:$D$27),(SUMIF('Service Desk'!$C$7:$D$27,Overview!B114,'Service Desk'!$D$7:$D$27)*'Service Desk'!$C$4))+IF('Pro Services'!$C$3="Project",SUMIF('Pro Services'!$C$7:$D$27,Overview!B114,'Pro Services'!$D$7:$D$27),(SUMIF('Pro Services'!$C$7:$D$27,Overview!B114,'Pro Services'!$D$7:$D$27)*'Pro Services'!$C$4))</f>
        <v>0</v>
      </c>
      <c r="D114" s="53">
        <f ca="1">IF(Startup!$C$3="Project",SUMIF(Startup!$C$7:$H$27,Overview!B114,Startup!$H$7:$H$27),(SUMIF(Startup!$C$7:$H$27,Overview!B114,Startup!$H$7:$H$27)*Startup!$C$4))+IF(Pilot!$C$3="Project",SUMIF(Pilot!$C$7:$H$27,Overview!B114,Pilot!$H$7:$H$27),(SUMIF(Pilot!$C$7:$H$27,Overview!B114,Pilot!$H$7:$H$27)*Pilot!$C$4))+IF(PMO!$C$3="Project",SUMIF(PMO!$C$7:$H$27,Overview!B114,PMO!$H$7:$H$27),(SUMIF(PMO!$C$7:$H$27,Overview!B114,PMO!$H$7:$H$27)*PMO!$C$4))+IF('Design &amp; Fulfillment'!$C$3="Project",SUMIF('Design &amp; Fulfillment'!$C$7:$H$27,Overview!B114,'Design &amp; Fulfillment'!$H$7:$H$27),(SUMIF('Design &amp; Fulfillment'!$C$7:$H$27,Overview!B114,'Design &amp; Fulfillment'!$H$7:$H$27)*'Design &amp; Fulfillment'!$C$4))+IF(Workplace!$C$3="Project",SUMIF(Workplace!$C$7:$H$27,Overview!B114,Workplace!$H$7:$H$27),(SUMIF(Workplace!$C$7:$H$27,Overview!B114,Workplace!$H$7:$H$27)*Workplace!$C$4))+IF(Integration!$C$3="Project",SUMIF(Integration!$C$7:$H$27,Overview!B114,Integration!$H$7:$H$27),(SUMIF(Integration!$C$7:$H$27,Overview!B114,Integration!$H$7:$H$27)*Integration!$C$4))+IF(Logistics!$C$3="Project",SUMIF(Logistics!$C$7:$H$27,Overview!B114,Logistics!$H$7:$H$27),(SUMIF(Logistics!$C$7:$H$27,Overview!B114,Logistics!$H$7:$H$27)*Logistics!$C$4))+IF('Service Desk'!$C$3="Project",SUMIF('Service Desk'!$C$7:$H$27,Overview!B114,'Service Desk'!$H$7:$H$27),(SUMIF('Service Desk'!$C$7:$H$27,Overview!B114,'Service Desk'!$H$7:$H$27)*'Service Desk'!$C$4))+IF('Pro Services'!$C$3="Project",SUMIF('Pro Services'!$C$7:$H$27,Overview!B114,'Pro Services'!$H$7:$H$27),(SUMIF('Pro Services'!$C$7:$H$27,Overview!B114,'Pro Services'!$H$7:$H$27)*'Pro Services'!$C$4))</f>
        <v>0</v>
      </c>
      <c r="E114" s="52">
        <f t="shared" ca="1" si="120"/>
        <v>0</v>
      </c>
      <c r="F114" s="52">
        <f t="shared" ref="F114:AK114" si="427">IFERROR(IF(F$28="FALSE",0,$C$114/$C$8),0)</f>
        <v>0</v>
      </c>
      <c r="G114" s="52">
        <f t="shared" si="427"/>
        <v>0</v>
      </c>
      <c r="H114" s="52">
        <f t="shared" si="427"/>
        <v>0</v>
      </c>
      <c r="I114" s="52">
        <f t="shared" si="427"/>
        <v>0</v>
      </c>
      <c r="J114" s="52">
        <f t="shared" si="427"/>
        <v>0</v>
      </c>
      <c r="K114" s="52">
        <f t="shared" si="427"/>
        <v>0</v>
      </c>
      <c r="L114" s="52">
        <f t="shared" si="427"/>
        <v>0</v>
      </c>
      <c r="M114" s="52">
        <f t="shared" si="427"/>
        <v>0</v>
      </c>
      <c r="N114" s="52">
        <f t="shared" si="427"/>
        <v>0</v>
      </c>
      <c r="O114" s="52">
        <f t="shared" si="427"/>
        <v>0</v>
      </c>
      <c r="P114" s="52">
        <f t="shared" si="427"/>
        <v>0</v>
      </c>
      <c r="Q114" s="52">
        <f t="shared" si="427"/>
        <v>0</v>
      </c>
      <c r="R114" s="52">
        <f t="shared" si="427"/>
        <v>0</v>
      </c>
      <c r="S114" s="52">
        <f t="shared" si="427"/>
        <v>0</v>
      </c>
      <c r="T114" s="52">
        <f t="shared" si="427"/>
        <v>0</v>
      </c>
      <c r="U114" s="52">
        <f t="shared" si="427"/>
        <v>0</v>
      </c>
      <c r="V114" s="52">
        <f t="shared" si="427"/>
        <v>0</v>
      </c>
      <c r="W114" s="52">
        <f t="shared" si="427"/>
        <v>0</v>
      </c>
      <c r="X114" s="52">
        <f t="shared" si="427"/>
        <v>0</v>
      </c>
      <c r="Y114" s="52">
        <f t="shared" si="427"/>
        <v>0</v>
      </c>
      <c r="Z114" s="52">
        <f t="shared" si="427"/>
        <v>0</v>
      </c>
      <c r="AA114" s="52">
        <f t="shared" si="427"/>
        <v>0</v>
      </c>
      <c r="AB114" s="52">
        <f t="shared" si="427"/>
        <v>0</v>
      </c>
      <c r="AC114" s="52">
        <f t="shared" si="427"/>
        <v>0</v>
      </c>
      <c r="AD114" s="52">
        <f t="shared" si="427"/>
        <v>0</v>
      </c>
      <c r="AE114" s="52">
        <f t="shared" si="427"/>
        <v>0</v>
      </c>
      <c r="AF114" s="52">
        <f t="shared" si="427"/>
        <v>0</v>
      </c>
      <c r="AG114" s="52">
        <f t="shared" si="427"/>
        <v>0</v>
      </c>
      <c r="AH114" s="52">
        <f t="shared" si="427"/>
        <v>0</v>
      </c>
      <c r="AI114" s="52">
        <f t="shared" si="427"/>
        <v>0</v>
      </c>
      <c r="AJ114" s="52">
        <f t="shared" si="427"/>
        <v>0</v>
      </c>
      <c r="AK114" s="52">
        <f t="shared" si="427"/>
        <v>0</v>
      </c>
      <c r="AL114" s="52">
        <f t="shared" ref="AL114:BQ114" si="428">IFERROR(IF(AL$28="FALSE",0,$C$114/$C$8),0)</f>
        <v>0</v>
      </c>
      <c r="AM114" s="52">
        <f t="shared" si="428"/>
        <v>0</v>
      </c>
      <c r="AN114" s="52">
        <f t="shared" si="428"/>
        <v>0</v>
      </c>
      <c r="AO114" s="52">
        <f t="shared" si="428"/>
        <v>0</v>
      </c>
      <c r="AP114" s="52">
        <f t="shared" si="428"/>
        <v>0</v>
      </c>
      <c r="AQ114" s="52">
        <f t="shared" si="428"/>
        <v>0</v>
      </c>
      <c r="AR114" s="52">
        <f t="shared" si="428"/>
        <v>0</v>
      </c>
      <c r="AS114" s="52">
        <f t="shared" si="428"/>
        <v>0</v>
      </c>
      <c r="AT114" s="52">
        <f t="shared" si="428"/>
        <v>0</v>
      </c>
      <c r="AU114" s="52">
        <f t="shared" si="428"/>
        <v>0</v>
      </c>
      <c r="AV114" s="52">
        <f t="shared" si="428"/>
        <v>0</v>
      </c>
      <c r="AW114" s="52">
        <f t="shared" si="428"/>
        <v>0</v>
      </c>
      <c r="AX114" s="52">
        <f t="shared" si="428"/>
        <v>0</v>
      </c>
      <c r="AY114" s="52">
        <f t="shared" si="428"/>
        <v>0</v>
      </c>
      <c r="AZ114" s="52">
        <f t="shared" si="428"/>
        <v>0</v>
      </c>
      <c r="BA114" s="52">
        <f t="shared" si="428"/>
        <v>0</v>
      </c>
      <c r="BB114" s="52">
        <f t="shared" si="428"/>
        <v>0</v>
      </c>
      <c r="BC114" s="52">
        <f t="shared" si="428"/>
        <v>0</v>
      </c>
      <c r="BD114" s="52">
        <f t="shared" si="428"/>
        <v>0</v>
      </c>
      <c r="BE114" s="52">
        <f t="shared" si="428"/>
        <v>0</v>
      </c>
      <c r="BF114" s="52">
        <f t="shared" si="428"/>
        <v>0</v>
      </c>
      <c r="BG114" s="52">
        <f t="shared" si="428"/>
        <v>0</v>
      </c>
      <c r="BH114" s="52">
        <f t="shared" si="428"/>
        <v>0</v>
      </c>
      <c r="BI114" s="52">
        <f t="shared" si="428"/>
        <v>0</v>
      </c>
      <c r="BJ114" s="52">
        <f t="shared" si="428"/>
        <v>0</v>
      </c>
      <c r="BK114" s="52">
        <f t="shared" si="428"/>
        <v>0</v>
      </c>
      <c r="BL114" s="52">
        <f t="shared" si="428"/>
        <v>0</v>
      </c>
      <c r="BM114" s="52">
        <f t="shared" si="428"/>
        <v>0</v>
      </c>
      <c r="BN114" s="52">
        <f t="shared" si="428"/>
        <v>0</v>
      </c>
      <c r="BO114" s="52">
        <f t="shared" si="428"/>
        <v>0</v>
      </c>
      <c r="BP114" s="52">
        <f t="shared" si="428"/>
        <v>0</v>
      </c>
      <c r="BQ114" s="52">
        <f t="shared" si="428"/>
        <v>0</v>
      </c>
      <c r="BR114" s="52">
        <f t="shared" ref="BR114:CW114" si="429">IFERROR(IF(BR$28="FALSE",0,$C$114/$C$8),0)</f>
        <v>0</v>
      </c>
      <c r="BS114" s="52">
        <f t="shared" si="429"/>
        <v>0</v>
      </c>
      <c r="BT114" s="52">
        <f t="shared" si="429"/>
        <v>0</v>
      </c>
      <c r="BU114" s="52">
        <f t="shared" si="429"/>
        <v>0</v>
      </c>
      <c r="BV114" s="52">
        <f t="shared" si="429"/>
        <v>0</v>
      </c>
      <c r="BW114" s="52">
        <f t="shared" si="429"/>
        <v>0</v>
      </c>
      <c r="BX114" s="52">
        <f t="shared" si="429"/>
        <v>0</v>
      </c>
      <c r="BY114" s="52">
        <f t="shared" si="429"/>
        <v>0</v>
      </c>
      <c r="BZ114" s="52">
        <f t="shared" si="429"/>
        <v>0</v>
      </c>
      <c r="CA114" s="52">
        <f t="shared" si="429"/>
        <v>0</v>
      </c>
      <c r="CB114" s="52">
        <f t="shared" si="429"/>
        <v>0</v>
      </c>
      <c r="CC114" s="52">
        <f t="shared" si="429"/>
        <v>0</v>
      </c>
      <c r="CD114" s="52">
        <f t="shared" si="429"/>
        <v>0</v>
      </c>
      <c r="CE114" s="52">
        <f t="shared" si="429"/>
        <v>0</v>
      </c>
      <c r="CF114" s="52">
        <f t="shared" si="429"/>
        <v>0</v>
      </c>
      <c r="CG114" s="52">
        <f t="shared" si="429"/>
        <v>0</v>
      </c>
      <c r="CH114" s="52">
        <f t="shared" si="429"/>
        <v>0</v>
      </c>
      <c r="CI114" s="52">
        <f t="shared" si="429"/>
        <v>0</v>
      </c>
      <c r="CJ114" s="52">
        <f t="shared" si="429"/>
        <v>0</v>
      </c>
      <c r="CK114" s="52">
        <f t="shared" si="429"/>
        <v>0</v>
      </c>
      <c r="CL114" s="52">
        <f t="shared" si="429"/>
        <v>0</v>
      </c>
      <c r="CM114" s="52">
        <f t="shared" si="429"/>
        <v>0</v>
      </c>
      <c r="CN114" s="52">
        <f t="shared" si="429"/>
        <v>0</v>
      </c>
      <c r="CO114" s="52">
        <f t="shared" si="429"/>
        <v>0</v>
      </c>
      <c r="CP114" s="52">
        <f t="shared" si="429"/>
        <v>0</v>
      </c>
      <c r="CQ114" s="52">
        <f t="shared" si="429"/>
        <v>0</v>
      </c>
      <c r="CR114" s="52">
        <f t="shared" si="429"/>
        <v>0</v>
      </c>
      <c r="CS114" s="52">
        <f t="shared" si="429"/>
        <v>0</v>
      </c>
      <c r="CT114" s="52">
        <f t="shared" si="429"/>
        <v>0</v>
      </c>
      <c r="CU114" s="52">
        <f t="shared" si="429"/>
        <v>0</v>
      </c>
      <c r="CV114" s="52">
        <f t="shared" si="429"/>
        <v>0</v>
      </c>
      <c r="CW114" s="52">
        <f t="shared" si="429"/>
        <v>0</v>
      </c>
      <c r="CX114" s="52">
        <f t="shared" ref="CX114:EC114" si="430">IFERROR(IF(CX$28="FALSE",0,$C$114/$C$8),0)</f>
        <v>0</v>
      </c>
      <c r="CY114" s="52">
        <f t="shared" si="430"/>
        <v>0</v>
      </c>
      <c r="CZ114" s="52">
        <f t="shared" si="430"/>
        <v>0</v>
      </c>
      <c r="DA114" s="52">
        <f t="shared" si="430"/>
        <v>0</v>
      </c>
      <c r="DB114" s="52">
        <f t="shared" si="430"/>
        <v>0</v>
      </c>
      <c r="DC114" s="52">
        <f t="shared" si="430"/>
        <v>0</v>
      </c>
      <c r="DD114" s="52">
        <f t="shared" si="430"/>
        <v>0</v>
      </c>
      <c r="DE114" s="52">
        <f t="shared" si="430"/>
        <v>0</v>
      </c>
      <c r="DF114" s="52">
        <f t="shared" si="430"/>
        <v>0</v>
      </c>
      <c r="DG114" s="52">
        <f t="shared" si="430"/>
        <v>0</v>
      </c>
      <c r="DH114" s="52">
        <f t="shared" si="430"/>
        <v>0</v>
      </c>
      <c r="DI114" s="52">
        <f t="shared" si="430"/>
        <v>0</v>
      </c>
      <c r="DJ114" s="52">
        <f t="shared" si="430"/>
        <v>0</v>
      </c>
      <c r="DK114" s="52">
        <f t="shared" si="430"/>
        <v>0</v>
      </c>
      <c r="DL114" s="52">
        <f t="shared" si="430"/>
        <v>0</v>
      </c>
      <c r="DM114" s="52">
        <f t="shared" si="430"/>
        <v>0</v>
      </c>
      <c r="DN114" s="52">
        <f t="shared" si="430"/>
        <v>0</v>
      </c>
      <c r="DO114" s="52">
        <f t="shared" si="430"/>
        <v>0</v>
      </c>
      <c r="DP114" s="52">
        <f t="shared" si="430"/>
        <v>0</v>
      </c>
      <c r="DQ114" s="52">
        <f t="shared" si="430"/>
        <v>0</v>
      </c>
      <c r="DR114" s="52">
        <f t="shared" si="430"/>
        <v>0</v>
      </c>
      <c r="DS114" s="52">
        <f t="shared" si="430"/>
        <v>0</v>
      </c>
      <c r="DT114" s="52">
        <f t="shared" si="430"/>
        <v>0</v>
      </c>
      <c r="DU114" s="52">
        <f t="shared" si="430"/>
        <v>0</v>
      </c>
      <c r="DV114" s="52">
        <f t="shared" si="430"/>
        <v>0</v>
      </c>
      <c r="DW114" s="52">
        <f t="shared" si="430"/>
        <v>0</v>
      </c>
      <c r="DX114" s="52">
        <f t="shared" si="430"/>
        <v>0</v>
      </c>
      <c r="DY114" s="52">
        <f t="shared" si="430"/>
        <v>0</v>
      </c>
      <c r="DZ114" s="52">
        <f t="shared" si="430"/>
        <v>0</v>
      </c>
      <c r="EA114" s="52">
        <f t="shared" si="430"/>
        <v>0</v>
      </c>
      <c r="EB114" s="52">
        <f t="shared" si="430"/>
        <v>0</v>
      </c>
      <c r="EC114" s="52">
        <f t="shared" si="430"/>
        <v>0</v>
      </c>
      <c r="ED114" s="52">
        <f t="shared" ref="ED114:FD114" si="431">IFERROR(IF(ED$28="FALSE",0,$C$114/$C$8),0)</f>
        <v>0</v>
      </c>
      <c r="EE114" s="52">
        <f t="shared" si="431"/>
        <v>0</v>
      </c>
      <c r="EF114" s="52">
        <f t="shared" si="431"/>
        <v>0</v>
      </c>
      <c r="EG114" s="52">
        <f t="shared" si="431"/>
        <v>0</v>
      </c>
      <c r="EH114" s="52">
        <f t="shared" si="431"/>
        <v>0</v>
      </c>
      <c r="EI114" s="52">
        <f t="shared" si="431"/>
        <v>0</v>
      </c>
      <c r="EJ114" s="52">
        <f t="shared" si="431"/>
        <v>0</v>
      </c>
      <c r="EK114" s="52">
        <f t="shared" si="431"/>
        <v>0</v>
      </c>
      <c r="EL114" s="52">
        <f t="shared" si="431"/>
        <v>0</v>
      </c>
      <c r="EM114" s="52">
        <f t="shared" si="431"/>
        <v>0</v>
      </c>
      <c r="EN114" s="52">
        <f t="shared" si="431"/>
        <v>0</v>
      </c>
      <c r="EO114" s="52">
        <f t="shared" si="431"/>
        <v>0</v>
      </c>
      <c r="EP114" s="52">
        <f t="shared" si="431"/>
        <v>0</v>
      </c>
      <c r="EQ114" s="52">
        <f t="shared" si="431"/>
        <v>0</v>
      </c>
      <c r="ER114" s="52">
        <f t="shared" si="431"/>
        <v>0</v>
      </c>
      <c r="ES114" s="52">
        <f t="shared" si="431"/>
        <v>0</v>
      </c>
      <c r="ET114" s="52">
        <f t="shared" si="431"/>
        <v>0</v>
      </c>
      <c r="EU114" s="52">
        <f t="shared" si="431"/>
        <v>0</v>
      </c>
      <c r="EV114" s="52">
        <f t="shared" si="431"/>
        <v>0</v>
      </c>
      <c r="EW114" s="52">
        <f t="shared" si="431"/>
        <v>0</v>
      </c>
      <c r="EX114" s="52">
        <f t="shared" si="431"/>
        <v>0</v>
      </c>
      <c r="EY114" s="52">
        <f t="shared" si="431"/>
        <v>0</v>
      </c>
      <c r="EZ114" s="52">
        <f t="shared" si="431"/>
        <v>0</v>
      </c>
      <c r="FA114" s="52">
        <f t="shared" si="431"/>
        <v>0</v>
      </c>
      <c r="FB114" s="52">
        <f t="shared" si="431"/>
        <v>0</v>
      </c>
      <c r="FC114" s="52">
        <f t="shared" si="431"/>
        <v>0</v>
      </c>
      <c r="FD114" s="52">
        <f t="shared" si="431"/>
        <v>0</v>
      </c>
    </row>
    <row r="115" spans="2:160">
      <c r="B115" s="51" t="s">
        <v>197</v>
      </c>
      <c r="C115" s="52">
        <f ca="1">IF(Startup!$C$3="Project",SUMIF(Startup!$C$7:$D$27,Overview!B115,Startup!$D$7:$D$27),(SUMIF(Startup!$C$7:$D$27,Overview!B115,Startup!$D$7:$D$27)*Startup!$C$4))+IF(Pilot!$C$3="Project",SUMIF(Pilot!$C$7:$D$27,Overview!B115,Pilot!$D$7:$D$27),(SUMIF(Pilot!$C$7:$D$27,Overview!B115,Pilot!$D$7:$D$27)*Pilot!$C$4))+IF(PMO!$C$3="Project",SUMIF(PMO!$C$7:$D$27,Overview!B115,PMO!$D$7:$D$27),(SUMIF(PMO!$C$7:$D$27,Overview!B115,PMO!$D$7:$D$27)*PMO!$C$4))+IF('Design &amp; Fulfillment'!$C$3="Project",SUMIF('Design &amp; Fulfillment'!$C$7:$D$27,Overview!B115,'Design &amp; Fulfillment'!$D$7:$D$27),(SUMIF('Design &amp; Fulfillment'!$C$7:$D$27,Overview!B115,'Design &amp; Fulfillment'!$D$7:$D$27)*'Design &amp; Fulfillment'!$C$4))+IF(Workplace!$C$3="Project",SUMIF(Workplace!$C$7:$D$27,Overview!B115,Workplace!$D$7:$D$27),(SUMIF(Workplace!$C$7:$D$27,Overview!B115,Workplace!$D$7:$D$27)*Workplace!$C$4))+IF(Integration!$C$3="Project",SUMIF(Integration!$C$7:$D$27,Overview!B115,Integration!$D$7:$D$27),(SUMIF(Integration!$C$7:$D$27,Overview!B115,Integration!$D$7:$D$27)*Integration!$C$4))+IF(Logistics!$C$3="Project",SUMIF(Logistics!$C$7:$D$27,Overview!B115,Logistics!$D$7:$D$27),(SUMIF(Logistics!$C$7:$D$27,Overview!B115,Logistics!$D$7:$D$27)*Logistics!$C$4))+IF('Service Desk'!$C$3="Project",SUMIF('Service Desk'!$C$7:$D$27,Overview!B115,'Service Desk'!$D$7:$D$27),(SUMIF('Service Desk'!$C$7:$D$27,Overview!B115,'Service Desk'!$D$7:$D$27)*'Service Desk'!$C$4))+IF('Pro Services'!$C$3="Project",SUMIF('Pro Services'!$C$7:$D$27,Overview!B115,'Pro Services'!$D$7:$D$27),(SUMIF('Pro Services'!$C$7:$D$27,Overview!B115,'Pro Services'!$D$7:$D$27)*'Pro Services'!$C$4))</f>
        <v>0</v>
      </c>
      <c r="D115" s="53">
        <f ca="1">IF(Startup!$C$3="Project",SUMIF(Startup!$C$7:$H$27,Overview!B115,Startup!$H$7:$H$27),(SUMIF(Startup!$C$7:$H$27,Overview!B115,Startup!$H$7:$H$27)*Startup!$C$4))+IF(Pilot!$C$3="Project",SUMIF(Pilot!$C$7:$H$27,Overview!B115,Pilot!$H$7:$H$27),(SUMIF(Pilot!$C$7:$H$27,Overview!B115,Pilot!$H$7:$H$27)*Pilot!$C$4))+IF(PMO!$C$3="Project",SUMIF(PMO!$C$7:$H$27,Overview!B115,PMO!$H$7:$H$27),(SUMIF(PMO!$C$7:$H$27,Overview!B115,PMO!$H$7:$H$27)*PMO!$C$4))+IF('Design &amp; Fulfillment'!$C$3="Project",SUMIF('Design &amp; Fulfillment'!$C$7:$H$27,Overview!B115,'Design &amp; Fulfillment'!$H$7:$H$27),(SUMIF('Design &amp; Fulfillment'!$C$7:$H$27,Overview!B115,'Design &amp; Fulfillment'!$H$7:$H$27)*'Design &amp; Fulfillment'!$C$4))+IF(Workplace!$C$3="Project",SUMIF(Workplace!$C$7:$H$27,Overview!B115,Workplace!$H$7:$H$27),(SUMIF(Workplace!$C$7:$H$27,Overview!B115,Workplace!$H$7:$H$27)*Workplace!$C$4))+IF(Integration!$C$3="Project",SUMIF(Integration!$C$7:$H$27,Overview!B115,Integration!$H$7:$H$27),(SUMIF(Integration!$C$7:$H$27,Overview!B115,Integration!$H$7:$H$27)*Integration!$C$4))+IF(Logistics!$C$3="Project",SUMIF(Logistics!$C$7:$H$27,Overview!B115,Logistics!$H$7:$H$27),(SUMIF(Logistics!$C$7:$H$27,Overview!B115,Logistics!$H$7:$H$27)*Logistics!$C$4))+IF('Service Desk'!$C$3="Project",SUMIF('Service Desk'!$C$7:$H$27,Overview!B115,'Service Desk'!$H$7:$H$27),(SUMIF('Service Desk'!$C$7:$H$27,Overview!B115,'Service Desk'!$H$7:$H$27)*'Service Desk'!$C$4))+IF('Pro Services'!$C$3="Project",SUMIF('Pro Services'!$C$7:$H$27,Overview!B115,'Pro Services'!$H$7:$H$27),(SUMIF('Pro Services'!$C$7:$H$27,Overview!B115,'Pro Services'!$H$7:$H$27)*'Pro Services'!$C$4))</f>
        <v>0</v>
      </c>
      <c r="E115" s="52">
        <f t="shared" ca="1" si="120"/>
        <v>0</v>
      </c>
      <c r="F115" s="52">
        <f t="shared" ref="F115:AK115" si="432">IFERROR(IF(F$28="FALSE",0,$C$115/$C$8),0)</f>
        <v>0</v>
      </c>
      <c r="G115" s="52">
        <f t="shared" si="432"/>
        <v>0</v>
      </c>
      <c r="H115" s="52">
        <f t="shared" si="432"/>
        <v>0</v>
      </c>
      <c r="I115" s="52">
        <f t="shared" si="432"/>
        <v>0</v>
      </c>
      <c r="J115" s="52">
        <f t="shared" si="432"/>
        <v>0</v>
      </c>
      <c r="K115" s="52">
        <f t="shared" si="432"/>
        <v>0</v>
      </c>
      <c r="L115" s="52">
        <f t="shared" si="432"/>
        <v>0</v>
      </c>
      <c r="M115" s="52">
        <f t="shared" si="432"/>
        <v>0</v>
      </c>
      <c r="N115" s="52">
        <f t="shared" si="432"/>
        <v>0</v>
      </c>
      <c r="O115" s="52">
        <f t="shared" si="432"/>
        <v>0</v>
      </c>
      <c r="P115" s="52">
        <f t="shared" si="432"/>
        <v>0</v>
      </c>
      <c r="Q115" s="52">
        <f t="shared" si="432"/>
        <v>0</v>
      </c>
      <c r="R115" s="52">
        <f t="shared" si="432"/>
        <v>0</v>
      </c>
      <c r="S115" s="52">
        <f t="shared" si="432"/>
        <v>0</v>
      </c>
      <c r="T115" s="52">
        <f t="shared" si="432"/>
        <v>0</v>
      </c>
      <c r="U115" s="52">
        <f t="shared" si="432"/>
        <v>0</v>
      </c>
      <c r="V115" s="52">
        <f t="shared" si="432"/>
        <v>0</v>
      </c>
      <c r="W115" s="52">
        <f t="shared" si="432"/>
        <v>0</v>
      </c>
      <c r="X115" s="52">
        <f t="shared" si="432"/>
        <v>0</v>
      </c>
      <c r="Y115" s="52">
        <f t="shared" si="432"/>
        <v>0</v>
      </c>
      <c r="Z115" s="52">
        <f t="shared" si="432"/>
        <v>0</v>
      </c>
      <c r="AA115" s="52">
        <f t="shared" si="432"/>
        <v>0</v>
      </c>
      <c r="AB115" s="52">
        <f t="shared" si="432"/>
        <v>0</v>
      </c>
      <c r="AC115" s="52">
        <f t="shared" si="432"/>
        <v>0</v>
      </c>
      <c r="AD115" s="52">
        <f t="shared" si="432"/>
        <v>0</v>
      </c>
      <c r="AE115" s="52">
        <f t="shared" si="432"/>
        <v>0</v>
      </c>
      <c r="AF115" s="52">
        <f t="shared" si="432"/>
        <v>0</v>
      </c>
      <c r="AG115" s="52">
        <f t="shared" si="432"/>
        <v>0</v>
      </c>
      <c r="AH115" s="52">
        <f t="shared" si="432"/>
        <v>0</v>
      </c>
      <c r="AI115" s="52">
        <f t="shared" si="432"/>
        <v>0</v>
      </c>
      <c r="AJ115" s="52">
        <f t="shared" si="432"/>
        <v>0</v>
      </c>
      <c r="AK115" s="52">
        <f t="shared" si="432"/>
        <v>0</v>
      </c>
      <c r="AL115" s="52">
        <f t="shared" ref="AL115:BQ115" si="433">IFERROR(IF(AL$28="FALSE",0,$C$115/$C$8),0)</f>
        <v>0</v>
      </c>
      <c r="AM115" s="52">
        <f t="shared" si="433"/>
        <v>0</v>
      </c>
      <c r="AN115" s="52">
        <f t="shared" si="433"/>
        <v>0</v>
      </c>
      <c r="AO115" s="52">
        <f t="shared" si="433"/>
        <v>0</v>
      </c>
      <c r="AP115" s="52">
        <f t="shared" si="433"/>
        <v>0</v>
      </c>
      <c r="AQ115" s="52">
        <f t="shared" si="433"/>
        <v>0</v>
      </c>
      <c r="AR115" s="52">
        <f t="shared" si="433"/>
        <v>0</v>
      </c>
      <c r="AS115" s="52">
        <f t="shared" si="433"/>
        <v>0</v>
      </c>
      <c r="AT115" s="52">
        <f t="shared" si="433"/>
        <v>0</v>
      </c>
      <c r="AU115" s="52">
        <f t="shared" si="433"/>
        <v>0</v>
      </c>
      <c r="AV115" s="52">
        <f t="shared" si="433"/>
        <v>0</v>
      </c>
      <c r="AW115" s="52">
        <f t="shared" si="433"/>
        <v>0</v>
      </c>
      <c r="AX115" s="52">
        <f t="shared" si="433"/>
        <v>0</v>
      </c>
      <c r="AY115" s="52">
        <f t="shared" si="433"/>
        <v>0</v>
      </c>
      <c r="AZ115" s="52">
        <f t="shared" si="433"/>
        <v>0</v>
      </c>
      <c r="BA115" s="52">
        <f t="shared" si="433"/>
        <v>0</v>
      </c>
      <c r="BB115" s="52">
        <f t="shared" si="433"/>
        <v>0</v>
      </c>
      <c r="BC115" s="52">
        <f t="shared" si="433"/>
        <v>0</v>
      </c>
      <c r="BD115" s="52">
        <f t="shared" si="433"/>
        <v>0</v>
      </c>
      <c r="BE115" s="52">
        <f t="shared" si="433"/>
        <v>0</v>
      </c>
      <c r="BF115" s="52">
        <f t="shared" si="433"/>
        <v>0</v>
      </c>
      <c r="BG115" s="52">
        <f t="shared" si="433"/>
        <v>0</v>
      </c>
      <c r="BH115" s="52">
        <f t="shared" si="433"/>
        <v>0</v>
      </c>
      <c r="BI115" s="52">
        <f t="shared" si="433"/>
        <v>0</v>
      </c>
      <c r="BJ115" s="52">
        <f t="shared" si="433"/>
        <v>0</v>
      </c>
      <c r="BK115" s="52">
        <f t="shared" si="433"/>
        <v>0</v>
      </c>
      <c r="BL115" s="52">
        <f t="shared" si="433"/>
        <v>0</v>
      </c>
      <c r="BM115" s="52">
        <f t="shared" si="433"/>
        <v>0</v>
      </c>
      <c r="BN115" s="52">
        <f t="shared" si="433"/>
        <v>0</v>
      </c>
      <c r="BO115" s="52">
        <f t="shared" si="433"/>
        <v>0</v>
      </c>
      <c r="BP115" s="52">
        <f t="shared" si="433"/>
        <v>0</v>
      </c>
      <c r="BQ115" s="52">
        <f t="shared" si="433"/>
        <v>0</v>
      </c>
      <c r="BR115" s="52">
        <f t="shared" ref="BR115:CW115" si="434">IFERROR(IF(BR$28="FALSE",0,$C$115/$C$8),0)</f>
        <v>0</v>
      </c>
      <c r="BS115" s="52">
        <f t="shared" si="434"/>
        <v>0</v>
      </c>
      <c r="BT115" s="52">
        <f t="shared" si="434"/>
        <v>0</v>
      </c>
      <c r="BU115" s="52">
        <f t="shared" si="434"/>
        <v>0</v>
      </c>
      <c r="BV115" s="52">
        <f t="shared" si="434"/>
        <v>0</v>
      </c>
      <c r="BW115" s="52">
        <f t="shared" si="434"/>
        <v>0</v>
      </c>
      <c r="BX115" s="52">
        <f t="shared" si="434"/>
        <v>0</v>
      </c>
      <c r="BY115" s="52">
        <f t="shared" si="434"/>
        <v>0</v>
      </c>
      <c r="BZ115" s="52">
        <f t="shared" si="434"/>
        <v>0</v>
      </c>
      <c r="CA115" s="52">
        <f t="shared" si="434"/>
        <v>0</v>
      </c>
      <c r="CB115" s="52">
        <f t="shared" si="434"/>
        <v>0</v>
      </c>
      <c r="CC115" s="52">
        <f t="shared" si="434"/>
        <v>0</v>
      </c>
      <c r="CD115" s="52">
        <f t="shared" si="434"/>
        <v>0</v>
      </c>
      <c r="CE115" s="52">
        <f t="shared" si="434"/>
        <v>0</v>
      </c>
      <c r="CF115" s="52">
        <f t="shared" si="434"/>
        <v>0</v>
      </c>
      <c r="CG115" s="52">
        <f t="shared" si="434"/>
        <v>0</v>
      </c>
      <c r="CH115" s="52">
        <f t="shared" si="434"/>
        <v>0</v>
      </c>
      <c r="CI115" s="52">
        <f t="shared" si="434"/>
        <v>0</v>
      </c>
      <c r="CJ115" s="52">
        <f t="shared" si="434"/>
        <v>0</v>
      </c>
      <c r="CK115" s="52">
        <f t="shared" si="434"/>
        <v>0</v>
      </c>
      <c r="CL115" s="52">
        <f t="shared" si="434"/>
        <v>0</v>
      </c>
      <c r="CM115" s="52">
        <f t="shared" si="434"/>
        <v>0</v>
      </c>
      <c r="CN115" s="52">
        <f t="shared" si="434"/>
        <v>0</v>
      </c>
      <c r="CO115" s="52">
        <f t="shared" si="434"/>
        <v>0</v>
      </c>
      <c r="CP115" s="52">
        <f t="shared" si="434"/>
        <v>0</v>
      </c>
      <c r="CQ115" s="52">
        <f t="shared" si="434"/>
        <v>0</v>
      </c>
      <c r="CR115" s="52">
        <f t="shared" si="434"/>
        <v>0</v>
      </c>
      <c r="CS115" s="52">
        <f t="shared" si="434"/>
        <v>0</v>
      </c>
      <c r="CT115" s="52">
        <f t="shared" si="434"/>
        <v>0</v>
      </c>
      <c r="CU115" s="52">
        <f t="shared" si="434"/>
        <v>0</v>
      </c>
      <c r="CV115" s="52">
        <f t="shared" si="434"/>
        <v>0</v>
      </c>
      <c r="CW115" s="52">
        <f t="shared" si="434"/>
        <v>0</v>
      </c>
      <c r="CX115" s="52">
        <f t="shared" ref="CX115:EC115" si="435">IFERROR(IF(CX$28="FALSE",0,$C$115/$C$8),0)</f>
        <v>0</v>
      </c>
      <c r="CY115" s="52">
        <f t="shared" si="435"/>
        <v>0</v>
      </c>
      <c r="CZ115" s="52">
        <f t="shared" si="435"/>
        <v>0</v>
      </c>
      <c r="DA115" s="52">
        <f t="shared" si="435"/>
        <v>0</v>
      </c>
      <c r="DB115" s="52">
        <f t="shared" si="435"/>
        <v>0</v>
      </c>
      <c r="DC115" s="52">
        <f t="shared" si="435"/>
        <v>0</v>
      </c>
      <c r="DD115" s="52">
        <f t="shared" si="435"/>
        <v>0</v>
      </c>
      <c r="DE115" s="52">
        <f t="shared" si="435"/>
        <v>0</v>
      </c>
      <c r="DF115" s="52">
        <f t="shared" si="435"/>
        <v>0</v>
      </c>
      <c r="DG115" s="52">
        <f t="shared" si="435"/>
        <v>0</v>
      </c>
      <c r="DH115" s="52">
        <f t="shared" si="435"/>
        <v>0</v>
      </c>
      <c r="DI115" s="52">
        <f t="shared" si="435"/>
        <v>0</v>
      </c>
      <c r="DJ115" s="52">
        <f t="shared" si="435"/>
        <v>0</v>
      </c>
      <c r="DK115" s="52">
        <f t="shared" si="435"/>
        <v>0</v>
      </c>
      <c r="DL115" s="52">
        <f t="shared" si="435"/>
        <v>0</v>
      </c>
      <c r="DM115" s="52">
        <f t="shared" si="435"/>
        <v>0</v>
      </c>
      <c r="DN115" s="52">
        <f t="shared" si="435"/>
        <v>0</v>
      </c>
      <c r="DO115" s="52">
        <f t="shared" si="435"/>
        <v>0</v>
      </c>
      <c r="DP115" s="52">
        <f t="shared" si="435"/>
        <v>0</v>
      </c>
      <c r="DQ115" s="52">
        <f t="shared" si="435"/>
        <v>0</v>
      </c>
      <c r="DR115" s="52">
        <f t="shared" si="435"/>
        <v>0</v>
      </c>
      <c r="DS115" s="52">
        <f t="shared" si="435"/>
        <v>0</v>
      </c>
      <c r="DT115" s="52">
        <f t="shared" si="435"/>
        <v>0</v>
      </c>
      <c r="DU115" s="52">
        <f t="shared" si="435"/>
        <v>0</v>
      </c>
      <c r="DV115" s="52">
        <f t="shared" si="435"/>
        <v>0</v>
      </c>
      <c r="DW115" s="52">
        <f t="shared" si="435"/>
        <v>0</v>
      </c>
      <c r="DX115" s="52">
        <f t="shared" si="435"/>
        <v>0</v>
      </c>
      <c r="DY115" s="52">
        <f t="shared" si="435"/>
        <v>0</v>
      </c>
      <c r="DZ115" s="52">
        <f t="shared" si="435"/>
        <v>0</v>
      </c>
      <c r="EA115" s="52">
        <f t="shared" si="435"/>
        <v>0</v>
      </c>
      <c r="EB115" s="52">
        <f t="shared" si="435"/>
        <v>0</v>
      </c>
      <c r="EC115" s="52">
        <f t="shared" si="435"/>
        <v>0</v>
      </c>
      <c r="ED115" s="52">
        <f t="shared" ref="ED115:FD115" si="436">IFERROR(IF(ED$28="FALSE",0,$C$115/$C$8),0)</f>
        <v>0</v>
      </c>
      <c r="EE115" s="52">
        <f t="shared" si="436"/>
        <v>0</v>
      </c>
      <c r="EF115" s="52">
        <f t="shared" si="436"/>
        <v>0</v>
      </c>
      <c r="EG115" s="52">
        <f t="shared" si="436"/>
        <v>0</v>
      </c>
      <c r="EH115" s="52">
        <f t="shared" si="436"/>
        <v>0</v>
      </c>
      <c r="EI115" s="52">
        <f t="shared" si="436"/>
        <v>0</v>
      </c>
      <c r="EJ115" s="52">
        <f t="shared" si="436"/>
        <v>0</v>
      </c>
      <c r="EK115" s="52">
        <f t="shared" si="436"/>
        <v>0</v>
      </c>
      <c r="EL115" s="52">
        <f t="shared" si="436"/>
        <v>0</v>
      </c>
      <c r="EM115" s="52">
        <f t="shared" si="436"/>
        <v>0</v>
      </c>
      <c r="EN115" s="52">
        <f t="shared" si="436"/>
        <v>0</v>
      </c>
      <c r="EO115" s="52">
        <f t="shared" si="436"/>
        <v>0</v>
      </c>
      <c r="EP115" s="52">
        <f t="shared" si="436"/>
        <v>0</v>
      </c>
      <c r="EQ115" s="52">
        <f t="shared" si="436"/>
        <v>0</v>
      </c>
      <c r="ER115" s="52">
        <f t="shared" si="436"/>
        <v>0</v>
      </c>
      <c r="ES115" s="52">
        <f t="shared" si="436"/>
        <v>0</v>
      </c>
      <c r="ET115" s="52">
        <f t="shared" si="436"/>
        <v>0</v>
      </c>
      <c r="EU115" s="52">
        <f t="shared" si="436"/>
        <v>0</v>
      </c>
      <c r="EV115" s="52">
        <f t="shared" si="436"/>
        <v>0</v>
      </c>
      <c r="EW115" s="52">
        <f t="shared" si="436"/>
        <v>0</v>
      </c>
      <c r="EX115" s="52">
        <f t="shared" si="436"/>
        <v>0</v>
      </c>
      <c r="EY115" s="52">
        <f t="shared" si="436"/>
        <v>0</v>
      </c>
      <c r="EZ115" s="52">
        <f t="shared" si="436"/>
        <v>0</v>
      </c>
      <c r="FA115" s="52">
        <f t="shared" si="436"/>
        <v>0</v>
      </c>
      <c r="FB115" s="52">
        <f t="shared" si="436"/>
        <v>0</v>
      </c>
      <c r="FC115" s="52">
        <f t="shared" si="436"/>
        <v>0</v>
      </c>
      <c r="FD115" s="52">
        <f t="shared" si="436"/>
        <v>0</v>
      </c>
    </row>
    <row r="116" spans="2:160">
      <c r="B116" s="51" t="s">
        <v>199</v>
      </c>
      <c r="C116" s="52">
        <f ca="1">IF(Startup!$C$3="Project",SUMIF(Startup!$C$7:$D$27,Overview!B116,Startup!$D$7:$D$27),(SUMIF(Startup!$C$7:$D$27,Overview!B116,Startup!$D$7:$D$27)*Startup!$C$4))+IF(Pilot!$C$3="Project",SUMIF(Pilot!$C$7:$D$27,Overview!B116,Pilot!$D$7:$D$27),(SUMIF(Pilot!$C$7:$D$27,Overview!B116,Pilot!$D$7:$D$27)*Pilot!$C$4))+IF(PMO!$C$3="Project",SUMIF(PMO!$C$7:$D$27,Overview!B116,PMO!$D$7:$D$27),(SUMIF(PMO!$C$7:$D$27,Overview!B116,PMO!$D$7:$D$27)*PMO!$C$4))+IF('Design &amp; Fulfillment'!$C$3="Project",SUMIF('Design &amp; Fulfillment'!$C$7:$D$27,Overview!B116,'Design &amp; Fulfillment'!$D$7:$D$27),(SUMIF('Design &amp; Fulfillment'!$C$7:$D$27,Overview!B116,'Design &amp; Fulfillment'!$D$7:$D$27)*'Design &amp; Fulfillment'!$C$4))+IF(Workplace!$C$3="Project",SUMIF(Workplace!$C$7:$D$27,Overview!B116,Workplace!$D$7:$D$27),(SUMIF(Workplace!$C$7:$D$27,Overview!B116,Workplace!$D$7:$D$27)*Workplace!$C$4))+IF(Integration!$C$3="Project",SUMIF(Integration!$C$7:$D$27,Overview!B116,Integration!$D$7:$D$27),(SUMIF(Integration!$C$7:$D$27,Overview!B116,Integration!$D$7:$D$27)*Integration!$C$4))+IF(Logistics!$C$3="Project",SUMIF(Logistics!$C$7:$D$27,Overview!B116,Logistics!$D$7:$D$27),(SUMIF(Logistics!$C$7:$D$27,Overview!B116,Logistics!$D$7:$D$27)*Logistics!$C$4))+IF('Service Desk'!$C$3="Project",SUMIF('Service Desk'!$C$7:$D$27,Overview!B116,'Service Desk'!$D$7:$D$27),(SUMIF('Service Desk'!$C$7:$D$27,Overview!B116,'Service Desk'!$D$7:$D$27)*'Service Desk'!$C$4))+IF('Pro Services'!$C$3="Project",SUMIF('Pro Services'!$C$7:$D$27,Overview!B116,'Pro Services'!$D$7:$D$27),(SUMIF('Pro Services'!$C$7:$D$27,Overview!B116,'Pro Services'!$D$7:$D$27)*'Pro Services'!$C$4))</f>
        <v>0</v>
      </c>
      <c r="D116" s="53">
        <f ca="1">IF(Startup!$C$3="Project",SUMIF(Startup!$C$7:$H$27,Overview!B116,Startup!$H$7:$H$27),(SUMIF(Startup!$C$7:$H$27,Overview!B116,Startup!$H$7:$H$27)*Startup!$C$4))+IF(Pilot!$C$3="Project",SUMIF(Pilot!$C$7:$H$27,Overview!B116,Pilot!$H$7:$H$27),(SUMIF(Pilot!$C$7:$H$27,Overview!B116,Pilot!$H$7:$H$27)*Pilot!$C$4))+IF(PMO!$C$3="Project",SUMIF(PMO!$C$7:$H$27,Overview!B116,PMO!$H$7:$H$27),(SUMIF(PMO!$C$7:$H$27,Overview!B116,PMO!$H$7:$H$27)*PMO!$C$4))+IF('Design &amp; Fulfillment'!$C$3="Project",SUMIF('Design &amp; Fulfillment'!$C$7:$H$27,Overview!B116,'Design &amp; Fulfillment'!$H$7:$H$27),(SUMIF('Design &amp; Fulfillment'!$C$7:$H$27,Overview!B116,'Design &amp; Fulfillment'!$H$7:$H$27)*'Design &amp; Fulfillment'!$C$4))+IF(Workplace!$C$3="Project",SUMIF(Workplace!$C$7:$H$27,Overview!B116,Workplace!$H$7:$H$27),(SUMIF(Workplace!$C$7:$H$27,Overview!B116,Workplace!$H$7:$H$27)*Workplace!$C$4))+IF(Integration!$C$3="Project",SUMIF(Integration!$C$7:$H$27,Overview!B116,Integration!$H$7:$H$27),(SUMIF(Integration!$C$7:$H$27,Overview!B116,Integration!$H$7:$H$27)*Integration!$C$4))+IF(Logistics!$C$3="Project",SUMIF(Logistics!$C$7:$H$27,Overview!B116,Logistics!$H$7:$H$27),(SUMIF(Logistics!$C$7:$H$27,Overview!B116,Logistics!$H$7:$H$27)*Logistics!$C$4))+IF('Service Desk'!$C$3="Project",SUMIF('Service Desk'!$C$7:$H$27,Overview!B116,'Service Desk'!$H$7:$H$27),(SUMIF('Service Desk'!$C$7:$H$27,Overview!B116,'Service Desk'!$H$7:$H$27)*'Service Desk'!$C$4))+IF('Pro Services'!$C$3="Project",SUMIF('Pro Services'!$C$7:$H$27,Overview!B116,'Pro Services'!$H$7:$H$27),(SUMIF('Pro Services'!$C$7:$H$27,Overview!B116,'Pro Services'!$H$7:$H$27)*'Pro Services'!$C$4))</f>
        <v>0</v>
      </c>
      <c r="E116" s="52">
        <f t="shared" ca="1" si="120"/>
        <v>0</v>
      </c>
      <c r="F116" s="52">
        <f t="shared" ref="F116:AK116" si="437">IFERROR(IF(F$28="FALSE",0,$C$116/$C$8),0)</f>
        <v>0</v>
      </c>
      <c r="G116" s="52">
        <f t="shared" si="437"/>
        <v>0</v>
      </c>
      <c r="H116" s="52">
        <f t="shared" si="437"/>
        <v>0</v>
      </c>
      <c r="I116" s="52">
        <f t="shared" si="437"/>
        <v>0</v>
      </c>
      <c r="J116" s="52">
        <f t="shared" si="437"/>
        <v>0</v>
      </c>
      <c r="K116" s="52">
        <f t="shared" si="437"/>
        <v>0</v>
      </c>
      <c r="L116" s="52">
        <f t="shared" si="437"/>
        <v>0</v>
      </c>
      <c r="M116" s="52">
        <f t="shared" si="437"/>
        <v>0</v>
      </c>
      <c r="N116" s="52">
        <f t="shared" si="437"/>
        <v>0</v>
      </c>
      <c r="O116" s="52">
        <f t="shared" si="437"/>
        <v>0</v>
      </c>
      <c r="P116" s="52">
        <f t="shared" si="437"/>
        <v>0</v>
      </c>
      <c r="Q116" s="52">
        <f t="shared" si="437"/>
        <v>0</v>
      </c>
      <c r="R116" s="52">
        <f t="shared" si="437"/>
        <v>0</v>
      </c>
      <c r="S116" s="52">
        <f t="shared" si="437"/>
        <v>0</v>
      </c>
      <c r="T116" s="52">
        <f t="shared" si="437"/>
        <v>0</v>
      </c>
      <c r="U116" s="52">
        <f t="shared" si="437"/>
        <v>0</v>
      </c>
      <c r="V116" s="52">
        <f t="shared" si="437"/>
        <v>0</v>
      </c>
      <c r="W116" s="52">
        <f t="shared" si="437"/>
        <v>0</v>
      </c>
      <c r="X116" s="52">
        <f t="shared" si="437"/>
        <v>0</v>
      </c>
      <c r="Y116" s="52">
        <f t="shared" si="437"/>
        <v>0</v>
      </c>
      <c r="Z116" s="52">
        <f t="shared" si="437"/>
        <v>0</v>
      </c>
      <c r="AA116" s="52">
        <f t="shared" si="437"/>
        <v>0</v>
      </c>
      <c r="AB116" s="52">
        <f t="shared" si="437"/>
        <v>0</v>
      </c>
      <c r="AC116" s="52">
        <f t="shared" si="437"/>
        <v>0</v>
      </c>
      <c r="AD116" s="52">
        <f t="shared" si="437"/>
        <v>0</v>
      </c>
      <c r="AE116" s="52">
        <f t="shared" si="437"/>
        <v>0</v>
      </c>
      <c r="AF116" s="52">
        <f t="shared" si="437"/>
        <v>0</v>
      </c>
      <c r="AG116" s="52">
        <f t="shared" si="437"/>
        <v>0</v>
      </c>
      <c r="AH116" s="52">
        <f t="shared" si="437"/>
        <v>0</v>
      </c>
      <c r="AI116" s="52">
        <f t="shared" si="437"/>
        <v>0</v>
      </c>
      <c r="AJ116" s="52">
        <f t="shared" si="437"/>
        <v>0</v>
      </c>
      <c r="AK116" s="52">
        <f t="shared" si="437"/>
        <v>0</v>
      </c>
      <c r="AL116" s="52">
        <f t="shared" ref="AL116:BQ116" si="438">IFERROR(IF(AL$28="FALSE",0,$C$116/$C$8),0)</f>
        <v>0</v>
      </c>
      <c r="AM116" s="52">
        <f t="shared" si="438"/>
        <v>0</v>
      </c>
      <c r="AN116" s="52">
        <f t="shared" si="438"/>
        <v>0</v>
      </c>
      <c r="AO116" s="52">
        <f t="shared" si="438"/>
        <v>0</v>
      </c>
      <c r="AP116" s="52">
        <f t="shared" si="438"/>
        <v>0</v>
      </c>
      <c r="AQ116" s="52">
        <f t="shared" si="438"/>
        <v>0</v>
      </c>
      <c r="AR116" s="52">
        <f t="shared" si="438"/>
        <v>0</v>
      </c>
      <c r="AS116" s="52">
        <f t="shared" si="438"/>
        <v>0</v>
      </c>
      <c r="AT116" s="52">
        <f t="shared" si="438"/>
        <v>0</v>
      </c>
      <c r="AU116" s="52">
        <f t="shared" si="438"/>
        <v>0</v>
      </c>
      <c r="AV116" s="52">
        <f t="shared" si="438"/>
        <v>0</v>
      </c>
      <c r="AW116" s="52">
        <f t="shared" si="438"/>
        <v>0</v>
      </c>
      <c r="AX116" s="52">
        <f t="shared" si="438"/>
        <v>0</v>
      </c>
      <c r="AY116" s="52">
        <f t="shared" si="438"/>
        <v>0</v>
      </c>
      <c r="AZ116" s="52">
        <f t="shared" si="438"/>
        <v>0</v>
      </c>
      <c r="BA116" s="52">
        <f t="shared" si="438"/>
        <v>0</v>
      </c>
      <c r="BB116" s="52">
        <f t="shared" si="438"/>
        <v>0</v>
      </c>
      <c r="BC116" s="52">
        <f t="shared" si="438"/>
        <v>0</v>
      </c>
      <c r="BD116" s="52">
        <f t="shared" si="438"/>
        <v>0</v>
      </c>
      <c r="BE116" s="52">
        <f t="shared" si="438"/>
        <v>0</v>
      </c>
      <c r="BF116" s="52">
        <f t="shared" si="438"/>
        <v>0</v>
      </c>
      <c r="BG116" s="52">
        <f t="shared" si="438"/>
        <v>0</v>
      </c>
      <c r="BH116" s="52">
        <f t="shared" si="438"/>
        <v>0</v>
      </c>
      <c r="BI116" s="52">
        <f t="shared" si="438"/>
        <v>0</v>
      </c>
      <c r="BJ116" s="52">
        <f t="shared" si="438"/>
        <v>0</v>
      </c>
      <c r="BK116" s="52">
        <f t="shared" si="438"/>
        <v>0</v>
      </c>
      <c r="BL116" s="52">
        <f t="shared" si="438"/>
        <v>0</v>
      </c>
      <c r="BM116" s="52">
        <f t="shared" si="438"/>
        <v>0</v>
      </c>
      <c r="BN116" s="52">
        <f t="shared" si="438"/>
        <v>0</v>
      </c>
      <c r="BO116" s="52">
        <f t="shared" si="438"/>
        <v>0</v>
      </c>
      <c r="BP116" s="52">
        <f t="shared" si="438"/>
        <v>0</v>
      </c>
      <c r="BQ116" s="52">
        <f t="shared" si="438"/>
        <v>0</v>
      </c>
      <c r="BR116" s="52">
        <f t="shared" ref="BR116:CW116" si="439">IFERROR(IF(BR$28="FALSE",0,$C$116/$C$8),0)</f>
        <v>0</v>
      </c>
      <c r="BS116" s="52">
        <f t="shared" si="439"/>
        <v>0</v>
      </c>
      <c r="BT116" s="52">
        <f t="shared" si="439"/>
        <v>0</v>
      </c>
      <c r="BU116" s="52">
        <f t="shared" si="439"/>
        <v>0</v>
      </c>
      <c r="BV116" s="52">
        <f t="shared" si="439"/>
        <v>0</v>
      </c>
      <c r="BW116" s="52">
        <f t="shared" si="439"/>
        <v>0</v>
      </c>
      <c r="BX116" s="52">
        <f t="shared" si="439"/>
        <v>0</v>
      </c>
      <c r="BY116" s="52">
        <f t="shared" si="439"/>
        <v>0</v>
      </c>
      <c r="BZ116" s="52">
        <f t="shared" si="439"/>
        <v>0</v>
      </c>
      <c r="CA116" s="52">
        <f t="shared" si="439"/>
        <v>0</v>
      </c>
      <c r="CB116" s="52">
        <f t="shared" si="439"/>
        <v>0</v>
      </c>
      <c r="CC116" s="52">
        <f t="shared" si="439"/>
        <v>0</v>
      </c>
      <c r="CD116" s="52">
        <f t="shared" si="439"/>
        <v>0</v>
      </c>
      <c r="CE116" s="52">
        <f t="shared" si="439"/>
        <v>0</v>
      </c>
      <c r="CF116" s="52">
        <f t="shared" si="439"/>
        <v>0</v>
      </c>
      <c r="CG116" s="52">
        <f t="shared" si="439"/>
        <v>0</v>
      </c>
      <c r="CH116" s="52">
        <f t="shared" si="439"/>
        <v>0</v>
      </c>
      <c r="CI116" s="52">
        <f t="shared" si="439"/>
        <v>0</v>
      </c>
      <c r="CJ116" s="52">
        <f t="shared" si="439"/>
        <v>0</v>
      </c>
      <c r="CK116" s="52">
        <f t="shared" si="439"/>
        <v>0</v>
      </c>
      <c r="CL116" s="52">
        <f t="shared" si="439"/>
        <v>0</v>
      </c>
      <c r="CM116" s="52">
        <f t="shared" si="439"/>
        <v>0</v>
      </c>
      <c r="CN116" s="52">
        <f t="shared" si="439"/>
        <v>0</v>
      </c>
      <c r="CO116" s="52">
        <f t="shared" si="439"/>
        <v>0</v>
      </c>
      <c r="CP116" s="52">
        <f t="shared" si="439"/>
        <v>0</v>
      </c>
      <c r="CQ116" s="52">
        <f t="shared" si="439"/>
        <v>0</v>
      </c>
      <c r="CR116" s="52">
        <f t="shared" si="439"/>
        <v>0</v>
      </c>
      <c r="CS116" s="52">
        <f t="shared" si="439"/>
        <v>0</v>
      </c>
      <c r="CT116" s="52">
        <f t="shared" si="439"/>
        <v>0</v>
      </c>
      <c r="CU116" s="52">
        <f t="shared" si="439"/>
        <v>0</v>
      </c>
      <c r="CV116" s="52">
        <f t="shared" si="439"/>
        <v>0</v>
      </c>
      <c r="CW116" s="52">
        <f t="shared" si="439"/>
        <v>0</v>
      </c>
      <c r="CX116" s="52">
        <f t="shared" ref="CX116:EC116" si="440">IFERROR(IF(CX$28="FALSE",0,$C$116/$C$8),0)</f>
        <v>0</v>
      </c>
      <c r="CY116" s="52">
        <f t="shared" si="440"/>
        <v>0</v>
      </c>
      <c r="CZ116" s="52">
        <f t="shared" si="440"/>
        <v>0</v>
      </c>
      <c r="DA116" s="52">
        <f t="shared" si="440"/>
        <v>0</v>
      </c>
      <c r="DB116" s="52">
        <f t="shared" si="440"/>
        <v>0</v>
      </c>
      <c r="DC116" s="52">
        <f t="shared" si="440"/>
        <v>0</v>
      </c>
      <c r="DD116" s="52">
        <f t="shared" si="440"/>
        <v>0</v>
      </c>
      <c r="DE116" s="52">
        <f t="shared" si="440"/>
        <v>0</v>
      </c>
      <c r="DF116" s="52">
        <f t="shared" si="440"/>
        <v>0</v>
      </c>
      <c r="DG116" s="52">
        <f t="shared" si="440"/>
        <v>0</v>
      </c>
      <c r="DH116" s="52">
        <f t="shared" si="440"/>
        <v>0</v>
      </c>
      <c r="DI116" s="52">
        <f t="shared" si="440"/>
        <v>0</v>
      </c>
      <c r="DJ116" s="52">
        <f t="shared" si="440"/>
        <v>0</v>
      </c>
      <c r="DK116" s="52">
        <f t="shared" si="440"/>
        <v>0</v>
      </c>
      <c r="DL116" s="52">
        <f t="shared" si="440"/>
        <v>0</v>
      </c>
      <c r="DM116" s="52">
        <f t="shared" si="440"/>
        <v>0</v>
      </c>
      <c r="DN116" s="52">
        <f t="shared" si="440"/>
        <v>0</v>
      </c>
      <c r="DO116" s="52">
        <f t="shared" si="440"/>
        <v>0</v>
      </c>
      <c r="DP116" s="52">
        <f t="shared" si="440"/>
        <v>0</v>
      </c>
      <c r="DQ116" s="52">
        <f t="shared" si="440"/>
        <v>0</v>
      </c>
      <c r="DR116" s="52">
        <f t="shared" si="440"/>
        <v>0</v>
      </c>
      <c r="DS116" s="52">
        <f t="shared" si="440"/>
        <v>0</v>
      </c>
      <c r="DT116" s="52">
        <f t="shared" si="440"/>
        <v>0</v>
      </c>
      <c r="DU116" s="52">
        <f t="shared" si="440"/>
        <v>0</v>
      </c>
      <c r="DV116" s="52">
        <f t="shared" si="440"/>
        <v>0</v>
      </c>
      <c r="DW116" s="52">
        <f t="shared" si="440"/>
        <v>0</v>
      </c>
      <c r="DX116" s="52">
        <f t="shared" si="440"/>
        <v>0</v>
      </c>
      <c r="DY116" s="52">
        <f t="shared" si="440"/>
        <v>0</v>
      </c>
      <c r="DZ116" s="52">
        <f t="shared" si="440"/>
        <v>0</v>
      </c>
      <c r="EA116" s="52">
        <f t="shared" si="440"/>
        <v>0</v>
      </c>
      <c r="EB116" s="52">
        <f t="shared" si="440"/>
        <v>0</v>
      </c>
      <c r="EC116" s="52">
        <f t="shared" si="440"/>
        <v>0</v>
      </c>
      <c r="ED116" s="52">
        <f t="shared" ref="ED116:FD116" si="441">IFERROR(IF(ED$28="FALSE",0,$C$116/$C$8),0)</f>
        <v>0</v>
      </c>
      <c r="EE116" s="52">
        <f t="shared" si="441"/>
        <v>0</v>
      </c>
      <c r="EF116" s="52">
        <f t="shared" si="441"/>
        <v>0</v>
      </c>
      <c r="EG116" s="52">
        <f t="shared" si="441"/>
        <v>0</v>
      </c>
      <c r="EH116" s="52">
        <f t="shared" si="441"/>
        <v>0</v>
      </c>
      <c r="EI116" s="52">
        <f t="shared" si="441"/>
        <v>0</v>
      </c>
      <c r="EJ116" s="52">
        <f t="shared" si="441"/>
        <v>0</v>
      </c>
      <c r="EK116" s="52">
        <f t="shared" si="441"/>
        <v>0</v>
      </c>
      <c r="EL116" s="52">
        <f t="shared" si="441"/>
        <v>0</v>
      </c>
      <c r="EM116" s="52">
        <f t="shared" si="441"/>
        <v>0</v>
      </c>
      <c r="EN116" s="52">
        <f t="shared" si="441"/>
        <v>0</v>
      </c>
      <c r="EO116" s="52">
        <f t="shared" si="441"/>
        <v>0</v>
      </c>
      <c r="EP116" s="52">
        <f t="shared" si="441"/>
        <v>0</v>
      </c>
      <c r="EQ116" s="52">
        <f t="shared" si="441"/>
        <v>0</v>
      </c>
      <c r="ER116" s="52">
        <f t="shared" si="441"/>
        <v>0</v>
      </c>
      <c r="ES116" s="52">
        <f t="shared" si="441"/>
        <v>0</v>
      </c>
      <c r="ET116" s="52">
        <f t="shared" si="441"/>
        <v>0</v>
      </c>
      <c r="EU116" s="52">
        <f t="shared" si="441"/>
        <v>0</v>
      </c>
      <c r="EV116" s="52">
        <f t="shared" si="441"/>
        <v>0</v>
      </c>
      <c r="EW116" s="52">
        <f t="shared" si="441"/>
        <v>0</v>
      </c>
      <c r="EX116" s="52">
        <f t="shared" si="441"/>
        <v>0</v>
      </c>
      <c r="EY116" s="52">
        <f t="shared" si="441"/>
        <v>0</v>
      </c>
      <c r="EZ116" s="52">
        <f t="shared" si="441"/>
        <v>0</v>
      </c>
      <c r="FA116" s="52">
        <f t="shared" si="441"/>
        <v>0</v>
      </c>
      <c r="FB116" s="52">
        <f t="shared" si="441"/>
        <v>0</v>
      </c>
      <c r="FC116" s="52">
        <f t="shared" si="441"/>
        <v>0</v>
      </c>
      <c r="FD116" s="52">
        <f t="shared" si="441"/>
        <v>0</v>
      </c>
    </row>
    <row r="117" spans="2:160">
      <c r="B117" s="51" t="s">
        <v>200</v>
      </c>
      <c r="C117" s="52">
        <f ca="1">IF(Startup!$C$3="Project",SUMIF(Startup!$C$7:$D$27,Overview!B117,Startup!$D$7:$D$27),(SUMIF(Startup!$C$7:$D$27,Overview!B117,Startup!$D$7:$D$27)*Startup!$C$4))+IF(Pilot!$C$3="Project",SUMIF(Pilot!$C$7:$D$27,Overview!B117,Pilot!$D$7:$D$27),(SUMIF(Pilot!$C$7:$D$27,Overview!B117,Pilot!$D$7:$D$27)*Pilot!$C$4))+IF(PMO!$C$3="Project",SUMIF(PMO!$C$7:$D$27,Overview!B117,PMO!$D$7:$D$27),(SUMIF(PMO!$C$7:$D$27,Overview!B117,PMO!$D$7:$D$27)*PMO!$C$4))+IF('Design &amp; Fulfillment'!$C$3="Project",SUMIF('Design &amp; Fulfillment'!$C$7:$D$27,Overview!B117,'Design &amp; Fulfillment'!$D$7:$D$27),(SUMIF('Design &amp; Fulfillment'!$C$7:$D$27,Overview!B117,'Design &amp; Fulfillment'!$D$7:$D$27)*'Design &amp; Fulfillment'!$C$4))+IF(Workplace!$C$3="Project",SUMIF(Workplace!$C$7:$D$27,Overview!B117,Workplace!$D$7:$D$27),(SUMIF(Workplace!$C$7:$D$27,Overview!B117,Workplace!$D$7:$D$27)*Workplace!$C$4))+IF(Integration!$C$3="Project",SUMIF(Integration!$C$7:$D$27,Overview!B117,Integration!$D$7:$D$27),(SUMIF(Integration!$C$7:$D$27,Overview!B117,Integration!$D$7:$D$27)*Integration!$C$4))+IF(Logistics!$C$3="Project",SUMIF(Logistics!$C$7:$D$27,Overview!B117,Logistics!$D$7:$D$27),(SUMIF(Logistics!$C$7:$D$27,Overview!B117,Logistics!$D$7:$D$27)*Logistics!$C$4))+IF('Service Desk'!$C$3="Project",SUMIF('Service Desk'!$C$7:$D$27,Overview!B117,'Service Desk'!$D$7:$D$27),(SUMIF('Service Desk'!$C$7:$D$27,Overview!B117,'Service Desk'!$D$7:$D$27)*'Service Desk'!$C$4))+IF('Pro Services'!$C$3="Project",SUMIF('Pro Services'!$C$7:$D$27,Overview!B117,'Pro Services'!$D$7:$D$27),(SUMIF('Pro Services'!$C$7:$D$27,Overview!B117,'Pro Services'!$D$7:$D$27)*'Pro Services'!$C$4))</f>
        <v>0</v>
      </c>
      <c r="D117" s="53">
        <f ca="1">IF(Startup!$C$3="Project",SUMIF(Startup!$C$7:$H$27,Overview!B117,Startup!$H$7:$H$27),(SUMIF(Startup!$C$7:$H$27,Overview!B117,Startup!$H$7:$H$27)*Startup!$C$4))+IF(Pilot!$C$3="Project",SUMIF(Pilot!$C$7:$H$27,Overview!B117,Pilot!$H$7:$H$27),(SUMIF(Pilot!$C$7:$H$27,Overview!B117,Pilot!$H$7:$H$27)*Pilot!$C$4))+IF(PMO!$C$3="Project",SUMIF(PMO!$C$7:$H$27,Overview!B117,PMO!$H$7:$H$27),(SUMIF(PMO!$C$7:$H$27,Overview!B117,PMO!$H$7:$H$27)*PMO!$C$4))+IF('Design &amp; Fulfillment'!$C$3="Project",SUMIF('Design &amp; Fulfillment'!$C$7:$H$27,Overview!B117,'Design &amp; Fulfillment'!$H$7:$H$27),(SUMIF('Design &amp; Fulfillment'!$C$7:$H$27,Overview!B117,'Design &amp; Fulfillment'!$H$7:$H$27)*'Design &amp; Fulfillment'!$C$4))+IF(Workplace!$C$3="Project",SUMIF(Workplace!$C$7:$H$27,Overview!B117,Workplace!$H$7:$H$27),(SUMIF(Workplace!$C$7:$H$27,Overview!B117,Workplace!$H$7:$H$27)*Workplace!$C$4))+IF(Integration!$C$3="Project",SUMIF(Integration!$C$7:$H$27,Overview!B117,Integration!$H$7:$H$27),(SUMIF(Integration!$C$7:$H$27,Overview!B117,Integration!$H$7:$H$27)*Integration!$C$4))+IF(Logistics!$C$3="Project",SUMIF(Logistics!$C$7:$H$27,Overview!B117,Logistics!$H$7:$H$27),(SUMIF(Logistics!$C$7:$H$27,Overview!B117,Logistics!$H$7:$H$27)*Logistics!$C$4))+IF('Service Desk'!$C$3="Project",SUMIF('Service Desk'!$C$7:$H$27,Overview!B117,'Service Desk'!$H$7:$H$27),(SUMIF('Service Desk'!$C$7:$H$27,Overview!B117,'Service Desk'!$H$7:$H$27)*'Service Desk'!$C$4))+IF('Pro Services'!$C$3="Project",SUMIF('Pro Services'!$C$7:$H$27,Overview!B117,'Pro Services'!$H$7:$H$27),(SUMIF('Pro Services'!$C$7:$H$27,Overview!B117,'Pro Services'!$H$7:$H$27)*'Pro Services'!$C$4))</f>
        <v>0</v>
      </c>
      <c r="E117" s="52">
        <f t="shared" ref="E117:E124" ca="1" si="442">IFERROR(C117/$C$8,0)</f>
        <v>0</v>
      </c>
      <c r="F117" s="52">
        <f t="shared" ref="F117:AK117" si="443">IFERROR(IF(F$28="FALSE",0,$C$117/$C$8),0)</f>
        <v>0</v>
      </c>
      <c r="G117" s="52">
        <f t="shared" si="443"/>
        <v>0</v>
      </c>
      <c r="H117" s="52">
        <f t="shared" si="443"/>
        <v>0</v>
      </c>
      <c r="I117" s="52">
        <f t="shared" si="443"/>
        <v>0</v>
      </c>
      <c r="J117" s="52">
        <f t="shared" si="443"/>
        <v>0</v>
      </c>
      <c r="K117" s="52">
        <f t="shared" si="443"/>
        <v>0</v>
      </c>
      <c r="L117" s="52">
        <f t="shared" si="443"/>
        <v>0</v>
      </c>
      <c r="M117" s="52">
        <f t="shared" si="443"/>
        <v>0</v>
      </c>
      <c r="N117" s="52">
        <f t="shared" si="443"/>
        <v>0</v>
      </c>
      <c r="O117" s="52">
        <f t="shared" si="443"/>
        <v>0</v>
      </c>
      <c r="P117" s="52">
        <f t="shared" si="443"/>
        <v>0</v>
      </c>
      <c r="Q117" s="52">
        <f t="shared" si="443"/>
        <v>0</v>
      </c>
      <c r="R117" s="52">
        <f t="shared" si="443"/>
        <v>0</v>
      </c>
      <c r="S117" s="52">
        <f t="shared" si="443"/>
        <v>0</v>
      </c>
      <c r="T117" s="52">
        <f t="shared" si="443"/>
        <v>0</v>
      </c>
      <c r="U117" s="52">
        <f t="shared" si="443"/>
        <v>0</v>
      </c>
      <c r="V117" s="52">
        <f t="shared" si="443"/>
        <v>0</v>
      </c>
      <c r="W117" s="52">
        <f t="shared" si="443"/>
        <v>0</v>
      </c>
      <c r="X117" s="52">
        <f t="shared" si="443"/>
        <v>0</v>
      </c>
      <c r="Y117" s="52">
        <f t="shared" si="443"/>
        <v>0</v>
      </c>
      <c r="Z117" s="52">
        <f t="shared" si="443"/>
        <v>0</v>
      </c>
      <c r="AA117" s="52">
        <f t="shared" si="443"/>
        <v>0</v>
      </c>
      <c r="AB117" s="52">
        <f t="shared" si="443"/>
        <v>0</v>
      </c>
      <c r="AC117" s="52">
        <f t="shared" si="443"/>
        <v>0</v>
      </c>
      <c r="AD117" s="52">
        <f t="shared" si="443"/>
        <v>0</v>
      </c>
      <c r="AE117" s="52">
        <f t="shared" si="443"/>
        <v>0</v>
      </c>
      <c r="AF117" s="52">
        <f t="shared" si="443"/>
        <v>0</v>
      </c>
      <c r="AG117" s="52">
        <f t="shared" si="443"/>
        <v>0</v>
      </c>
      <c r="AH117" s="52">
        <f t="shared" si="443"/>
        <v>0</v>
      </c>
      <c r="AI117" s="52">
        <f t="shared" si="443"/>
        <v>0</v>
      </c>
      <c r="AJ117" s="52">
        <f t="shared" si="443"/>
        <v>0</v>
      </c>
      <c r="AK117" s="52">
        <f t="shared" si="443"/>
        <v>0</v>
      </c>
      <c r="AL117" s="52">
        <f t="shared" ref="AL117:BQ117" si="444">IFERROR(IF(AL$28="FALSE",0,$C$117/$C$8),0)</f>
        <v>0</v>
      </c>
      <c r="AM117" s="52">
        <f t="shared" si="444"/>
        <v>0</v>
      </c>
      <c r="AN117" s="52">
        <f t="shared" si="444"/>
        <v>0</v>
      </c>
      <c r="AO117" s="52">
        <f t="shared" si="444"/>
        <v>0</v>
      </c>
      <c r="AP117" s="52">
        <f t="shared" si="444"/>
        <v>0</v>
      </c>
      <c r="AQ117" s="52">
        <f t="shared" si="444"/>
        <v>0</v>
      </c>
      <c r="AR117" s="52">
        <f t="shared" si="444"/>
        <v>0</v>
      </c>
      <c r="AS117" s="52">
        <f t="shared" si="444"/>
        <v>0</v>
      </c>
      <c r="AT117" s="52">
        <f t="shared" si="444"/>
        <v>0</v>
      </c>
      <c r="AU117" s="52">
        <f t="shared" si="444"/>
        <v>0</v>
      </c>
      <c r="AV117" s="52">
        <f t="shared" si="444"/>
        <v>0</v>
      </c>
      <c r="AW117" s="52">
        <f t="shared" si="444"/>
        <v>0</v>
      </c>
      <c r="AX117" s="52">
        <f t="shared" si="444"/>
        <v>0</v>
      </c>
      <c r="AY117" s="52">
        <f t="shared" si="444"/>
        <v>0</v>
      </c>
      <c r="AZ117" s="52">
        <f t="shared" si="444"/>
        <v>0</v>
      </c>
      <c r="BA117" s="52">
        <f t="shared" si="444"/>
        <v>0</v>
      </c>
      <c r="BB117" s="52">
        <f t="shared" si="444"/>
        <v>0</v>
      </c>
      <c r="BC117" s="52">
        <f t="shared" si="444"/>
        <v>0</v>
      </c>
      <c r="BD117" s="52">
        <f t="shared" si="444"/>
        <v>0</v>
      </c>
      <c r="BE117" s="52">
        <f t="shared" si="444"/>
        <v>0</v>
      </c>
      <c r="BF117" s="52">
        <f t="shared" si="444"/>
        <v>0</v>
      </c>
      <c r="BG117" s="52">
        <f t="shared" si="444"/>
        <v>0</v>
      </c>
      <c r="BH117" s="52">
        <f t="shared" si="444"/>
        <v>0</v>
      </c>
      <c r="BI117" s="52">
        <f t="shared" si="444"/>
        <v>0</v>
      </c>
      <c r="BJ117" s="52">
        <f t="shared" si="444"/>
        <v>0</v>
      </c>
      <c r="BK117" s="52">
        <f t="shared" si="444"/>
        <v>0</v>
      </c>
      <c r="BL117" s="52">
        <f t="shared" si="444"/>
        <v>0</v>
      </c>
      <c r="BM117" s="52">
        <f t="shared" si="444"/>
        <v>0</v>
      </c>
      <c r="BN117" s="52">
        <f t="shared" si="444"/>
        <v>0</v>
      </c>
      <c r="BO117" s="52">
        <f t="shared" si="444"/>
        <v>0</v>
      </c>
      <c r="BP117" s="52">
        <f t="shared" si="444"/>
        <v>0</v>
      </c>
      <c r="BQ117" s="52">
        <f t="shared" si="444"/>
        <v>0</v>
      </c>
      <c r="BR117" s="52">
        <f t="shared" ref="BR117:CW117" si="445">IFERROR(IF(BR$28="FALSE",0,$C$117/$C$8),0)</f>
        <v>0</v>
      </c>
      <c r="BS117" s="52">
        <f t="shared" si="445"/>
        <v>0</v>
      </c>
      <c r="BT117" s="52">
        <f t="shared" si="445"/>
        <v>0</v>
      </c>
      <c r="BU117" s="52">
        <f t="shared" si="445"/>
        <v>0</v>
      </c>
      <c r="BV117" s="52">
        <f t="shared" si="445"/>
        <v>0</v>
      </c>
      <c r="BW117" s="52">
        <f t="shared" si="445"/>
        <v>0</v>
      </c>
      <c r="BX117" s="52">
        <f t="shared" si="445"/>
        <v>0</v>
      </c>
      <c r="BY117" s="52">
        <f t="shared" si="445"/>
        <v>0</v>
      </c>
      <c r="BZ117" s="52">
        <f t="shared" si="445"/>
        <v>0</v>
      </c>
      <c r="CA117" s="52">
        <f t="shared" si="445"/>
        <v>0</v>
      </c>
      <c r="CB117" s="52">
        <f t="shared" si="445"/>
        <v>0</v>
      </c>
      <c r="CC117" s="52">
        <f t="shared" si="445"/>
        <v>0</v>
      </c>
      <c r="CD117" s="52">
        <f t="shared" si="445"/>
        <v>0</v>
      </c>
      <c r="CE117" s="52">
        <f t="shared" si="445"/>
        <v>0</v>
      </c>
      <c r="CF117" s="52">
        <f t="shared" si="445"/>
        <v>0</v>
      </c>
      <c r="CG117" s="52">
        <f t="shared" si="445"/>
        <v>0</v>
      </c>
      <c r="CH117" s="52">
        <f t="shared" si="445"/>
        <v>0</v>
      </c>
      <c r="CI117" s="52">
        <f t="shared" si="445"/>
        <v>0</v>
      </c>
      <c r="CJ117" s="52">
        <f t="shared" si="445"/>
        <v>0</v>
      </c>
      <c r="CK117" s="52">
        <f t="shared" si="445"/>
        <v>0</v>
      </c>
      <c r="CL117" s="52">
        <f t="shared" si="445"/>
        <v>0</v>
      </c>
      <c r="CM117" s="52">
        <f t="shared" si="445"/>
        <v>0</v>
      </c>
      <c r="CN117" s="52">
        <f t="shared" si="445"/>
        <v>0</v>
      </c>
      <c r="CO117" s="52">
        <f t="shared" si="445"/>
        <v>0</v>
      </c>
      <c r="CP117" s="52">
        <f t="shared" si="445"/>
        <v>0</v>
      </c>
      <c r="CQ117" s="52">
        <f t="shared" si="445"/>
        <v>0</v>
      </c>
      <c r="CR117" s="52">
        <f t="shared" si="445"/>
        <v>0</v>
      </c>
      <c r="CS117" s="52">
        <f t="shared" si="445"/>
        <v>0</v>
      </c>
      <c r="CT117" s="52">
        <f t="shared" si="445"/>
        <v>0</v>
      </c>
      <c r="CU117" s="52">
        <f t="shared" si="445"/>
        <v>0</v>
      </c>
      <c r="CV117" s="52">
        <f t="shared" si="445"/>
        <v>0</v>
      </c>
      <c r="CW117" s="52">
        <f t="shared" si="445"/>
        <v>0</v>
      </c>
      <c r="CX117" s="52">
        <f t="shared" ref="CX117:EC117" si="446">IFERROR(IF(CX$28="FALSE",0,$C$117/$C$8),0)</f>
        <v>0</v>
      </c>
      <c r="CY117" s="52">
        <f t="shared" si="446"/>
        <v>0</v>
      </c>
      <c r="CZ117" s="52">
        <f t="shared" si="446"/>
        <v>0</v>
      </c>
      <c r="DA117" s="52">
        <f t="shared" si="446"/>
        <v>0</v>
      </c>
      <c r="DB117" s="52">
        <f t="shared" si="446"/>
        <v>0</v>
      </c>
      <c r="DC117" s="52">
        <f t="shared" si="446"/>
        <v>0</v>
      </c>
      <c r="DD117" s="52">
        <f t="shared" si="446"/>
        <v>0</v>
      </c>
      <c r="DE117" s="52">
        <f t="shared" si="446"/>
        <v>0</v>
      </c>
      <c r="DF117" s="52">
        <f t="shared" si="446"/>
        <v>0</v>
      </c>
      <c r="DG117" s="52">
        <f t="shared" si="446"/>
        <v>0</v>
      </c>
      <c r="DH117" s="52">
        <f t="shared" si="446"/>
        <v>0</v>
      </c>
      <c r="DI117" s="52">
        <f t="shared" si="446"/>
        <v>0</v>
      </c>
      <c r="DJ117" s="52">
        <f t="shared" si="446"/>
        <v>0</v>
      </c>
      <c r="DK117" s="52">
        <f t="shared" si="446"/>
        <v>0</v>
      </c>
      <c r="DL117" s="52">
        <f t="shared" si="446"/>
        <v>0</v>
      </c>
      <c r="DM117" s="52">
        <f t="shared" si="446"/>
        <v>0</v>
      </c>
      <c r="DN117" s="52">
        <f t="shared" si="446"/>
        <v>0</v>
      </c>
      <c r="DO117" s="52">
        <f t="shared" si="446"/>
        <v>0</v>
      </c>
      <c r="DP117" s="52">
        <f t="shared" si="446"/>
        <v>0</v>
      </c>
      <c r="DQ117" s="52">
        <f t="shared" si="446"/>
        <v>0</v>
      </c>
      <c r="DR117" s="52">
        <f t="shared" si="446"/>
        <v>0</v>
      </c>
      <c r="DS117" s="52">
        <f t="shared" si="446"/>
        <v>0</v>
      </c>
      <c r="DT117" s="52">
        <f t="shared" si="446"/>
        <v>0</v>
      </c>
      <c r="DU117" s="52">
        <f t="shared" si="446"/>
        <v>0</v>
      </c>
      <c r="DV117" s="52">
        <f t="shared" si="446"/>
        <v>0</v>
      </c>
      <c r="DW117" s="52">
        <f t="shared" si="446"/>
        <v>0</v>
      </c>
      <c r="DX117" s="52">
        <f t="shared" si="446"/>
        <v>0</v>
      </c>
      <c r="DY117" s="52">
        <f t="shared" si="446"/>
        <v>0</v>
      </c>
      <c r="DZ117" s="52">
        <f t="shared" si="446"/>
        <v>0</v>
      </c>
      <c r="EA117" s="52">
        <f t="shared" si="446"/>
        <v>0</v>
      </c>
      <c r="EB117" s="52">
        <f t="shared" si="446"/>
        <v>0</v>
      </c>
      <c r="EC117" s="52">
        <f t="shared" si="446"/>
        <v>0</v>
      </c>
      <c r="ED117" s="52">
        <f t="shared" ref="ED117:FD117" si="447">IFERROR(IF(ED$28="FALSE",0,$C$117/$C$8),0)</f>
        <v>0</v>
      </c>
      <c r="EE117" s="52">
        <f t="shared" si="447"/>
        <v>0</v>
      </c>
      <c r="EF117" s="52">
        <f t="shared" si="447"/>
        <v>0</v>
      </c>
      <c r="EG117" s="52">
        <f t="shared" si="447"/>
        <v>0</v>
      </c>
      <c r="EH117" s="52">
        <f t="shared" si="447"/>
        <v>0</v>
      </c>
      <c r="EI117" s="52">
        <f t="shared" si="447"/>
        <v>0</v>
      </c>
      <c r="EJ117" s="52">
        <f t="shared" si="447"/>
        <v>0</v>
      </c>
      <c r="EK117" s="52">
        <f t="shared" si="447"/>
        <v>0</v>
      </c>
      <c r="EL117" s="52">
        <f t="shared" si="447"/>
        <v>0</v>
      </c>
      <c r="EM117" s="52">
        <f t="shared" si="447"/>
        <v>0</v>
      </c>
      <c r="EN117" s="52">
        <f t="shared" si="447"/>
        <v>0</v>
      </c>
      <c r="EO117" s="52">
        <f t="shared" si="447"/>
        <v>0</v>
      </c>
      <c r="EP117" s="52">
        <f t="shared" si="447"/>
        <v>0</v>
      </c>
      <c r="EQ117" s="52">
        <f t="shared" si="447"/>
        <v>0</v>
      </c>
      <c r="ER117" s="52">
        <f t="shared" si="447"/>
        <v>0</v>
      </c>
      <c r="ES117" s="52">
        <f t="shared" si="447"/>
        <v>0</v>
      </c>
      <c r="ET117" s="52">
        <f t="shared" si="447"/>
        <v>0</v>
      </c>
      <c r="EU117" s="52">
        <f t="shared" si="447"/>
        <v>0</v>
      </c>
      <c r="EV117" s="52">
        <f t="shared" si="447"/>
        <v>0</v>
      </c>
      <c r="EW117" s="52">
        <f t="shared" si="447"/>
        <v>0</v>
      </c>
      <c r="EX117" s="52">
        <f t="shared" si="447"/>
        <v>0</v>
      </c>
      <c r="EY117" s="52">
        <f t="shared" si="447"/>
        <v>0</v>
      </c>
      <c r="EZ117" s="52">
        <f t="shared" si="447"/>
        <v>0</v>
      </c>
      <c r="FA117" s="52">
        <f t="shared" si="447"/>
        <v>0</v>
      </c>
      <c r="FB117" s="52">
        <f t="shared" si="447"/>
        <v>0</v>
      </c>
      <c r="FC117" s="52">
        <f t="shared" si="447"/>
        <v>0</v>
      </c>
      <c r="FD117" s="52">
        <f t="shared" si="447"/>
        <v>0</v>
      </c>
    </row>
    <row r="118" spans="2:160">
      <c r="B118" s="51" t="s">
        <v>201</v>
      </c>
      <c r="C118" s="52">
        <f ca="1">IF(Startup!$C$3="Project",SUMIF(Startup!$C$7:$D$27,Overview!B118,Startup!$D$7:$D$27),(SUMIF(Startup!$C$7:$D$27,Overview!B118,Startup!$D$7:$D$27)*Startup!$C$4))+IF(Pilot!$C$3="Project",SUMIF(Pilot!$C$7:$D$27,Overview!B118,Pilot!$D$7:$D$27),(SUMIF(Pilot!$C$7:$D$27,Overview!B118,Pilot!$D$7:$D$27)*Pilot!$C$4))+IF(PMO!$C$3="Project",SUMIF(PMO!$C$7:$D$27,Overview!B118,PMO!$D$7:$D$27),(SUMIF(PMO!$C$7:$D$27,Overview!B118,PMO!$D$7:$D$27)*PMO!$C$4))+IF('Design &amp; Fulfillment'!$C$3="Project",SUMIF('Design &amp; Fulfillment'!$C$7:$D$27,Overview!B118,'Design &amp; Fulfillment'!$D$7:$D$27),(SUMIF('Design &amp; Fulfillment'!$C$7:$D$27,Overview!B118,'Design &amp; Fulfillment'!$D$7:$D$27)*'Design &amp; Fulfillment'!$C$4))+IF(Workplace!$C$3="Project",SUMIF(Workplace!$C$7:$D$27,Overview!B118,Workplace!$D$7:$D$27),(SUMIF(Workplace!$C$7:$D$27,Overview!B118,Workplace!$D$7:$D$27)*Workplace!$C$4))+IF(Integration!$C$3="Project",SUMIF(Integration!$C$7:$D$27,Overview!B118,Integration!$D$7:$D$27),(SUMIF(Integration!$C$7:$D$27,Overview!B118,Integration!$D$7:$D$27)*Integration!$C$4))+IF(Logistics!$C$3="Project",SUMIF(Logistics!$C$7:$D$27,Overview!B118,Logistics!$D$7:$D$27),(SUMIF(Logistics!$C$7:$D$27,Overview!B118,Logistics!$D$7:$D$27)*Logistics!$C$4))+IF('Service Desk'!$C$3="Project",SUMIF('Service Desk'!$C$7:$D$27,Overview!B118,'Service Desk'!$D$7:$D$27),(SUMIF('Service Desk'!$C$7:$D$27,Overview!B118,'Service Desk'!$D$7:$D$27)*'Service Desk'!$C$4))+IF('Pro Services'!$C$3="Project",SUMIF('Pro Services'!$C$7:$D$27,Overview!B118,'Pro Services'!$D$7:$D$27),(SUMIF('Pro Services'!$C$7:$D$27,Overview!B118,'Pro Services'!$D$7:$D$27)*'Pro Services'!$C$4))</f>
        <v>0</v>
      </c>
      <c r="D118" s="53">
        <f ca="1">IF(Startup!$C$3="Project",SUMIF(Startup!$C$7:$H$27,Overview!B118,Startup!$H$7:$H$27),(SUMIF(Startup!$C$7:$H$27,Overview!B118,Startup!$H$7:$H$27)*Startup!$C$4))+IF(Pilot!$C$3="Project",SUMIF(Pilot!$C$7:$H$27,Overview!B118,Pilot!$H$7:$H$27),(SUMIF(Pilot!$C$7:$H$27,Overview!B118,Pilot!$H$7:$H$27)*Pilot!$C$4))+IF(PMO!$C$3="Project",SUMIF(PMO!$C$7:$H$27,Overview!B118,PMO!$H$7:$H$27),(SUMIF(PMO!$C$7:$H$27,Overview!B118,PMO!$H$7:$H$27)*PMO!$C$4))+IF('Design &amp; Fulfillment'!$C$3="Project",SUMIF('Design &amp; Fulfillment'!$C$7:$H$27,Overview!B118,'Design &amp; Fulfillment'!$H$7:$H$27),(SUMIF('Design &amp; Fulfillment'!$C$7:$H$27,Overview!B118,'Design &amp; Fulfillment'!$H$7:$H$27)*'Design &amp; Fulfillment'!$C$4))+IF(Workplace!$C$3="Project",SUMIF(Workplace!$C$7:$H$27,Overview!B118,Workplace!$H$7:$H$27),(SUMIF(Workplace!$C$7:$H$27,Overview!B118,Workplace!$H$7:$H$27)*Workplace!$C$4))+IF(Integration!$C$3="Project",SUMIF(Integration!$C$7:$H$27,Overview!B118,Integration!$H$7:$H$27),(SUMIF(Integration!$C$7:$H$27,Overview!B118,Integration!$H$7:$H$27)*Integration!$C$4))+IF(Logistics!$C$3="Project",SUMIF(Logistics!$C$7:$H$27,Overview!B118,Logistics!$H$7:$H$27),(SUMIF(Logistics!$C$7:$H$27,Overview!B118,Logistics!$H$7:$H$27)*Logistics!$C$4))+IF('Service Desk'!$C$3="Project",SUMIF('Service Desk'!$C$7:$H$27,Overview!B118,'Service Desk'!$H$7:$H$27),(SUMIF('Service Desk'!$C$7:$H$27,Overview!B118,'Service Desk'!$H$7:$H$27)*'Service Desk'!$C$4))+IF('Pro Services'!$C$3="Project",SUMIF('Pro Services'!$C$7:$H$27,Overview!B118,'Pro Services'!$H$7:$H$27),(SUMIF('Pro Services'!$C$7:$H$27,Overview!B118,'Pro Services'!$H$7:$H$27)*'Pro Services'!$C$4))</f>
        <v>0</v>
      </c>
      <c r="E118" s="52">
        <f t="shared" ca="1" si="442"/>
        <v>0</v>
      </c>
      <c r="F118" s="52">
        <f t="shared" ref="F118:AK118" si="448">IFERROR(IF(F$28="FALSE",0,$C$118/$C$8),0)</f>
        <v>0</v>
      </c>
      <c r="G118" s="52">
        <f t="shared" si="448"/>
        <v>0</v>
      </c>
      <c r="H118" s="52">
        <f t="shared" si="448"/>
        <v>0</v>
      </c>
      <c r="I118" s="52">
        <f t="shared" si="448"/>
        <v>0</v>
      </c>
      <c r="J118" s="52">
        <f t="shared" si="448"/>
        <v>0</v>
      </c>
      <c r="K118" s="52">
        <f t="shared" si="448"/>
        <v>0</v>
      </c>
      <c r="L118" s="52">
        <f t="shared" si="448"/>
        <v>0</v>
      </c>
      <c r="M118" s="52">
        <f t="shared" si="448"/>
        <v>0</v>
      </c>
      <c r="N118" s="52">
        <f t="shared" si="448"/>
        <v>0</v>
      </c>
      <c r="O118" s="52">
        <f t="shared" si="448"/>
        <v>0</v>
      </c>
      <c r="P118" s="52">
        <f t="shared" si="448"/>
        <v>0</v>
      </c>
      <c r="Q118" s="52">
        <f t="shared" si="448"/>
        <v>0</v>
      </c>
      <c r="R118" s="52">
        <f t="shared" si="448"/>
        <v>0</v>
      </c>
      <c r="S118" s="52">
        <f t="shared" si="448"/>
        <v>0</v>
      </c>
      <c r="T118" s="52">
        <f t="shared" si="448"/>
        <v>0</v>
      </c>
      <c r="U118" s="52">
        <f t="shared" si="448"/>
        <v>0</v>
      </c>
      <c r="V118" s="52">
        <f t="shared" si="448"/>
        <v>0</v>
      </c>
      <c r="W118" s="52">
        <f t="shared" si="448"/>
        <v>0</v>
      </c>
      <c r="X118" s="52">
        <f t="shared" si="448"/>
        <v>0</v>
      </c>
      <c r="Y118" s="52">
        <f t="shared" si="448"/>
        <v>0</v>
      </c>
      <c r="Z118" s="52">
        <f t="shared" si="448"/>
        <v>0</v>
      </c>
      <c r="AA118" s="52">
        <f t="shared" si="448"/>
        <v>0</v>
      </c>
      <c r="AB118" s="52">
        <f t="shared" si="448"/>
        <v>0</v>
      </c>
      <c r="AC118" s="52">
        <f t="shared" si="448"/>
        <v>0</v>
      </c>
      <c r="AD118" s="52">
        <f t="shared" si="448"/>
        <v>0</v>
      </c>
      <c r="AE118" s="52">
        <f t="shared" si="448"/>
        <v>0</v>
      </c>
      <c r="AF118" s="52">
        <f t="shared" si="448"/>
        <v>0</v>
      </c>
      <c r="AG118" s="52">
        <f t="shared" si="448"/>
        <v>0</v>
      </c>
      <c r="AH118" s="52">
        <f t="shared" si="448"/>
        <v>0</v>
      </c>
      <c r="AI118" s="52">
        <f t="shared" si="448"/>
        <v>0</v>
      </c>
      <c r="AJ118" s="52">
        <f t="shared" si="448"/>
        <v>0</v>
      </c>
      <c r="AK118" s="52">
        <f t="shared" si="448"/>
        <v>0</v>
      </c>
      <c r="AL118" s="52">
        <f t="shared" ref="AL118:BQ118" si="449">IFERROR(IF(AL$28="FALSE",0,$C$118/$C$8),0)</f>
        <v>0</v>
      </c>
      <c r="AM118" s="52">
        <f t="shared" si="449"/>
        <v>0</v>
      </c>
      <c r="AN118" s="52">
        <f t="shared" si="449"/>
        <v>0</v>
      </c>
      <c r="AO118" s="52">
        <f t="shared" si="449"/>
        <v>0</v>
      </c>
      <c r="AP118" s="52">
        <f t="shared" si="449"/>
        <v>0</v>
      </c>
      <c r="AQ118" s="52">
        <f t="shared" si="449"/>
        <v>0</v>
      </c>
      <c r="AR118" s="52">
        <f t="shared" si="449"/>
        <v>0</v>
      </c>
      <c r="AS118" s="52">
        <f t="shared" si="449"/>
        <v>0</v>
      </c>
      <c r="AT118" s="52">
        <f t="shared" si="449"/>
        <v>0</v>
      </c>
      <c r="AU118" s="52">
        <f t="shared" si="449"/>
        <v>0</v>
      </c>
      <c r="AV118" s="52">
        <f t="shared" si="449"/>
        <v>0</v>
      </c>
      <c r="AW118" s="52">
        <f t="shared" si="449"/>
        <v>0</v>
      </c>
      <c r="AX118" s="52">
        <f t="shared" si="449"/>
        <v>0</v>
      </c>
      <c r="AY118" s="52">
        <f t="shared" si="449"/>
        <v>0</v>
      </c>
      <c r="AZ118" s="52">
        <f t="shared" si="449"/>
        <v>0</v>
      </c>
      <c r="BA118" s="52">
        <f t="shared" si="449"/>
        <v>0</v>
      </c>
      <c r="BB118" s="52">
        <f t="shared" si="449"/>
        <v>0</v>
      </c>
      <c r="BC118" s="52">
        <f t="shared" si="449"/>
        <v>0</v>
      </c>
      <c r="BD118" s="52">
        <f t="shared" si="449"/>
        <v>0</v>
      </c>
      <c r="BE118" s="52">
        <f t="shared" si="449"/>
        <v>0</v>
      </c>
      <c r="BF118" s="52">
        <f t="shared" si="449"/>
        <v>0</v>
      </c>
      <c r="BG118" s="52">
        <f t="shared" si="449"/>
        <v>0</v>
      </c>
      <c r="BH118" s="52">
        <f t="shared" si="449"/>
        <v>0</v>
      </c>
      <c r="BI118" s="52">
        <f t="shared" si="449"/>
        <v>0</v>
      </c>
      <c r="BJ118" s="52">
        <f t="shared" si="449"/>
        <v>0</v>
      </c>
      <c r="BK118" s="52">
        <f t="shared" si="449"/>
        <v>0</v>
      </c>
      <c r="BL118" s="52">
        <f t="shared" si="449"/>
        <v>0</v>
      </c>
      <c r="BM118" s="52">
        <f t="shared" si="449"/>
        <v>0</v>
      </c>
      <c r="BN118" s="52">
        <f t="shared" si="449"/>
        <v>0</v>
      </c>
      <c r="BO118" s="52">
        <f t="shared" si="449"/>
        <v>0</v>
      </c>
      <c r="BP118" s="52">
        <f t="shared" si="449"/>
        <v>0</v>
      </c>
      <c r="BQ118" s="52">
        <f t="shared" si="449"/>
        <v>0</v>
      </c>
      <c r="BR118" s="52">
        <f t="shared" ref="BR118:CW118" si="450">IFERROR(IF(BR$28="FALSE",0,$C$118/$C$8),0)</f>
        <v>0</v>
      </c>
      <c r="BS118" s="52">
        <f t="shared" si="450"/>
        <v>0</v>
      </c>
      <c r="BT118" s="52">
        <f t="shared" si="450"/>
        <v>0</v>
      </c>
      <c r="BU118" s="52">
        <f t="shared" si="450"/>
        <v>0</v>
      </c>
      <c r="BV118" s="52">
        <f t="shared" si="450"/>
        <v>0</v>
      </c>
      <c r="BW118" s="52">
        <f t="shared" si="450"/>
        <v>0</v>
      </c>
      <c r="BX118" s="52">
        <f t="shared" si="450"/>
        <v>0</v>
      </c>
      <c r="BY118" s="52">
        <f t="shared" si="450"/>
        <v>0</v>
      </c>
      <c r="BZ118" s="52">
        <f t="shared" si="450"/>
        <v>0</v>
      </c>
      <c r="CA118" s="52">
        <f t="shared" si="450"/>
        <v>0</v>
      </c>
      <c r="CB118" s="52">
        <f t="shared" si="450"/>
        <v>0</v>
      </c>
      <c r="CC118" s="52">
        <f t="shared" si="450"/>
        <v>0</v>
      </c>
      <c r="CD118" s="52">
        <f t="shared" si="450"/>
        <v>0</v>
      </c>
      <c r="CE118" s="52">
        <f t="shared" si="450"/>
        <v>0</v>
      </c>
      <c r="CF118" s="52">
        <f t="shared" si="450"/>
        <v>0</v>
      </c>
      <c r="CG118" s="52">
        <f t="shared" si="450"/>
        <v>0</v>
      </c>
      <c r="CH118" s="52">
        <f t="shared" si="450"/>
        <v>0</v>
      </c>
      <c r="CI118" s="52">
        <f t="shared" si="450"/>
        <v>0</v>
      </c>
      <c r="CJ118" s="52">
        <f t="shared" si="450"/>
        <v>0</v>
      </c>
      <c r="CK118" s="52">
        <f t="shared" si="450"/>
        <v>0</v>
      </c>
      <c r="CL118" s="52">
        <f t="shared" si="450"/>
        <v>0</v>
      </c>
      <c r="CM118" s="52">
        <f t="shared" si="450"/>
        <v>0</v>
      </c>
      <c r="CN118" s="52">
        <f t="shared" si="450"/>
        <v>0</v>
      </c>
      <c r="CO118" s="52">
        <f t="shared" si="450"/>
        <v>0</v>
      </c>
      <c r="CP118" s="52">
        <f t="shared" si="450"/>
        <v>0</v>
      </c>
      <c r="CQ118" s="52">
        <f t="shared" si="450"/>
        <v>0</v>
      </c>
      <c r="CR118" s="52">
        <f t="shared" si="450"/>
        <v>0</v>
      </c>
      <c r="CS118" s="52">
        <f t="shared" si="450"/>
        <v>0</v>
      </c>
      <c r="CT118" s="52">
        <f t="shared" si="450"/>
        <v>0</v>
      </c>
      <c r="CU118" s="52">
        <f t="shared" si="450"/>
        <v>0</v>
      </c>
      <c r="CV118" s="52">
        <f t="shared" si="450"/>
        <v>0</v>
      </c>
      <c r="CW118" s="52">
        <f t="shared" si="450"/>
        <v>0</v>
      </c>
      <c r="CX118" s="52">
        <f t="shared" ref="CX118:EC118" si="451">IFERROR(IF(CX$28="FALSE",0,$C$118/$C$8),0)</f>
        <v>0</v>
      </c>
      <c r="CY118" s="52">
        <f t="shared" si="451"/>
        <v>0</v>
      </c>
      <c r="CZ118" s="52">
        <f t="shared" si="451"/>
        <v>0</v>
      </c>
      <c r="DA118" s="52">
        <f t="shared" si="451"/>
        <v>0</v>
      </c>
      <c r="DB118" s="52">
        <f t="shared" si="451"/>
        <v>0</v>
      </c>
      <c r="DC118" s="52">
        <f t="shared" si="451"/>
        <v>0</v>
      </c>
      <c r="DD118" s="52">
        <f t="shared" si="451"/>
        <v>0</v>
      </c>
      <c r="DE118" s="52">
        <f t="shared" si="451"/>
        <v>0</v>
      </c>
      <c r="DF118" s="52">
        <f t="shared" si="451"/>
        <v>0</v>
      </c>
      <c r="DG118" s="52">
        <f t="shared" si="451"/>
        <v>0</v>
      </c>
      <c r="DH118" s="52">
        <f t="shared" si="451"/>
        <v>0</v>
      </c>
      <c r="DI118" s="52">
        <f t="shared" si="451"/>
        <v>0</v>
      </c>
      <c r="DJ118" s="52">
        <f t="shared" si="451"/>
        <v>0</v>
      </c>
      <c r="DK118" s="52">
        <f t="shared" si="451"/>
        <v>0</v>
      </c>
      <c r="DL118" s="52">
        <f t="shared" si="451"/>
        <v>0</v>
      </c>
      <c r="DM118" s="52">
        <f t="shared" si="451"/>
        <v>0</v>
      </c>
      <c r="DN118" s="52">
        <f t="shared" si="451"/>
        <v>0</v>
      </c>
      <c r="DO118" s="52">
        <f t="shared" si="451"/>
        <v>0</v>
      </c>
      <c r="DP118" s="52">
        <f t="shared" si="451"/>
        <v>0</v>
      </c>
      <c r="DQ118" s="52">
        <f t="shared" si="451"/>
        <v>0</v>
      </c>
      <c r="DR118" s="52">
        <f t="shared" si="451"/>
        <v>0</v>
      </c>
      <c r="DS118" s="52">
        <f t="shared" si="451"/>
        <v>0</v>
      </c>
      <c r="DT118" s="52">
        <f t="shared" si="451"/>
        <v>0</v>
      </c>
      <c r="DU118" s="52">
        <f t="shared" si="451"/>
        <v>0</v>
      </c>
      <c r="DV118" s="52">
        <f t="shared" si="451"/>
        <v>0</v>
      </c>
      <c r="DW118" s="52">
        <f t="shared" si="451"/>
        <v>0</v>
      </c>
      <c r="DX118" s="52">
        <f t="shared" si="451"/>
        <v>0</v>
      </c>
      <c r="DY118" s="52">
        <f t="shared" si="451"/>
        <v>0</v>
      </c>
      <c r="DZ118" s="52">
        <f t="shared" si="451"/>
        <v>0</v>
      </c>
      <c r="EA118" s="52">
        <f t="shared" si="451"/>
        <v>0</v>
      </c>
      <c r="EB118" s="52">
        <f t="shared" si="451"/>
        <v>0</v>
      </c>
      <c r="EC118" s="52">
        <f t="shared" si="451"/>
        <v>0</v>
      </c>
      <c r="ED118" s="52">
        <f t="shared" ref="ED118:FD118" si="452">IFERROR(IF(ED$28="FALSE",0,$C$118/$C$8),0)</f>
        <v>0</v>
      </c>
      <c r="EE118" s="52">
        <f t="shared" si="452"/>
        <v>0</v>
      </c>
      <c r="EF118" s="52">
        <f t="shared" si="452"/>
        <v>0</v>
      </c>
      <c r="EG118" s="52">
        <f t="shared" si="452"/>
        <v>0</v>
      </c>
      <c r="EH118" s="52">
        <f t="shared" si="452"/>
        <v>0</v>
      </c>
      <c r="EI118" s="52">
        <f t="shared" si="452"/>
        <v>0</v>
      </c>
      <c r="EJ118" s="52">
        <f t="shared" si="452"/>
        <v>0</v>
      </c>
      <c r="EK118" s="52">
        <f t="shared" si="452"/>
        <v>0</v>
      </c>
      <c r="EL118" s="52">
        <f t="shared" si="452"/>
        <v>0</v>
      </c>
      <c r="EM118" s="52">
        <f t="shared" si="452"/>
        <v>0</v>
      </c>
      <c r="EN118" s="52">
        <f t="shared" si="452"/>
        <v>0</v>
      </c>
      <c r="EO118" s="52">
        <f t="shared" si="452"/>
        <v>0</v>
      </c>
      <c r="EP118" s="52">
        <f t="shared" si="452"/>
        <v>0</v>
      </c>
      <c r="EQ118" s="52">
        <f t="shared" si="452"/>
        <v>0</v>
      </c>
      <c r="ER118" s="52">
        <f t="shared" si="452"/>
        <v>0</v>
      </c>
      <c r="ES118" s="52">
        <f t="shared" si="452"/>
        <v>0</v>
      </c>
      <c r="ET118" s="52">
        <f t="shared" si="452"/>
        <v>0</v>
      </c>
      <c r="EU118" s="52">
        <f t="shared" si="452"/>
        <v>0</v>
      </c>
      <c r="EV118" s="52">
        <f t="shared" si="452"/>
        <v>0</v>
      </c>
      <c r="EW118" s="52">
        <f t="shared" si="452"/>
        <v>0</v>
      </c>
      <c r="EX118" s="52">
        <f t="shared" si="452"/>
        <v>0</v>
      </c>
      <c r="EY118" s="52">
        <f t="shared" si="452"/>
        <v>0</v>
      </c>
      <c r="EZ118" s="52">
        <f t="shared" si="452"/>
        <v>0</v>
      </c>
      <c r="FA118" s="52">
        <f t="shared" si="452"/>
        <v>0</v>
      </c>
      <c r="FB118" s="52">
        <f t="shared" si="452"/>
        <v>0</v>
      </c>
      <c r="FC118" s="52">
        <f t="shared" si="452"/>
        <v>0</v>
      </c>
      <c r="FD118" s="52">
        <f t="shared" si="452"/>
        <v>0</v>
      </c>
    </row>
    <row r="119" spans="2:160">
      <c r="B119" s="51" t="s">
        <v>202</v>
      </c>
      <c r="C119" s="52">
        <f ca="1">IF(Startup!$C$3="Project",SUMIF(Startup!$C$7:$D$27,Overview!B119,Startup!$D$7:$D$27),(SUMIF(Startup!$C$7:$D$27,Overview!B119,Startup!$D$7:$D$27)*Startup!$C$4))+IF(Pilot!$C$3="Project",SUMIF(Pilot!$C$7:$D$27,Overview!B119,Pilot!$D$7:$D$27),(SUMIF(Pilot!$C$7:$D$27,Overview!B119,Pilot!$D$7:$D$27)*Pilot!$C$4))+IF(PMO!$C$3="Project",SUMIF(PMO!$C$7:$D$27,Overview!B119,PMO!$D$7:$D$27),(SUMIF(PMO!$C$7:$D$27,Overview!B119,PMO!$D$7:$D$27)*PMO!$C$4))+IF('Design &amp; Fulfillment'!$C$3="Project",SUMIF('Design &amp; Fulfillment'!$C$7:$D$27,Overview!B119,'Design &amp; Fulfillment'!$D$7:$D$27),(SUMIF('Design &amp; Fulfillment'!$C$7:$D$27,Overview!B119,'Design &amp; Fulfillment'!$D$7:$D$27)*'Design &amp; Fulfillment'!$C$4))+IF(Workplace!$C$3="Project",SUMIF(Workplace!$C$7:$D$27,Overview!B119,Workplace!$D$7:$D$27),(SUMIF(Workplace!$C$7:$D$27,Overview!B119,Workplace!$D$7:$D$27)*Workplace!$C$4))+IF(Integration!$C$3="Project",SUMIF(Integration!$C$7:$D$27,Overview!B119,Integration!$D$7:$D$27),(SUMIF(Integration!$C$7:$D$27,Overview!B119,Integration!$D$7:$D$27)*Integration!$C$4))+IF(Logistics!$C$3="Project",SUMIF(Logistics!$C$7:$D$27,Overview!B119,Logistics!$D$7:$D$27),(SUMIF(Logistics!$C$7:$D$27,Overview!B119,Logistics!$D$7:$D$27)*Logistics!$C$4))+IF('Service Desk'!$C$3="Project",SUMIF('Service Desk'!$C$7:$D$27,Overview!B119,'Service Desk'!$D$7:$D$27),(SUMIF('Service Desk'!$C$7:$D$27,Overview!B119,'Service Desk'!$D$7:$D$27)*'Service Desk'!$C$4))+IF('Pro Services'!$C$3="Project",SUMIF('Pro Services'!$C$7:$D$27,Overview!B119,'Pro Services'!$D$7:$D$27),(SUMIF('Pro Services'!$C$7:$D$27,Overview!B119,'Pro Services'!$D$7:$D$27)*'Pro Services'!$C$4))</f>
        <v>0</v>
      </c>
      <c r="D119" s="53">
        <f ca="1">IF(Startup!$C$3="Project",SUMIF(Startup!$C$7:$H$27,Overview!B119,Startup!$H$7:$H$27),(SUMIF(Startup!$C$7:$H$27,Overview!B119,Startup!$H$7:$H$27)*Startup!$C$4))+IF(Pilot!$C$3="Project",SUMIF(Pilot!$C$7:$H$27,Overview!B119,Pilot!$H$7:$H$27),(SUMIF(Pilot!$C$7:$H$27,Overview!B119,Pilot!$H$7:$H$27)*Pilot!$C$4))+IF(PMO!$C$3="Project",SUMIF(PMO!$C$7:$H$27,Overview!B119,PMO!$H$7:$H$27),(SUMIF(PMO!$C$7:$H$27,Overview!B119,PMO!$H$7:$H$27)*PMO!$C$4))+IF('Design &amp; Fulfillment'!$C$3="Project",SUMIF('Design &amp; Fulfillment'!$C$7:$H$27,Overview!B119,'Design &amp; Fulfillment'!$H$7:$H$27),(SUMIF('Design &amp; Fulfillment'!$C$7:$H$27,Overview!B119,'Design &amp; Fulfillment'!$H$7:$H$27)*'Design &amp; Fulfillment'!$C$4))+IF(Workplace!$C$3="Project",SUMIF(Workplace!$C$7:$H$27,Overview!B119,Workplace!$H$7:$H$27),(SUMIF(Workplace!$C$7:$H$27,Overview!B119,Workplace!$H$7:$H$27)*Workplace!$C$4))+IF(Integration!$C$3="Project",SUMIF(Integration!$C$7:$H$27,Overview!B119,Integration!$H$7:$H$27),(SUMIF(Integration!$C$7:$H$27,Overview!B119,Integration!$H$7:$H$27)*Integration!$C$4))+IF(Logistics!$C$3="Project",SUMIF(Logistics!$C$7:$H$27,Overview!B119,Logistics!$H$7:$H$27),(SUMIF(Logistics!$C$7:$H$27,Overview!B119,Logistics!$H$7:$H$27)*Logistics!$C$4))+IF('Service Desk'!$C$3="Project",SUMIF('Service Desk'!$C$7:$H$27,Overview!B119,'Service Desk'!$H$7:$H$27),(SUMIF('Service Desk'!$C$7:$H$27,Overview!B119,'Service Desk'!$H$7:$H$27)*'Service Desk'!$C$4))+IF('Pro Services'!$C$3="Project",SUMIF('Pro Services'!$C$7:$H$27,Overview!B119,'Pro Services'!$H$7:$H$27),(SUMIF('Pro Services'!$C$7:$H$27,Overview!B119,'Pro Services'!$H$7:$H$27)*'Pro Services'!$C$4))</f>
        <v>0</v>
      </c>
      <c r="E119" s="52">
        <f t="shared" ca="1" si="442"/>
        <v>0</v>
      </c>
      <c r="F119" s="52">
        <f t="shared" ref="F119:AK119" si="453">IFERROR(IF(F$28="FALSE",0,$C$119/$C$8),0)</f>
        <v>0</v>
      </c>
      <c r="G119" s="52">
        <f t="shared" si="453"/>
        <v>0</v>
      </c>
      <c r="H119" s="52">
        <f t="shared" si="453"/>
        <v>0</v>
      </c>
      <c r="I119" s="52">
        <f t="shared" si="453"/>
        <v>0</v>
      </c>
      <c r="J119" s="52">
        <f t="shared" si="453"/>
        <v>0</v>
      </c>
      <c r="K119" s="52">
        <f t="shared" si="453"/>
        <v>0</v>
      </c>
      <c r="L119" s="52">
        <f t="shared" si="453"/>
        <v>0</v>
      </c>
      <c r="M119" s="52">
        <f t="shared" si="453"/>
        <v>0</v>
      </c>
      <c r="N119" s="52">
        <f t="shared" si="453"/>
        <v>0</v>
      </c>
      <c r="O119" s="52">
        <f t="shared" si="453"/>
        <v>0</v>
      </c>
      <c r="P119" s="52">
        <f t="shared" si="453"/>
        <v>0</v>
      </c>
      <c r="Q119" s="52">
        <f t="shared" si="453"/>
        <v>0</v>
      </c>
      <c r="R119" s="52">
        <f t="shared" si="453"/>
        <v>0</v>
      </c>
      <c r="S119" s="52">
        <f t="shared" si="453"/>
        <v>0</v>
      </c>
      <c r="T119" s="52">
        <f t="shared" si="453"/>
        <v>0</v>
      </c>
      <c r="U119" s="52">
        <f t="shared" si="453"/>
        <v>0</v>
      </c>
      <c r="V119" s="52">
        <f t="shared" si="453"/>
        <v>0</v>
      </c>
      <c r="W119" s="52">
        <f t="shared" si="453"/>
        <v>0</v>
      </c>
      <c r="X119" s="52">
        <f t="shared" si="453"/>
        <v>0</v>
      </c>
      <c r="Y119" s="52">
        <f t="shared" si="453"/>
        <v>0</v>
      </c>
      <c r="Z119" s="52">
        <f t="shared" si="453"/>
        <v>0</v>
      </c>
      <c r="AA119" s="52">
        <f t="shared" si="453"/>
        <v>0</v>
      </c>
      <c r="AB119" s="52">
        <f t="shared" si="453"/>
        <v>0</v>
      </c>
      <c r="AC119" s="52">
        <f t="shared" si="453"/>
        <v>0</v>
      </c>
      <c r="AD119" s="52">
        <f t="shared" si="453"/>
        <v>0</v>
      </c>
      <c r="AE119" s="52">
        <f t="shared" si="453"/>
        <v>0</v>
      </c>
      <c r="AF119" s="52">
        <f t="shared" si="453"/>
        <v>0</v>
      </c>
      <c r="AG119" s="52">
        <f t="shared" si="453"/>
        <v>0</v>
      </c>
      <c r="AH119" s="52">
        <f t="shared" si="453"/>
        <v>0</v>
      </c>
      <c r="AI119" s="52">
        <f t="shared" si="453"/>
        <v>0</v>
      </c>
      <c r="AJ119" s="52">
        <f t="shared" si="453"/>
        <v>0</v>
      </c>
      <c r="AK119" s="52">
        <f t="shared" si="453"/>
        <v>0</v>
      </c>
      <c r="AL119" s="52">
        <f t="shared" ref="AL119:BQ119" si="454">IFERROR(IF(AL$28="FALSE",0,$C$119/$C$8),0)</f>
        <v>0</v>
      </c>
      <c r="AM119" s="52">
        <f t="shared" si="454"/>
        <v>0</v>
      </c>
      <c r="AN119" s="52">
        <f t="shared" si="454"/>
        <v>0</v>
      </c>
      <c r="AO119" s="52">
        <f t="shared" si="454"/>
        <v>0</v>
      </c>
      <c r="AP119" s="52">
        <f t="shared" si="454"/>
        <v>0</v>
      </c>
      <c r="AQ119" s="52">
        <f t="shared" si="454"/>
        <v>0</v>
      </c>
      <c r="AR119" s="52">
        <f t="shared" si="454"/>
        <v>0</v>
      </c>
      <c r="AS119" s="52">
        <f t="shared" si="454"/>
        <v>0</v>
      </c>
      <c r="AT119" s="52">
        <f t="shared" si="454"/>
        <v>0</v>
      </c>
      <c r="AU119" s="52">
        <f t="shared" si="454"/>
        <v>0</v>
      </c>
      <c r="AV119" s="52">
        <f t="shared" si="454"/>
        <v>0</v>
      </c>
      <c r="AW119" s="52">
        <f t="shared" si="454"/>
        <v>0</v>
      </c>
      <c r="AX119" s="52">
        <f t="shared" si="454"/>
        <v>0</v>
      </c>
      <c r="AY119" s="52">
        <f t="shared" si="454"/>
        <v>0</v>
      </c>
      <c r="AZ119" s="52">
        <f t="shared" si="454"/>
        <v>0</v>
      </c>
      <c r="BA119" s="52">
        <f t="shared" si="454"/>
        <v>0</v>
      </c>
      <c r="BB119" s="52">
        <f t="shared" si="454"/>
        <v>0</v>
      </c>
      <c r="BC119" s="52">
        <f t="shared" si="454"/>
        <v>0</v>
      </c>
      <c r="BD119" s="52">
        <f t="shared" si="454"/>
        <v>0</v>
      </c>
      <c r="BE119" s="52">
        <f t="shared" si="454"/>
        <v>0</v>
      </c>
      <c r="BF119" s="52">
        <f t="shared" si="454"/>
        <v>0</v>
      </c>
      <c r="BG119" s="52">
        <f t="shared" si="454"/>
        <v>0</v>
      </c>
      <c r="BH119" s="52">
        <f t="shared" si="454"/>
        <v>0</v>
      </c>
      <c r="BI119" s="52">
        <f t="shared" si="454"/>
        <v>0</v>
      </c>
      <c r="BJ119" s="52">
        <f t="shared" si="454"/>
        <v>0</v>
      </c>
      <c r="BK119" s="52">
        <f t="shared" si="454"/>
        <v>0</v>
      </c>
      <c r="BL119" s="52">
        <f t="shared" si="454"/>
        <v>0</v>
      </c>
      <c r="BM119" s="52">
        <f t="shared" si="454"/>
        <v>0</v>
      </c>
      <c r="BN119" s="52">
        <f t="shared" si="454"/>
        <v>0</v>
      </c>
      <c r="BO119" s="52">
        <f t="shared" si="454"/>
        <v>0</v>
      </c>
      <c r="BP119" s="52">
        <f t="shared" si="454"/>
        <v>0</v>
      </c>
      <c r="BQ119" s="52">
        <f t="shared" si="454"/>
        <v>0</v>
      </c>
      <c r="BR119" s="52">
        <f t="shared" ref="BR119:CW119" si="455">IFERROR(IF(BR$28="FALSE",0,$C$119/$C$8),0)</f>
        <v>0</v>
      </c>
      <c r="BS119" s="52">
        <f t="shared" si="455"/>
        <v>0</v>
      </c>
      <c r="BT119" s="52">
        <f t="shared" si="455"/>
        <v>0</v>
      </c>
      <c r="BU119" s="52">
        <f t="shared" si="455"/>
        <v>0</v>
      </c>
      <c r="BV119" s="52">
        <f t="shared" si="455"/>
        <v>0</v>
      </c>
      <c r="BW119" s="52">
        <f t="shared" si="455"/>
        <v>0</v>
      </c>
      <c r="BX119" s="52">
        <f t="shared" si="455"/>
        <v>0</v>
      </c>
      <c r="BY119" s="52">
        <f t="shared" si="455"/>
        <v>0</v>
      </c>
      <c r="BZ119" s="52">
        <f t="shared" si="455"/>
        <v>0</v>
      </c>
      <c r="CA119" s="52">
        <f t="shared" si="455"/>
        <v>0</v>
      </c>
      <c r="CB119" s="52">
        <f t="shared" si="455"/>
        <v>0</v>
      </c>
      <c r="CC119" s="52">
        <f t="shared" si="455"/>
        <v>0</v>
      </c>
      <c r="CD119" s="52">
        <f t="shared" si="455"/>
        <v>0</v>
      </c>
      <c r="CE119" s="52">
        <f t="shared" si="455"/>
        <v>0</v>
      </c>
      <c r="CF119" s="52">
        <f t="shared" si="455"/>
        <v>0</v>
      </c>
      <c r="CG119" s="52">
        <f t="shared" si="455"/>
        <v>0</v>
      </c>
      <c r="CH119" s="52">
        <f t="shared" si="455"/>
        <v>0</v>
      </c>
      <c r="CI119" s="52">
        <f t="shared" si="455"/>
        <v>0</v>
      </c>
      <c r="CJ119" s="52">
        <f t="shared" si="455"/>
        <v>0</v>
      </c>
      <c r="CK119" s="52">
        <f t="shared" si="455"/>
        <v>0</v>
      </c>
      <c r="CL119" s="52">
        <f t="shared" si="455"/>
        <v>0</v>
      </c>
      <c r="CM119" s="52">
        <f t="shared" si="455"/>
        <v>0</v>
      </c>
      <c r="CN119" s="52">
        <f t="shared" si="455"/>
        <v>0</v>
      </c>
      <c r="CO119" s="52">
        <f t="shared" si="455"/>
        <v>0</v>
      </c>
      <c r="CP119" s="52">
        <f t="shared" si="455"/>
        <v>0</v>
      </c>
      <c r="CQ119" s="52">
        <f t="shared" si="455"/>
        <v>0</v>
      </c>
      <c r="CR119" s="52">
        <f t="shared" si="455"/>
        <v>0</v>
      </c>
      <c r="CS119" s="52">
        <f t="shared" si="455"/>
        <v>0</v>
      </c>
      <c r="CT119" s="52">
        <f t="shared" si="455"/>
        <v>0</v>
      </c>
      <c r="CU119" s="52">
        <f t="shared" si="455"/>
        <v>0</v>
      </c>
      <c r="CV119" s="52">
        <f t="shared" si="455"/>
        <v>0</v>
      </c>
      <c r="CW119" s="52">
        <f t="shared" si="455"/>
        <v>0</v>
      </c>
      <c r="CX119" s="52">
        <f t="shared" ref="CX119:EC119" si="456">IFERROR(IF(CX$28="FALSE",0,$C$119/$C$8),0)</f>
        <v>0</v>
      </c>
      <c r="CY119" s="52">
        <f t="shared" si="456"/>
        <v>0</v>
      </c>
      <c r="CZ119" s="52">
        <f t="shared" si="456"/>
        <v>0</v>
      </c>
      <c r="DA119" s="52">
        <f t="shared" si="456"/>
        <v>0</v>
      </c>
      <c r="DB119" s="52">
        <f t="shared" si="456"/>
        <v>0</v>
      </c>
      <c r="DC119" s="52">
        <f t="shared" si="456"/>
        <v>0</v>
      </c>
      <c r="DD119" s="52">
        <f t="shared" si="456"/>
        <v>0</v>
      </c>
      <c r="DE119" s="52">
        <f t="shared" si="456"/>
        <v>0</v>
      </c>
      <c r="DF119" s="52">
        <f t="shared" si="456"/>
        <v>0</v>
      </c>
      <c r="DG119" s="52">
        <f t="shared" si="456"/>
        <v>0</v>
      </c>
      <c r="DH119" s="52">
        <f t="shared" si="456"/>
        <v>0</v>
      </c>
      <c r="DI119" s="52">
        <f t="shared" si="456"/>
        <v>0</v>
      </c>
      <c r="DJ119" s="52">
        <f t="shared" si="456"/>
        <v>0</v>
      </c>
      <c r="DK119" s="52">
        <f t="shared" si="456"/>
        <v>0</v>
      </c>
      <c r="DL119" s="52">
        <f t="shared" si="456"/>
        <v>0</v>
      </c>
      <c r="DM119" s="52">
        <f t="shared" si="456"/>
        <v>0</v>
      </c>
      <c r="DN119" s="52">
        <f t="shared" si="456"/>
        <v>0</v>
      </c>
      <c r="DO119" s="52">
        <f t="shared" si="456"/>
        <v>0</v>
      </c>
      <c r="DP119" s="52">
        <f t="shared" si="456"/>
        <v>0</v>
      </c>
      <c r="DQ119" s="52">
        <f t="shared" si="456"/>
        <v>0</v>
      </c>
      <c r="DR119" s="52">
        <f t="shared" si="456"/>
        <v>0</v>
      </c>
      <c r="DS119" s="52">
        <f t="shared" si="456"/>
        <v>0</v>
      </c>
      <c r="DT119" s="52">
        <f t="shared" si="456"/>
        <v>0</v>
      </c>
      <c r="DU119" s="52">
        <f t="shared" si="456"/>
        <v>0</v>
      </c>
      <c r="DV119" s="52">
        <f t="shared" si="456"/>
        <v>0</v>
      </c>
      <c r="DW119" s="52">
        <f t="shared" si="456"/>
        <v>0</v>
      </c>
      <c r="DX119" s="52">
        <f t="shared" si="456"/>
        <v>0</v>
      </c>
      <c r="DY119" s="52">
        <f t="shared" si="456"/>
        <v>0</v>
      </c>
      <c r="DZ119" s="52">
        <f t="shared" si="456"/>
        <v>0</v>
      </c>
      <c r="EA119" s="52">
        <f t="shared" si="456"/>
        <v>0</v>
      </c>
      <c r="EB119" s="52">
        <f t="shared" si="456"/>
        <v>0</v>
      </c>
      <c r="EC119" s="52">
        <f t="shared" si="456"/>
        <v>0</v>
      </c>
      <c r="ED119" s="52">
        <f t="shared" ref="ED119:FD119" si="457">IFERROR(IF(ED$28="FALSE",0,$C$119/$C$8),0)</f>
        <v>0</v>
      </c>
      <c r="EE119" s="52">
        <f t="shared" si="457"/>
        <v>0</v>
      </c>
      <c r="EF119" s="52">
        <f t="shared" si="457"/>
        <v>0</v>
      </c>
      <c r="EG119" s="52">
        <f t="shared" si="457"/>
        <v>0</v>
      </c>
      <c r="EH119" s="52">
        <f t="shared" si="457"/>
        <v>0</v>
      </c>
      <c r="EI119" s="52">
        <f t="shared" si="457"/>
        <v>0</v>
      </c>
      <c r="EJ119" s="52">
        <f t="shared" si="457"/>
        <v>0</v>
      </c>
      <c r="EK119" s="52">
        <f t="shared" si="457"/>
        <v>0</v>
      </c>
      <c r="EL119" s="52">
        <f t="shared" si="457"/>
        <v>0</v>
      </c>
      <c r="EM119" s="52">
        <f t="shared" si="457"/>
        <v>0</v>
      </c>
      <c r="EN119" s="52">
        <f t="shared" si="457"/>
        <v>0</v>
      </c>
      <c r="EO119" s="52">
        <f t="shared" si="457"/>
        <v>0</v>
      </c>
      <c r="EP119" s="52">
        <f t="shared" si="457"/>
        <v>0</v>
      </c>
      <c r="EQ119" s="52">
        <f t="shared" si="457"/>
        <v>0</v>
      </c>
      <c r="ER119" s="52">
        <f t="shared" si="457"/>
        <v>0</v>
      </c>
      <c r="ES119" s="52">
        <f t="shared" si="457"/>
        <v>0</v>
      </c>
      <c r="ET119" s="52">
        <f t="shared" si="457"/>
        <v>0</v>
      </c>
      <c r="EU119" s="52">
        <f t="shared" si="457"/>
        <v>0</v>
      </c>
      <c r="EV119" s="52">
        <f t="shared" si="457"/>
        <v>0</v>
      </c>
      <c r="EW119" s="52">
        <f t="shared" si="457"/>
        <v>0</v>
      </c>
      <c r="EX119" s="52">
        <f t="shared" si="457"/>
        <v>0</v>
      </c>
      <c r="EY119" s="52">
        <f t="shared" si="457"/>
        <v>0</v>
      </c>
      <c r="EZ119" s="52">
        <f t="shared" si="457"/>
        <v>0</v>
      </c>
      <c r="FA119" s="52">
        <f t="shared" si="457"/>
        <v>0</v>
      </c>
      <c r="FB119" s="52">
        <f t="shared" si="457"/>
        <v>0</v>
      </c>
      <c r="FC119" s="52">
        <f t="shared" si="457"/>
        <v>0</v>
      </c>
      <c r="FD119" s="52">
        <f t="shared" si="457"/>
        <v>0</v>
      </c>
    </row>
    <row r="120" spans="2:160">
      <c r="B120" s="51" t="s">
        <v>203</v>
      </c>
      <c r="C120" s="52">
        <f ca="1">IF(Startup!$C$3="Project",SUMIF(Startup!$C$7:$D$27,Overview!B120,Startup!$D$7:$D$27),(SUMIF(Startup!$C$7:$D$27,Overview!B120,Startup!$D$7:$D$27)*Startup!$C$4))+IF(Pilot!$C$3="Project",SUMIF(Pilot!$C$7:$D$27,Overview!B120,Pilot!$D$7:$D$27),(SUMIF(Pilot!$C$7:$D$27,Overview!B120,Pilot!$D$7:$D$27)*Pilot!$C$4))+IF(PMO!$C$3="Project",SUMIF(PMO!$C$7:$D$27,Overview!B120,PMO!$D$7:$D$27),(SUMIF(PMO!$C$7:$D$27,Overview!B120,PMO!$D$7:$D$27)*PMO!$C$4))+IF('Design &amp; Fulfillment'!$C$3="Project",SUMIF('Design &amp; Fulfillment'!$C$7:$D$27,Overview!B120,'Design &amp; Fulfillment'!$D$7:$D$27),(SUMIF('Design &amp; Fulfillment'!$C$7:$D$27,Overview!B120,'Design &amp; Fulfillment'!$D$7:$D$27)*'Design &amp; Fulfillment'!$C$4))+IF(Workplace!$C$3="Project",SUMIF(Workplace!$C$7:$D$27,Overview!B120,Workplace!$D$7:$D$27),(SUMIF(Workplace!$C$7:$D$27,Overview!B120,Workplace!$D$7:$D$27)*Workplace!$C$4))+IF(Integration!$C$3="Project",SUMIF(Integration!$C$7:$D$27,Overview!B120,Integration!$D$7:$D$27),(SUMIF(Integration!$C$7:$D$27,Overview!B120,Integration!$D$7:$D$27)*Integration!$C$4))+IF(Logistics!$C$3="Project",SUMIF(Logistics!$C$7:$D$27,Overview!B120,Logistics!$D$7:$D$27),(SUMIF(Logistics!$C$7:$D$27,Overview!B120,Logistics!$D$7:$D$27)*Logistics!$C$4))+IF('Service Desk'!$C$3="Project",SUMIF('Service Desk'!$C$7:$D$27,Overview!B120,'Service Desk'!$D$7:$D$27),(SUMIF('Service Desk'!$C$7:$D$27,Overview!B120,'Service Desk'!$D$7:$D$27)*'Service Desk'!$C$4))+IF('Pro Services'!$C$3="Project",SUMIF('Pro Services'!$C$7:$D$27,Overview!B120,'Pro Services'!$D$7:$D$27),(SUMIF('Pro Services'!$C$7:$D$27,Overview!B120,'Pro Services'!$D$7:$D$27)*'Pro Services'!$C$4))</f>
        <v>0</v>
      </c>
      <c r="D120" s="53">
        <f ca="1">IF(Startup!$C$3="Project",SUMIF(Startup!$C$7:$H$27,Overview!B120,Startup!$H$7:$H$27),(SUMIF(Startup!$C$7:$H$27,Overview!B120,Startup!$H$7:$H$27)*Startup!$C$4))+IF(Pilot!$C$3="Project",SUMIF(Pilot!$C$7:$H$27,Overview!B120,Pilot!$H$7:$H$27),(SUMIF(Pilot!$C$7:$H$27,Overview!B120,Pilot!$H$7:$H$27)*Pilot!$C$4))+IF(PMO!$C$3="Project",SUMIF(PMO!$C$7:$H$27,Overview!B120,PMO!$H$7:$H$27),(SUMIF(PMO!$C$7:$H$27,Overview!B120,PMO!$H$7:$H$27)*PMO!$C$4))+IF('Design &amp; Fulfillment'!$C$3="Project",SUMIF('Design &amp; Fulfillment'!$C$7:$H$27,Overview!B120,'Design &amp; Fulfillment'!$H$7:$H$27),(SUMIF('Design &amp; Fulfillment'!$C$7:$H$27,Overview!B120,'Design &amp; Fulfillment'!$H$7:$H$27)*'Design &amp; Fulfillment'!$C$4))+IF(Workplace!$C$3="Project",SUMIF(Workplace!$C$7:$H$27,Overview!B120,Workplace!$H$7:$H$27),(SUMIF(Workplace!$C$7:$H$27,Overview!B120,Workplace!$H$7:$H$27)*Workplace!$C$4))+IF(Integration!$C$3="Project",SUMIF(Integration!$C$7:$H$27,Overview!B120,Integration!$H$7:$H$27),(SUMIF(Integration!$C$7:$H$27,Overview!B120,Integration!$H$7:$H$27)*Integration!$C$4))+IF(Logistics!$C$3="Project",SUMIF(Logistics!$C$7:$H$27,Overview!B120,Logistics!$H$7:$H$27),(SUMIF(Logistics!$C$7:$H$27,Overview!B120,Logistics!$H$7:$H$27)*Logistics!$C$4))+IF('Service Desk'!$C$3="Project",SUMIF('Service Desk'!$C$7:$H$27,Overview!B120,'Service Desk'!$H$7:$H$27),(SUMIF('Service Desk'!$C$7:$H$27,Overview!B120,'Service Desk'!$H$7:$H$27)*'Service Desk'!$C$4))+IF('Pro Services'!$C$3="Project",SUMIF('Pro Services'!$C$7:$H$27,Overview!B120,'Pro Services'!$H$7:$H$27),(SUMIF('Pro Services'!$C$7:$H$27,Overview!B120,'Pro Services'!$H$7:$H$27)*'Pro Services'!$C$4))</f>
        <v>0</v>
      </c>
      <c r="E120" s="52">
        <f t="shared" ca="1" si="442"/>
        <v>0</v>
      </c>
      <c r="F120" s="52">
        <f t="shared" ref="F120:AK120" si="458">IFERROR(IF(F$28="FALSE",0,$C$120/$C$8),0)</f>
        <v>0</v>
      </c>
      <c r="G120" s="52">
        <f t="shared" si="458"/>
        <v>0</v>
      </c>
      <c r="H120" s="52">
        <f t="shared" si="458"/>
        <v>0</v>
      </c>
      <c r="I120" s="52">
        <f t="shared" si="458"/>
        <v>0</v>
      </c>
      <c r="J120" s="52">
        <f t="shared" si="458"/>
        <v>0</v>
      </c>
      <c r="K120" s="52">
        <f t="shared" si="458"/>
        <v>0</v>
      </c>
      <c r="L120" s="52">
        <f t="shared" si="458"/>
        <v>0</v>
      </c>
      <c r="M120" s="52">
        <f t="shared" si="458"/>
        <v>0</v>
      </c>
      <c r="N120" s="52">
        <f t="shared" si="458"/>
        <v>0</v>
      </c>
      <c r="O120" s="52">
        <f t="shared" si="458"/>
        <v>0</v>
      </c>
      <c r="P120" s="52">
        <f t="shared" si="458"/>
        <v>0</v>
      </c>
      <c r="Q120" s="52">
        <f t="shared" si="458"/>
        <v>0</v>
      </c>
      <c r="R120" s="52">
        <f t="shared" si="458"/>
        <v>0</v>
      </c>
      <c r="S120" s="52">
        <f t="shared" si="458"/>
        <v>0</v>
      </c>
      <c r="T120" s="52">
        <f t="shared" si="458"/>
        <v>0</v>
      </c>
      <c r="U120" s="52">
        <f t="shared" si="458"/>
        <v>0</v>
      </c>
      <c r="V120" s="52">
        <f t="shared" si="458"/>
        <v>0</v>
      </c>
      <c r="W120" s="52">
        <f t="shared" si="458"/>
        <v>0</v>
      </c>
      <c r="X120" s="52">
        <f t="shared" si="458"/>
        <v>0</v>
      </c>
      <c r="Y120" s="52">
        <f t="shared" si="458"/>
        <v>0</v>
      </c>
      <c r="Z120" s="52">
        <f t="shared" si="458"/>
        <v>0</v>
      </c>
      <c r="AA120" s="52">
        <f t="shared" si="458"/>
        <v>0</v>
      </c>
      <c r="AB120" s="52">
        <f t="shared" si="458"/>
        <v>0</v>
      </c>
      <c r="AC120" s="52">
        <f t="shared" si="458"/>
        <v>0</v>
      </c>
      <c r="AD120" s="52">
        <f t="shared" si="458"/>
        <v>0</v>
      </c>
      <c r="AE120" s="52">
        <f t="shared" si="458"/>
        <v>0</v>
      </c>
      <c r="AF120" s="52">
        <f t="shared" si="458"/>
        <v>0</v>
      </c>
      <c r="AG120" s="52">
        <f t="shared" si="458"/>
        <v>0</v>
      </c>
      <c r="AH120" s="52">
        <f t="shared" si="458"/>
        <v>0</v>
      </c>
      <c r="AI120" s="52">
        <f t="shared" si="458"/>
        <v>0</v>
      </c>
      <c r="AJ120" s="52">
        <f t="shared" si="458"/>
        <v>0</v>
      </c>
      <c r="AK120" s="52">
        <f t="shared" si="458"/>
        <v>0</v>
      </c>
      <c r="AL120" s="52">
        <f t="shared" ref="AL120:BQ120" si="459">IFERROR(IF(AL$28="FALSE",0,$C$120/$C$8),0)</f>
        <v>0</v>
      </c>
      <c r="AM120" s="52">
        <f t="shared" si="459"/>
        <v>0</v>
      </c>
      <c r="AN120" s="52">
        <f t="shared" si="459"/>
        <v>0</v>
      </c>
      <c r="AO120" s="52">
        <f t="shared" si="459"/>
        <v>0</v>
      </c>
      <c r="AP120" s="52">
        <f t="shared" si="459"/>
        <v>0</v>
      </c>
      <c r="AQ120" s="52">
        <f t="shared" si="459"/>
        <v>0</v>
      </c>
      <c r="AR120" s="52">
        <f t="shared" si="459"/>
        <v>0</v>
      </c>
      <c r="AS120" s="52">
        <f t="shared" si="459"/>
        <v>0</v>
      </c>
      <c r="AT120" s="52">
        <f t="shared" si="459"/>
        <v>0</v>
      </c>
      <c r="AU120" s="52">
        <f t="shared" si="459"/>
        <v>0</v>
      </c>
      <c r="AV120" s="52">
        <f t="shared" si="459"/>
        <v>0</v>
      </c>
      <c r="AW120" s="52">
        <f t="shared" si="459"/>
        <v>0</v>
      </c>
      <c r="AX120" s="52">
        <f t="shared" si="459"/>
        <v>0</v>
      </c>
      <c r="AY120" s="52">
        <f t="shared" si="459"/>
        <v>0</v>
      </c>
      <c r="AZ120" s="52">
        <f t="shared" si="459"/>
        <v>0</v>
      </c>
      <c r="BA120" s="52">
        <f t="shared" si="459"/>
        <v>0</v>
      </c>
      <c r="BB120" s="52">
        <f t="shared" si="459"/>
        <v>0</v>
      </c>
      <c r="BC120" s="52">
        <f t="shared" si="459"/>
        <v>0</v>
      </c>
      <c r="BD120" s="52">
        <f t="shared" si="459"/>
        <v>0</v>
      </c>
      <c r="BE120" s="52">
        <f t="shared" si="459"/>
        <v>0</v>
      </c>
      <c r="BF120" s="52">
        <f t="shared" si="459"/>
        <v>0</v>
      </c>
      <c r="BG120" s="52">
        <f t="shared" si="459"/>
        <v>0</v>
      </c>
      <c r="BH120" s="52">
        <f t="shared" si="459"/>
        <v>0</v>
      </c>
      <c r="BI120" s="52">
        <f t="shared" si="459"/>
        <v>0</v>
      </c>
      <c r="BJ120" s="52">
        <f t="shared" si="459"/>
        <v>0</v>
      </c>
      <c r="BK120" s="52">
        <f t="shared" si="459"/>
        <v>0</v>
      </c>
      <c r="BL120" s="52">
        <f t="shared" si="459"/>
        <v>0</v>
      </c>
      <c r="BM120" s="52">
        <f t="shared" si="459"/>
        <v>0</v>
      </c>
      <c r="BN120" s="52">
        <f t="shared" si="459"/>
        <v>0</v>
      </c>
      <c r="BO120" s="52">
        <f t="shared" si="459"/>
        <v>0</v>
      </c>
      <c r="BP120" s="52">
        <f t="shared" si="459"/>
        <v>0</v>
      </c>
      <c r="BQ120" s="52">
        <f t="shared" si="459"/>
        <v>0</v>
      </c>
      <c r="BR120" s="52">
        <f t="shared" ref="BR120:CW120" si="460">IFERROR(IF(BR$28="FALSE",0,$C$120/$C$8),0)</f>
        <v>0</v>
      </c>
      <c r="BS120" s="52">
        <f t="shared" si="460"/>
        <v>0</v>
      </c>
      <c r="BT120" s="52">
        <f t="shared" si="460"/>
        <v>0</v>
      </c>
      <c r="BU120" s="52">
        <f t="shared" si="460"/>
        <v>0</v>
      </c>
      <c r="BV120" s="52">
        <f t="shared" si="460"/>
        <v>0</v>
      </c>
      <c r="BW120" s="52">
        <f t="shared" si="460"/>
        <v>0</v>
      </c>
      <c r="BX120" s="52">
        <f t="shared" si="460"/>
        <v>0</v>
      </c>
      <c r="BY120" s="52">
        <f t="shared" si="460"/>
        <v>0</v>
      </c>
      <c r="BZ120" s="52">
        <f t="shared" si="460"/>
        <v>0</v>
      </c>
      <c r="CA120" s="52">
        <f t="shared" si="460"/>
        <v>0</v>
      </c>
      <c r="CB120" s="52">
        <f t="shared" si="460"/>
        <v>0</v>
      </c>
      <c r="CC120" s="52">
        <f t="shared" si="460"/>
        <v>0</v>
      </c>
      <c r="CD120" s="52">
        <f t="shared" si="460"/>
        <v>0</v>
      </c>
      <c r="CE120" s="52">
        <f t="shared" si="460"/>
        <v>0</v>
      </c>
      <c r="CF120" s="52">
        <f t="shared" si="460"/>
        <v>0</v>
      </c>
      <c r="CG120" s="52">
        <f t="shared" si="460"/>
        <v>0</v>
      </c>
      <c r="CH120" s="52">
        <f t="shared" si="460"/>
        <v>0</v>
      </c>
      <c r="CI120" s="52">
        <f t="shared" si="460"/>
        <v>0</v>
      </c>
      <c r="CJ120" s="52">
        <f t="shared" si="460"/>
        <v>0</v>
      </c>
      <c r="CK120" s="52">
        <f t="shared" si="460"/>
        <v>0</v>
      </c>
      <c r="CL120" s="52">
        <f t="shared" si="460"/>
        <v>0</v>
      </c>
      <c r="CM120" s="52">
        <f t="shared" si="460"/>
        <v>0</v>
      </c>
      <c r="CN120" s="52">
        <f t="shared" si="460"/>
        <v>0</v>
      </c>
      <c r="CO120" s="52">
        <f t="shared" si="460"/>
        <v>0</v>
      </c>
      <c r="CP120" s="52">
        <f t="shared" si="460"/>
        <v>0</v>
      </c>
      <c r="CQ120" s="52">
        <f t="shared" si="460"/>
        <v>0</v>
      </c>
      <c r="CR120" s="52">
        <f t="shared" si="460"/>
        <v>0</v>
      </c>
      <c r="CS120" s="52">
        <f t="shared" si="460"/>
        <v>0</v>
      </c>
      <c r="CT120" s="52">
        <f t="shared" si="460"/>
        <v>0</v>
      </c>
      <c r="CU120" s="52">
        <f t="shared" si="460"/>
        <v>0</v>
      </c>
      <c r="CV120" s="52">
        <f t="shared" si="460"/>
        <v>0</v>
      </c>
      <c r="CW120" s="52">
        <f t="shared" si="460"/>
        <v>0</v>
      </c>
      <c r="CX120" s="52">
        <f t="shared" ref="CX120:EC120" si="461">IFERROR(IF(CX$28="FALSE",0,$C$120/$C$8),0)</f>
        <v>0</v>
      </c>
      <c r="CY120" s="52">
        <f t="shared" si="461"/>
        <v>0</v>
      </c>
      <c r="CZ120" s="52">
        <f t="shared" si="461"/>
        <v>0</v>
      </c>
      <c r="DA120" s="52">
        <f t="shared" si="461"/>
        <v>0</v>
      </c>
      <c r="DB120" s="52">
        <f t="shared" si="461"/>
        <v>0</v>
      </c>
      <c r="DC120" s="52">
        <f t="shared" si="461"/>
        <v>0</v>
      </c>
      <c r="DD120" s="52">
        <f t="shared" si="461"/>
        <v>0</v>
      </c>
      <c r="DE120" s="52">
        <f t="shared" si="461"/>
        <v>0</v>
      </c>
      <c r="DF120" s="52">
        <f t="shared" si="461"/>
        <v>0</v>
      </c>
      <c r="DG120" s="52">
        <f t="shared" si="461"/>
        <v>0</v>
      </c>
      <c r="DH120" s="52">
        <f t="shared" si="461"/>
        <v>0</v>
      </c>
      <c r="DI120" s="52">
        <f t="shared" si="461"/>
        <v>0</v>
      </c>
      <c r="DJ120" s="52">
        <f t="shared" si="461"/>
        <v>0</v>
      </c>
      <c r="DK120" s="52">
        <f t="shared" si="461"/>
        <v>0</v>
      </c>
      <c r="DL120" s="52">
        <f t="shared" si="461"/>
        <v>0</v>
      </c>
      <c r="DM120" s="52">
        <f t="shared" si="461"/>
        <v>0</v>
      </c>
      <c r="DN120" s="52">
        <f t="shared" si="461"/>
        <v>0</v>
      </c>
      <c r="DO120" s="52">
        <f t="shared" si="461"/>
        <v>0</v>
      </c>
      <c r="DP120" s="52">
        <f t="shared" si="461"/>
        <v>0</v>
      </c>
      <c r="DQ120" s="52">
        <f t="shared" si="461"/>
        <v>0</v>
      </c>
      <c r="DR120" s="52">
        <f t="shared" si="461"/>
        <v>0</v>
      </c>
      <c r="DS120" s="52">
        <f t="shared" si="461"/>
        <v>0</v>
      </c>
      <c r="DT120" s="52">
        <f t="shared" si="461"/>
        <v>0</v>
      </c>
      <c r="DU120" s="52">
        <f t="shared" si="461"/>
        <v>0</v>
      </c>
      <c r="DV120" s="52">
        <f t="shared" si="461"/>
        <v>0</v>
      </c>
      <c r="DW120" s="52">
        <f t="shared" si="461"/>
        <v>0</v>
      </c>
      <c r="DX120" s="52">
        <f t="shared" si="461"/>
        <v>0</v>
      </c>
      <c r="DY120" s="52">
        <f t="shared" si="461"/>
        <v>0</v>
      </c>
      <c r="DZ120" s="52">
        <f t="shared" si="461"/>
        <v>0</v>
      </c>
      <c r="EA120" s="52">
        <f t="shared" si="461"/>
        <v>0</v>
      </c>
      <c r="EB120" s="52">
        <f t="shared" si="461"/>
        <v>0</v>
      </c>
      <c r="EC120" s="52">
        <f t="shared" si="461"/>
        <v>0</v>
      </c>
      <c r="ED120" s="52">
        <f t="shared" ref="ED120:FD120" si="462">IFERROR(IF(ED$28="FALSE",0,$C$120/$C$8),0)</f>
        <v>0</v>
      </c>
      <c r="EE120" s="52">
        <f t="shared" si="462"/>
        <v>0</v>
      </c>
      <c r="EF120" s="52">
        <f t="shared" si="462"/>
        <v>0</v>
      </c>
      <c r="EG120" s="52">
        <f t="shared" si="462"/>
        <v>0</v>
      </c>
      <c r="EH120" s="52">
        <f t="shared" si="462"/>
        <v>0</v>
      </c>
      <c r="EI120" s="52">
        <f t="shared" si="462"/>
        <v>0</v>
      </c>
      <c r="EJ120" s="52">
        <f t="shared" si="462"/>
        <v>0</v>
      </c>
      <c r="EK120" s="52">
        <f t="shared" si="462"/>
        <v>0</v>
      </c>
      <c r="EL120" s="52">
        <f t="shared" si="462"/>
        <v>0</v>
      </c>
      <c r="EM120" s="52">
        <f t="shared" si="462"/>
        <v>0</v>
      </c>
      <c r="EN120" s="52">
        <f t="shared" si="462"/>
        <v>0</v>
      </c>
      <c r="EO120" s="52">
        <f t="shared" si="462"/>
        <v>0</v>
      </c>
      <c r="EP120" s="52">
        <f t="shared" si="462"/>
        <v>0</v>
      </c>
      <c r="EQ120" s="52">
        <f t="shared" si="462"/>
        <v>0</v>
      </c>
      <c r="ER120" s="52">
        <f t="shared" si="462"/>
        <v>0</v>
      </c>
      <c r="ES120" s="52">
        <f t="shared" si="462"/>
        <v>0</v>
      </c>
      <c r="ET120" s="52">
        <f t="shared" si="462"/>
        <v>0</v>
      </c>
      <c r="EU120" s="52">
        <f t="shared" si="462"/>
        <v>0</v>
      </c>
      <c r="EV120" s="52">
        <f t="shared" si="462"/>
        <v>0</v>
      </c>
      <c r="EW120" s="52">
        <f t="shared" si="462"/>
        <v>0</v>
      </c>
      <c r="EX120" s="52">
        <f t="shared" si="462"/>
        <v>0</v>
      </c>
      <c r="EY120" s="52">
        <f t="shared" si="462"/>
        <v>0</v>
      </c>
      <c r="EZ120" s="52">
        <f t="shared" si="462"/>
        <v>0</v>
      </c>
      <c r="FA120" s="52">
        <f t="shared" si="462"/>
        <v>0</v>
      </c>
      <c r="FB120" s="52">
        <f t="shared" si="462"/>
        <v>0</v>
      </c>
      <c r="FC120" s="52">
        <f t="shared" si="462"/>
        <v>0</v>
      </c>
      <c r="FD120" s="52">
        <f t="shared" si="462"/>
        <v>0</v>
      </c>
    </row>
    <row r="121" spans="2:160">
      <c r="B121" s="51" t="s">
        <v>204</v>
      </c>
      <c r="C121" s="52">
        <f ca="1">IF(Startup!$C$3="Project",SUMIF(Startup!$C$7:$D$27,Overview!B121,Startup!$D$7:$D$27),(SUMIF(Startup!$C$7:$D$27,Overview!B121,Startup!$D$7:$D$27)*Startup!$C$4))+IF(Pilot!$C$3="Project",SUMIF(Pilot!$C$7:$D$27,Overview!B121,Pilot!$D$7:$D$27),(SUMIF(Pilot!$C$7:$D$27,Overview!B121,Pilot!$D$7:$D$27)*Pilot!$C$4))+IF(PMO!$C$3="Project",SUMIF(PMO!$C$7:$D$27,Overview!B121,PMO!$D$7:$D$27),(SUMIF(PMO!$C$7:$D$27,Overview!B121,PMO!$D$7:$D$27)*PMO!$C$4))+IF('Design &amp; Fulfillment'!$C$3="Project",SUMIF('Design &amp; Fulfillment'!$C$7:$D$27,Overview!B121,'Design &amp; Fulfillment'!$D$7:$D$27),(SUMIF('Design &amp; Fulfillment'!$C$7:$D$27,Overview!B121,'Design &amp; Fulfillment'!$D$7:$D$27)*'Design &amp; Fulfillment'!$C$4))+IF(Workplace!$C$3="Project",SUMIF(Workplace!$C$7:$D$27,Overview!B121,Workplace!$D$7:$D$27),(SUMIF(Workplace!$C$7:$D$27,Overview!B121,Workplace!$D$7:$D$27)*Workplace!$C$4))+IF(Integration!$C$3="Project",SUMIF(Integration!$C$7:$D$27,Overview!B121,Integration!$D$7:$D$27),(SUMIF(Integration!$C$7:$D$27,Overview!B121,Integration!$D$7:$D$27)*Integration!$C$4))+IF(Logistics!$C$3="Project",SUMIF(Logistics!$C$7:$D$27,Overview!B121,Logistics!$D$7:$D$27),(SUMIF(Logistics!$C$7:$D$27,Overview!B121,Logistics!$D$7:$D$27)*Logistics!$C$4))+IF('Service Desk'!$C$3="Project",SUMIF('Service Desk'!$C$7:$D$27,Overview!B121,'Service Desk'!$D$7:$D$27),(SUMIF('Service Desk'!$C$7:$D$27,Overview!B121,'Service Desk'!$D$7:$D$27)*'Service Desk'!$C$4))+IF('Pro Services'!$C$3="Project",SUMIF('Pro Services'!$C$7:$D$27,Overview!B121,'Pro Services'!$D$7:$D$27),(SUMIF('Pro Services'!$C$7:$D$27,Overview!B121,'Pro Services'!$D$7:$D$27)*'Pro Services'!$C$4))</f>
        <v>0</v>
      </c>
      <c r="D121" s="53">
        <f ca="1">IF(Startup!$C$3="Project",SUMIF(Startup!$C$7:$H$27,Overview!B121,Startup!$H$7:$H$27),(SUMIF(Startup!$C$7:$H$27,Overview!B121,Startup!$H$7:$H$27)*Startup!$C$4))+IF(Pilot!$C$3="Project",SUMIF(Pilot!$C$7:$H$27,Overview!B121,Pilot!$H$7:$H$27),(SUMIF(Pilot!$C$7:$H$27,Overview!B121,Pilot!$H$7:$H$27)*Pilot!$C$4))+IF(PMO!$C$3="Project",SUMIF(PMO!$C$7:$H$27,Overview!B121,PMO!$H$7:$H$27),(SUMIF(PMO!$C$7:$H$27,Overview!B121,PMO!$H$7:$H$27)*PMO!$C$4))+IF('Design &amp; Fulfillment'!$C$3="Project",SUMIF('Design &amp; Fulfillment'!$C$7:$H$27,Overview!B121,'Design &amp; Fulfillment'!$H$7:$H$27),(SUMIF('Design &amp; Fulfillment'!$C$7:$H$27,Overview!B121,'Design &amp; Fulfillment'!$H$7:$H$27)*'Design &amp; Fulfillment'!$C$4))+IF(Workplace!$C$3="Project",SUMIF(Workplace!$C$7:$H$27,Overview!B121,Workplace!$H$7:$H$27),(SUMIF(Workplace!$C$7:$H$27,Overview!B121,Workplace!$H$7:$H$27)*Workplace!$C$4))+IF(Integration!$C$3="Project",SUMIF(Integration!$C$7:$H$27,Overview!B121,Integration!$H$7:$H$27),(SUMIF(Integration!$C$7:$H$27,Overview!B121,Integration!$H$7:$H$27)*Integration!$C$4))+IF(Logistics!$C$3="Project",SUMIF(Logistics!$C$7:$H$27,Overview!B121,Logistics!$H$7:$H$27),(SUMIF(Logistics!$C$7:$H$27,Overview!B121,Logistics!$H$7:$H$27)*Logistics!$C$4))+IF('Service Desk'!$C$3="Project",SUMIF('Service Desk'!$C$7:$H$27,Overview!B121,'Service Desk'!$H$7:$H$27),(SUMIF('Service Desk'!$C$7:$H$27,Overview!B121,'Service Desk'!$H$7:$H$27)*'Service Desk'!$C$4))+IF('Pro Services'!$C$3="Project",SUMIF('Pro Services'!$C$7:$H$27,Overview!B121,'Pro Services'!$H$7:$H$27),(SUMIF('Pro Services'!$C$7:$H$27,Overview!B121,'Pro Services'!$H$7:$H$27)*'Pro Services'!$C$4))</f>
        <v>0</v>
      </c>
      <c r="E121" s="52">
        <f t="shared" ca="1" si="442"/>
        <v>0</v>
      </c>
      <c r="F121" s="52">
        <f t="shared" ref="F121:AK121" si="463">IFERROR(IF(F$28="FALSE",0,$C$121/$C$8),0)</f>
        <v>0</v>
      </c>
      <c r="G121" s="52">
        <f t="shared" si="463"/>
        <v>0</v>
      </c>
      <c r="H121" s="52">
        <f t="shared" si="463"/>
        <v>0</v>
      </c>
      <c r="I121" s="52">
        <f t="shared" si="463"/>
        <v>0</v>
      </c>
      <c r="J121" s="52">
        <f t="shared" si="463"/>
        <v>0</v>
      </c>
      <c r="K121" s="52">
        <f t="shared" si="463"/>
        <v>0</v>
      </c>
      <c r="L121" s="52">
        <f t="shared" si="463"/>
        <v>0</v>
      </c>
      <c r="M121" s="52">
        <f t="shared" si="463"/>
        <v>0</v>
      </c>
      <c r="N121" s="52">
        <f t="shared" si="463"/>
        <v>0</v>
      </c>
      <c r="O121" s="52">
        <f t="shared" si="463"/>
        <v>0</v>
      </c>
      <c r="P121" s="52">
        <f t="shared" si="463"/>
        <v>0</v>
      </c>
      <c r="Q121" s="52">
        <f t="shared" si="463"/>
        <v>0</v>
      </c>
      <c r="R121" s="52">
        <f t="shared" si="463"/>
        <v>0</v>
      </c>
      <c r="S121" s="52">
        <f t="shared" si="463"/>
        <v>0</v>
      </c>
      <c r="T121" s="52">
        <f t="shared" si="463"/>
        <v>0</v>
      </c>
      <c r="U121" s="52">
        <f t="shared" si="463"/>
        <v>0</v>
      </c>
      <c r="V121" s="52">
        <f t="shared" si="463"/>
        <v>0</v>
      </c>
      <c r="W121" s="52">
        <f t="shared" si="463"/>
        <v>0</v>
      </c>
      <c r="X121" s="52">
        <f t="shared" si="463"/>
        <v>0</v>
      </c>
      <c r="Y121" s="52">
        <f t="shared" si="463"/>
        <v>0</v>
      </c>
      <c r="Z121" s="52">
        <f t="shared" si="463"/>
        <v>0</v>
      </c>
      <c r="AA121" s="52">
        <f t="shared" si="463"/>
        <v>0</v>
      </c>
      <c r="AB121" s="52">
        <f t="shared" si="463"/>
        <v>0</v>
      </c>
      <c r="AC121" s="52">
        <f t="shared" si="463"/>
        <v>0</v>
      </c>
      <c r="AD121" s="52">
        <f t="shared" si="463"/>
        <v>0</v>
      </c>
      <c r="AE121" s="52">
        <f t="shared" si="463"/>
        <v>0</v>
      </c>
      <c r="AF121" s="52">
        <f t="shared" si="463"/>
        <v>0</v>
      </c>
      <c r="AG121" s="52">
        <f t="shared" si="463"/>
        <v>0</v>
      </c>
      <c r="AH121" s="52">
        <f t="shared" si="463"/>
        <v>0</v>
      </c>
      <c r="AI121" s="52">
        <f t="shared" si="463"/>
        <v>0</v>
      </c>
      <c r="AJ121" s="52">
        <f t="shared" si="463"/>
        <v>0</v>
      </c>
      <c r="AK121" s="52">
        <f t="shared" si="463"/>
        <v>0</v>
      </c>
      <c r="AL121" s="52">
        <f t="shared" ref="AL121:BQ121" si="464">IFERROR(IF(AL$28="FALSE",0,$C$121/$C$8),0)</f>
        <v>0</v>
      </c>
      <c r="AM121" s="52">
        <f t="shared" si="464"/>
        <v>0</v>
      </c>
      <c r="AN121" s="52">
        <f t="shared" si="464"/>
        <v>0</v>
      </c>
      <c r="AO121" s="52">
        <f t="shared" si="464"/>
        <v>0</v>
      </c>
      <c r="AP121" s="52">
        <f t="shared" si="464"/>
        <v>0</v>
      </c>
      <c r="AQ121" s="52">
        <f t="shared" si="464"/>
        <v>0</v>
      </c>
      <c r="AR121" s="52">
        <f t="shared" si="464"/>
        <v>0</v>
      </c>
      <c r="AS121" s="52">
        <f t="shared" si="464"/>
        <v>0</v>
      </c>
      <c r="AT121" s="52">
        <f t="shared" si="464"/>
        <v>0</v>
      </c>
      <c r="AU121" s="52">
        <f t="shared" si="464"/>
        <v>0</v>
      </c>
      <c r="AV121" s="52">
        <f t="shared" si="464"/>
        <v>0</v>
      </c>
      <c r="AW121" s="52">
        <f t="shared" si="464"/>
        <v>0</v>
      </c>
      <c r="AX121" s="52">
        <f t="shared" si="464"/>
        <v>0</v>
      </c>
      <c r="AY121" s="52">
        <f t="shared" si="464"/>
        <v>0</v>
      </c>
      <c r="AZ121" s="52">
        <f t="shared" si="464"/>
        <v>0</v>
      </c>
      <c r="BA121" s="52">
        <f t="shared" si="464"/>
        <v>0</v>
      </c>
      <c r="BB121" s="52">
        <f t="shared" si="464"/>
        <v>0</v>
      </c>
      <c r="BC121" s="52">
        <f t="shared" si="464"/>
        <v>0</v>
      </c>
      <c r="BD121" s="52">
        <f t="shared" si="464"/>
        <v>0</v>
      </c>
      <c r="BE121" s="52">
        <f t="shared" si="464"/>
        <v>0</v>
      </c>
      <c r="BF121" s="52">
        <f t="shared" si="464"/>
        <v>0</v>
      </c>
      <c r="BG121" s="52">
        <f t="shared" si="464"/>
        <v>0</v>
      </c>
      <c r="BH121" s="52">
        <f t="shared" si="464"/>
        <v>0</v>
      </c>
      <c r="BI121" s="52">
        <f t="shared" si="464"/>
        <v>0</v>
      </c>
      <c r="BJ121" s="52">
        <f t="shared" si="464"/>
        <v>0</v>
      </c>
      <c r="BK121" s="52">
        <f t="shared" si="464"/>
        <v>0</v>
      </c>
      <c r="BL121" s="52">
        <f t="shared" si="464"/>
        <v>0</v>
      </c>
      <c r="BM121" s="52">
        <f t="shared" si="464"/>
        <v>0</v>
      </c>
      <c r="BN121" s="52">
        <f t="shared" si="464"/>
        <v>0</v>
      </c>
      <c r="BO121" s="52">
        <f t="shared" si="464"/>
        <v>0</v>
      </c>
      <c r="BP121" s="52">
        <f t="shared" si="464"/>
        <v>0</v>
      </c>
      <c r="BQ121" s="52">
        <f t="shared" si="464"/>
        <v>0</v>
      </c>
      <c r="BR121" s="52">
        <f t="shared" ref="BR121:CW121" si="465">IFERROR(IF(BR$28="FALSE",0,$C$121/$C$8),0)</f>
        <v>0</v>
      </c>
      <c r="BS121" s="52">
        <f t="shared" si="465"/>
        <v>0</v>
      </c>
      <c r="BT121" s="52">
        <f t="shared" si="465"/>
        <v>0</v>
      </c>
      <c r="BU121" s="52">
        <f t="shared" si="465"/>
        <v>0</v>
      </c>
      <c r="BV121" s="52">
        <f t="shared" si="465"/>
        <v>0</v>
      </c>
      <c r="BW121" s="52">
        <f t="shared" si="465"/>
        <v>0</v>
      </c>
      <c r="BX121" s="52">
        <f t="shared" si="465"/>
        <v>0</v>
      </c>
      <c r="BY121" s="52">
        <f t="shared" si="465"/>
        <v>0</v>
      </c>
      <c r="BZ121" s="52">
        <f t="shared" si="465"/>
        <v>0</v>
      </c>
      <c r="CA121" s="52">
        <f t="shared" si="465"/>
        <v>0</v>
      </c>
      <c r="CB121" s="52">
        <f t="shared" si="465"/>
        <v>0</v>
      </c>
      <c r="CC121" s="52">
        <f t="shared" si="465"/>
        <v>0</v>
      </c>
      <c r="CD121" s="52">
        <f t="shared" si="465"/>
        <v>0</v>
      </c>
      <c r="CE121" s="52">
        <f t="shared" si="465"/>
        <v>0</v>
      </c>
      <c r="CF121" s="52">
        <f t="shared" si="465"/>
        <v>0</v>
      </c>
      <c r="CG121" s="52">
        <f t="shared" si="465"/>
        <v>0</v>
      </c>
      <c r="CH121" s="52">
        <f t="shared" si="465"/>
        <v>0</v>
      </c>
      <c r="CI121" s="52">
        <f t="shared" si="465"/>
        <v>0</v>
      </c>
      <c r="CJ121" s="52">
        <f t="shared" si="465"/>
        <v>0</v>
      </c>
      <c r="CK121" s="52">
        <f t="shared" si="465"/>
        <v>0</v>
      </c>
      <c r="CL121" s="52">
        <f t="shared" si="465"/>
        <v>0</v>
      </c>
      <c r="CM121" s="52">
        <f t="shared" si="465"/>
        <v>0</v>
      </c>
      <c r="CN121" s="52">
        <f t="shared" si="465"/>
        <v>0</v>
      </c>
      <c r="CO121" s="52">
        <f t="shared" si="465"/>
        <v>0</v>
      </c>
      <c r="CP121" s="52">
        <f t="shared" si="465"/>
        <v>0</v>
      </c>
      <c r="CQ121" s="52">
        <f t="shared" si="465"/>
        <v>0</v>
      </c>
      <c r="CR121" s="52">
        <f t="shared" si="465"/>
        <v>0</v>
      </c>
      <c r="CS121" s="52">
        <f t="shared" si="465"/>
        <v>0</v>
      </c>
      <c r="CT121" s="52">
        <f t="shared" si="465"/>
        <v>0</v>
      </c>
      <c r="CU121" s="52">
        <f t="shared" si="465"/>
        <v>0</v>
      </c>
      <c r="CV121" s="52">
        <f t="shared" si="465"/>
        <v>0</v>
      </c>
      <c r="CW121" s="52">
        <f t="shared" si="465"/>
        <v>0</v>
      </c>
      <c r="CX121" s="52">
        <f t="shared" ref="CX121:EC121" si="466">IFERROR(IF(CX$28="FALSE",0,$C$121/$C$8),0)</f>
        <v>0</v>
      </c>
      <c r="CY121" s="52">
        <f t="shared" si="466"/>
        <v>0</v>
      </c>
      <c r="CZ121" s="52">
        <f t="shared" si="466"/>
        <v>0</v>
      </c>
      <c r="DA121" s="52">
        <f t="shared" si="466"/>
        <v>0</v>
      </c>
      <c r="DB121" s="52">
        <f t="shared" si="466"/>
        <v>0</v>
      </c>
      <c r="DC121" s="52">
        <f t="shared" si="466"/>
        <v>0</v>
      </c>
      <c r="DD121" s="52">
        <f t="shared" si="466"/>
        <v>0</v>
      </c>
      <c r="DE121" s="52">
        <f t="shared" si="466"/>
        <v>0</v>
      </c>
      <c r="DF121" s="52">
        <f t="shared" si="466"/>
        <v>0</v>
      </c>
      <c r="DG121" s="52">
        <f t="shared" si="466"/>
        <v>0</v>
      </c>
      <c r="DH121" s="52">
        <f t="shared" si="466"/>
        <v>0</v>
      </c>
      <c r="DI121" s="52">
        <f t="shared" si="466"/>
        <v>0</v>
      </c>
      <c r="DJ121" s="52">
        <f t="shared" si="466"/>
        <v>0</v>
      </c>
      <c r="DK121" s="52">
        <f t="shared" si="466"/>
        <v>0</v>
      </c>
      <c r="DL121" s="52">
        <f t="shared" si="466"/>
        <v>0</v>
      </c>
      <c r="DM121" s="52">
        <f t="shared" si="466"/>
        <v>0</v>
      </c>
      <c r="DN121" s="52">
        <f t="shared" si="466"/>
        <v>0</v>
      </c>
      <c r="DO121" s="52">
        <f t="shared" si="466"/>
        <v>0</v>
      </c>
      <c r="DP121" s="52">
        <f t="shared" si="466"/>
        <v>0</v>
      </c>
      <c r="DQ121" s="52">
        <f t="shared" si="466"/>
        <v>0</v>
      </c>
      <c r="DR121" s="52">
        <f t="shared" si="466"/>
        <v>0</v>
      </c>
      <c r="DS121" s="52">
        <f t="shared" si="466"/>
        <v>0</v>
      </c>
      <c r="DT121" s="52">
        <f t="shared" si="466"/>
        <v>0</v>
      </c>
      <c r="DU121" s="52">
        <f t="shared" si="466"/>
        <v>0</v>
      </c>
      <c r="DV121" s="52">
        <f t="shared" si="466"/>
        <v>0</v>
      </c>
      <c r="DW121" s="52">
        <f t="shared" si="466"/>
        <v>0</v>
      </c>
      <c r="DX121" s="52">
        <f t="shared" si="466"/>
        <v>0</v>
      </c>
      <c r="DY121" s="52">
        <f t="shared" si="466"/>
        <v>0</v>
      </c>
      <c r="DZ121" s="52">
        <f t="shared" si="466"/>
        <v>0</v>
      </c>
      <c r="EA121" s="52">
        <f t="shared" si="466"/>
        <v>0</v>
      </c>
      <c r="EB121" s="52">
        <f t="shared" si="466"/>
        <v>0</v>
      </c>
      <c r="EC121" s="52">
        <f t="shared" si="466"/>
        <v>0</v>
      </c>
      <c r="ED121" s="52">
        <f t="shared" ref="ED121:FD121" si="467">IFERROR(IF(ED$28="FALSE",0,$C$121/$C$8),0)</f>
        <v>0</v>
      </c>
      <c r="EE121" s="52">
        <f t="shared" si="467"/>
        <v>0</v>
      </c>
      <c r="EF121" s="52">
        <f t="shared" si="467"/>
        <v>0</v>
      </c>
      <c r="EG121" s="52">
        <f t="shared" si="467"/>
        <v>0</v>
      </c>
      <c r="EH121" s="52">
        <f t="shared" si="467"/>
        <v>0</v>
      </c>
      <c r="EI121" s="52">
        <f t="shared" si="467"/>
        <v>0</v>
      </c>
      <c r="EJ121" s="52">
        <f t="shared" si="467"/>
        <v>0</v>
      </c>
      <c r="EK121" s="52">
        <f t="shared" si="467"/>
        <v>0</v>
      </c>
      <c r="EL121" s="52">
        <f t="shared" si="467"/>
        <v>0</v>
      </c>
      <c r="EM121" s="52">
        <f t="shared" si="467"/>
        <v>0</v>
      </c>
      <c r="EN121" s="52">
        <f t="shared" si="467"/>
        <v>0</v>
      </c>
      <c r="EO121" s="52">
        <f t="shared" si="467"/>
        <v>0</v>
      </c>
      <c r="EP121" s="52">
        <f t="shared" si="467"/>
        <v>0</v>
      </c>
      <c r="EQ121" s="52">
        <f t="shared" si="467"/>
        <v>0</v>
      </c>
      <c r="ER121" s="52">
        <f t="shared" si="467"/>
        <v>0</v>
      </c>
      <c r="ES121" s="52">
        <f t="shared" si="467"/>
        <v>0</v>
      </c>
      <c r="ET121" s="52">
        <f t="shared" si="467"/>
        <v>0</v>
      </c>
      <c r="EU121" s="52">
        <f t="shared" si="467"/>
        <v>0</v>
      </c>
      <c r="EV121" s="52">
        <f t="shared" si="467"/>
        <v>0</v>
      </c>
      <c r="EW121" s="52">
        <f t="shared" si="467"/>
        <v>0</v>
      </c>
      <c r="EX121" s="52">
        <f t="shared" si="467"/>
        <v>0</v>
      </c>
      <c r="EY121" s="52">
        <f t="shared" si="467"/>
        <v>0</v>
      </c>
      <c r="EZ121" s="52">
        <f t="shared" si="467"/>
        <v>0</v>
      </c>
      <c r="FA121" s="52">
        <f t="shared" si="467"/>
        <v>0</v>
      </c>
      <c r="FB121" s="52">
        <f t="shared" si="467"/>
        <v>0</v>
      </c>
      <c r="FC121" s="52">
        <f t="shared" si="467"/>
        <v>0</v>
      </c>
      <c r="FD121" s="52">
        <f t="shared" si="467"/>
        <v>0</v>
      </c>
    </row>
    <row r="122" spans="2:160">
      <c r="B122" s="51" t="s">
        <v>205</v>
      </c>
      <c r="C122" s="52">
        <f ca="1">IF(Startup!$C$3="Project",SUMIF(Startup!$C$7:$D$27,Overview!B122,Startup!$D$7:$D$27),(SUMIF(Startup!$C$7:$D$27,Overview!B122,Startup!$D$7:$D$27)*Startup!$C$4))+IF(Pilot!$C$3="Project",SUMIF(Pilot!$C$7:$D$27,Overview!B122,Pilot!$D$7:$D$27),(SUMIF(Pilot!$C$7:$D$27,Overview!B122,Pilot!$D$7:$D$27)*Pilot!$C$4))+IF(PMO!$C$3="Project",SUMIF(PMO!$C$7:$D$27,Overview!B122,PMO!$D$7:$D$27),(SUMIF(PMO!$C$7:$D$27,Overview!B122,PMO!$D$7:$D$27)*PMO!$C$4))+IF('Design &amp; Fulfillment'!$C$3="Project",SUMIF('Design &amp; Fulfillment'!$C$7:$D$27,Overview!B122,'Design &amp; Fulfillment'!$D$7:$D$27),(SUMIF('Design &amp; Fulfillment'!$C$7:$D$27,Overview!B122,'Design &amp; Fulfillment'!$D$7:$D$27)*'Design &amp; Fulfillment'!$C$4))+IF(Workplace!$C$3="Project",SUMIF(Workplace!$C$7:$D$27,Overview!B122,Workplace!$D$7:$D$27),(SUMIF(Workplace!$C$7:$D$27,Overview!B122,Workplace!$D$7:$D$27)*Workplace!$C$4))+IF(Integration!$C$3="Project",SUMIF(Integration!$C$7:$D$27,Overview!B122,Integration!$D$7:$D$27),(SUMIF(Integration!$C$7:$D$27,Overview!B122,Integration!$D$7:$D$27)*Integration!$C$4))+IF(Logistics!$C$3="Project",SUMIF(Logistics!$C$7:$D$27,Overview!B122,Logistics!$D$7:$D$27),(SUMIF(Logistics!$C$7:$D$27,Overview!B122,Logistics!$D$7:$D$27)*Logistics!$C$4))+IF('Service Desk'!$C$3="Project",SUMIF('Service Desk'!$C$7:$D$27,Overview!B122,'Service Desk'!$D$7:$D$27),(SUMIF('Service Desk'!$C$7:$D$27,Overview!B122,'Service Desk'!$D$7:$D$27)*'Service Desk'!$C$4))+IF('Pro Services'!$C$3="Project",SUMIF('Pro Services'!$C$7:$D$27,Overview!B122,'Pro Services'!$D$7:$D$27),(SUMIF('Pro Services'!$C$7:$D$27,Overview!B122,'Pro Services'!$D$7:$D$27)*'Pro Services'!$C$4))</f>
        <v>0</v>
      </c>
      <c r="D122" s="53">
        <f ca="1">IF(Startup!$C$3="Project",SUMIF(Startup!$C$7:$H$27,Overview!B122,Startup!$H$7:$H$27),(SUMIF(Startup!$C$7:$H$27,Overview!B122,Startup!$H$7:$H$27)*Startup!$C$4))+IF(Pilot!$C$3="Project",SUMIF(Pilot!$C$7:$H$27,Overview!B122,Pilot!$H$7:$H$27),(SUMIF(Pilot!$C$7:$H$27,Overview!B122,Pilot!$H$7:$H$27)*Pilot!$C$4))+IF(PMO!$C$3="Project",SUMIF(PMO!$C$7:$H$27,Overview!B122,PMO!$H$7:$H$27),(SUMIF(PMO!$C$7:$H$27,Overview!B122,PMO!$H$7:$H$27)*PMO!$C$4))+IF('Design &amp; Fulfillment'!$C$3="Project",SUMIF('Design &amp; Fulfillment'!$C$7:$H$27,Overview!B122,'Design &amp; Fulfillment'!$H$7:$H$27),(SUMIF('Design &amp; Fulfillment'!$C$7:$H$27,Overview!B122,'Design &amp; Fulfillment'!$H$7:$H$27)*'Design &amp; Fulfillment'!$C$4))+IF(Workplace!$C$3="Project",SUMIF(Workplace!$C$7:$H$27,Overview!B122,Workplace!$H$7:$H$27),(SUMIF(Workplace!$C$7:$H$27,Overview!B122,Workplace!$H$7:$H$27)*Workplace!$C$4))+IF(Integration!$C$3="Project",SUMIF(Integration!$C$7:$H$27,Overview!B122,Integration!$H$7:$H$27),(SUMIF(Integration!$C$7:$H$27,Overview!B122,Integration!$H$7:$H$27)*Integration!$C$4))+IF(Logistics!$C$3="Project",SUMIF(Logistics!$C$7:$H$27,Overview!B122,Logistics!$H$7:$H$27),(SUMIF(Logistics!$C$7:$H$27,Overview!B122,Logistics!$H$7:$H$27)*Logistics!$C$4))+IF('Service Desk'!$C$3="Project",SUMIF('Service Desk'!$C$7:$H$27,Overview!B122,'Service Desk'!$H$7:$H$27),(SUMIF('Service Desk'!$C$7:$H$27,Overview!B122,'Service Desk'!$H$7:$H$27)*'Service Desk'!$C$4))+IF('Pro Services'!$C$3="Project",SUMIF('Pro Services'!$C$7:$H$27,Overview!B122,'Pro Services'!$H$7:$H$27),(SUMIF('Pro Services'!$C$7:$H$27,Overview!B122,'Pro Services'!$H$7:$H$27)*'Pro Services'!$C$4))</f>
        <v>0</v>
      </c>
      <c r="E122" s="52">
        <f t="shared" ca="1" si="442"/>
        <v>0</v>
      </c>
      <c r="F122" s="52">
        <f t="shared" ref="F122:AK122" si="468">IFERROR(IF(F$28="FALSE",0,$C$122/$C$8),0)</f>
        <v>0</v>
      </c>
      <c r="G122" s="52">
        <f t="shared" si="468"/>
        <v>0</v>
      </c>
      <c r="H122" s="52">
        <f t="shared" si="468"/>
        <v>0</v>
      </c>
      <c r="I122" s="52">
        <f t="shared" si="468"/>
        <v>0</v>
      </c>
      <c r="J122" s="52">
        <f t="shared" si="468"/>
        <v>0</v>
      </c>
      <c r="K122" s="52">
        <f t="shared" si="468"/>
        <v>0</v>
      </c>
      <c r="L122" s="52">
        <f t="shared" si="468"/>
        <v>0</v>
      </c>
      <c r="M122" s="52">
        <f t="shared" si="468"/>
        <v>0</v>
      </c>
      <c r="N122" s="52">
        <f t="shared" si="468"/>
        <v>0</v>
      </c>
      <c r="O122" s="52">
        <f t="shared" si="468"/>
        <v>0</v>
      </c>
      <c r="P122" s="52">
        <f t="shared" si="468"/>
        <v>0</v>
      </c>
      <c r="Q122" s="52">
        <f t="shared" si="468"/>
        <v>0</v>
      </c>
      <c r="R122" s="52">
        <f t="shared" si="468"/>
        <v>0</v>
      </c>
      <c r="S122" s="52">
        <f t="shared" si="468"/>
        <v>0</v>
      </c>
      <c r="T122" s="52">
        <f t="shared" si="468"/>
        <v>0</v>
      </c>
      <c r="U122" s="52">
        <f t="shared" si="468"/>
        <v>0</v>
      </c>
      <c r="V122" s="52">
        <f t="shared" si="468"/>
        <v>0</v>
      </c>
      <c r="W122" s="52">
        <f t="shared" si="468"/>
        <v>0</v>
      </c>
      <c r="X122" s="52">
        <f t="shared" si="468"/>
        <v>0</v>
      </c>
      <c r="Y122" s="52">
        <f t="shared" si="468"/>
        <v>0</v>
      </c>
      <c r="Z122" s="52">
        <f t="shared" si="468"/>
        <v>0</v>
      </c>
      <c r="AA122" s="52">
        <f t="shared" si="468"/>
        <v>0</v>
      </c>
      <c r="AB122" s="52">
        <f t="shared" si="468"/>
        <v>0</v>
      </c>
      <c r="AC122" s="52">
        <f t="shared" si="468"/>
        <v>0</v>
      </c>
      <c r="AD122" s="52">
        <f t="shared" si="468"/>
        <v>0</v>
      </c>
      <c r="AE122" s="52">
        <f t="shared" si="468"/>
        <v>0</v>
      </c>
      <c r="AF122" s="52">
        <f t="shared" si="468"/>
        <v>0</v>
      </c>
      <c r="AG122" s="52">
        <f t="shared" si="468"/>
        <v>0</v>
      </c>
      <c r="AH122" s="52">
        <f t="shared" si="468"/>
        <v>0</v>
      </c>
      <c r="AI122" s="52">
        <f t="shared" si="468"/>
        <v>0</v>
      </c>
      <c r="AJ122" s="52">
        <f t="shared" si="468"/>
        <v>0</v>
      </c>
      <c r="AK122" s="52">
        <f t="shared" si="468"/>
        <v>0</v>
      </c>
      <c r="AL122" s="52">
        <f t="shared" ref="AL122:BQ122" si="469">IFERROR(IF(AL$28="FALSE",0,$C$122/$C$8),0)</f>
        <v>0</v>
      </c>
      <c r="AM122" s="52">
        <f t="shared" si="469"/>
        <v>0</v>
      </c>
      <c r="AN122" s="52">
        <f t="shared" si="469"/>
        <v>0</v>
      </c>
      <c r="AO122" s="52">
        <f t="shared" si="469"/>
        <v>0</v>
      </c>
      <c r="AP122" s="52">
        <f t="shared" si="469"/>
        <v>0</v>
      </c>
      <c r="AQ122" s="52">
        <f t="shared" si="469"/>
        <v>0</v>
      </c>
      <c r="AR122" s="52">
        <f t="shared" si="469"/>
        <v>0</v>
      </c>
      <c r="AS122" s="52">
        <f t="shared" si="469"/>
        <v>0</v>
      </c>
      <c r="AT122" s="52">
        <f t="shared" si="469"/>
        <v>0</v>
      </c>
      <c r="AU122" s="52">
        <f t="shared" si="469"/>
        <v>0</v>
      </c>
      <c r="AV122" s="52">
        <f t="shared" si="469"/>
        <v>0</v>
      </c>
      <c r="AW122" s="52">
        <f t="shared" si="469"/>
        <v>0</v>
      </c>
      <c r="AX122" s="52">
        <f t="shared" si="469"/>
        <v>0</v>
      </c>
      <c r="AY122" s="52">
        <f t="shared" si="469"/>
        <v>0</v>
      </c>
      <c r="AZ122" s="52">
        <f t="shared" si="469"/>
        <v>0</v>
      </c>
      <c r="BA122" s="52">
        <f t="shared" si="469"/>
        <v>0</v>
      </c>
      <c r="BB122" s="52">
        <f t="shared" si="469"/>
        <v>0</v>
      </c>
      <c r="BC122" s="52">
        <f t="shared" si="469"/>
        <v>0</v>
      </c>
      <c r="BD122" s="52">
        <f t="shared" si="469"/>
        <v>0</v>
      </c>
      <c r="BE122" s="52">
        <f t="shared" si="469"/>
        <v>0</v>
      </c>
      <c r="BF122" s="52">
        <f t="shared" si="469"/>
        <v>0</v>
      </c>
      <c r="BG122" s="52">
        <f t="shared" si="469"/>
        <v>0</v>
      </c>
      <c r="BH122" s="52">
        <f t="shared" si="469"/>
        <v>0</v>
      </c>
      <c r="BI122" s="52">
        <f t="shared" si="469"/>
        <v>0</v>
      </c>
      <c r="BJ122" s="52">
        <f t="shared" si="469"/>
        <v>0</v>
      </c>
      <c r="BK122" s="52">
        <f t="shared" si="469"/>
        <v>0</v>
      </c>
      <c r="BL122" s="52">
        <f t="shared" si="469"/>
        <v>0</v>
      </c>
      <c r="BM122" s="52">
        <f t="shared" si="469"/>
        <v>0</v>
      </c>
      <c r="BN122" s="52">
        <f t="shared" si="469"/>
        <v>0</v>
      </c>
      <c r="BO122" s="52">
        <f t="shared" si="469"/>
        <v>0</v>
      </c>
      <c r="BP122" s="52">
        <f t="shared" si="469"/>
        <v>0</v>
      </c>
      <c r="BQ122" s="52">
        <f t="shared" si="469"/>
        <v>0</v>
      </c>
      <c r="BR122" s="52">
        <f t="shared" ref="BR122:CW122" si="470">IFERROR(IF(BR$28="FALSE",0,$C$122/$C$8),0)</f>
        <v>0</v>
      </c>
      <c r="BS122" s="52">
        <f t="shared" si="470"/>
        <v>0</v>
      </c>
      <c r="BT122" s="52">
        <f t="shared" si="470"/>
        <v>0</v>
      </c>
      <c r="BU122" s="52">
        <f t="shared" si="470"/>
        <v>0</v>
      </c>
      <c r="BV122" s="52">
        <f t="shared" si="470"/>
        <v>0</v>
      </c>
      <c r="BW122" s="52">
        <f t="shared" si="470"/>
        <v>0</v>
      </c>
      <c r="BX122" s="52">
        <f t="shared" si="470"/>
        <v>0</v>
      </c>
      <c r="BY122" s="52">
        <f t="shared" si="470"/>
        <v>0</v>
      </c>
      <c r="BZ122" s="52">
        <f t="shared" si="470"/>
        <v>0</v>
      </c>
      <c r="CA122" s="52">
        <f t="shared" si="470"/>
        <v>0</v>
      </c>
      <c r="CB122" s="52">
        <f t="shared" si="470"/>
        <v>0</v>
      </c>
      <c r="CC122" s="52">
        <f t="shared" si="470"/>
        <v>0</v>
      </c>
      <c r="CD122" s="52">
        <f t="shared" si="470"/>
        <v>0</v>
      </c>
      <c r="CE122" s="52">
        <f t="shared" si="470"/>
        <v>0</v>
      </c>
      <c r="CF122" s="52">
        <f t="shared" si="470"/>
        <v>0</v>
      </c>
      <c r="CG122" s="52">
        <f t="shared" si="470"/>
        <v>0</v>
      </c>
      <c r="CH122" s="52">
        <f t="shared" si="470"/>
        <v>0</v>
      </c>
      <c r="CI122" s="52">
        <f t="shared" si="470"/>
        <v>0</v>
      </c>
      <c r="CJ122" s="52">
        <f t="shared" si="470"/>
        <v>0</v>
      </c>
      <c r="CK122" s="52">
        <f t="shared" si="470"/>
        <v>0</v>
      </c>
      <c r="CL122" s="52">
        <f t="shared" si="470"/>
        <v>0</v>
      </c>
      <c r="CM122" s="52">
        <f t="shared" si="470"/>
        <v>0</v>
      </c>
      <c r="CN122" s="52">
        <f t="shared" si="470"/>
        <v>0</v>
      </c>
      <c r="CO122" s="52">
        <f t="shared" si="470"/>
        <v>0</v>
      </c>
      <c r="CP122" s="52">
        <f t="shared" si="470"/>
        <v>0</v>
      </c>
      <c r="CQ122" s="52">
        <f t="shared" si="470"/>
        <v>0</v>
      </c>
      <c r="CR122" s="52">
        <f t="shared" si="470"/>
        <v>0</v>
      </c>
      <c r="CS122" s="52">
        <f t="shared" si="470"/>
        <v>0</v>
      </c>
      <c r="CT122" s="52">
        <f t="shared" si="470"/>
        <v>0</v>
      </c>
      <c r="CU122" s="52">
        <f t="shared" si="470"/>
        <v>0</v>
      </c>
      <c r="CV122" s="52">
        <f t="shared" si="470"/>
        <v>0</v>
      </c>
      <c r="CW122" s="52">
        <f t="shared" si="470"/>
        <v>0</v>
      </c>
      <c r="CX122" s="52">
        <f t="shared" ref="CX122:EC122" si="471">IFERROR(IF(CX$28="FALSE",0,$C$122/$C$8),0)</f>
        <v>0</v>
      </c>
      <c r="CY122" s="52">
        <f t="shared" si="471"/>
        <v>0</v>
      </c>
      <c r="CZ122" s="52">
        <f t="shared" si="471"/>
        <v>0</v>
      </c>
      <c r="DA122" s="52">
        <f t="shared" si="471"/>
        <v>0</v>
      </c>
      <c r="DB122" s="52">
        <f t="shared" si="471"/>
        <v>0</v>
      </c>
      <c r="DC122" s="52">
        <f t="shared" si="471"/>
        <v>0</v>
      </c>
      <c r="DD122" s="52">
        <f t="shared" si="471"/>
        <v>0</v>
      </c>
      <c r="DE122" s="52">
        <f t="shared" si="471"/>
        <v>0</v>
      </c>
      <c r="DF122" s="52">
        <f t="shared" si="471"/>
        <v>0</v>
      </c>
      <c r="DG122" s="52">
        <f t="shared" si="471"/>
        <v>0</v>
      </c>
      <c r="DH122" s="52">
        <f t="shared" si="471"/>
        <v>0</v>
      </c>
      <c r="DI122" s="52">
        <f t="shared" si="471"/>
        <v>0</v>
      </c>
      <c r="DJ122" s="52">
        <f t="shared" si="471"/>
        <v>0</v>
      </c>
      <c r="DK122" s="52">
        <f t="shared" si="471"/>
        <v>0</v>
      </c>
      <c r="DL122" s="52">
        <f t="shared" si="471"/>
        <v>0</v>
      </c>
      <c r="DM122" s="52">
        <f t="shared" si="471"/>
        <v>0</v>
      </c>
      <c r="DN122" s="52">
        <f t="shared" si="471"/>
        <v>0</v>
      </c>
      <c r="DO122" s="52">
        <f t="shared" si="471"/>
        <v>0</v>
      </c>
      <c r="DP122" s="52">
        <f t="shared" si="471"/>
        <v>0</v>
      </c>
      <c r="DQ122" s="52">
        <f t="shared" si="471"/>
        <v>0</v>
      </c>
      <c r="DR122" s="52">
        <f t="shared" si="471"/>
        <v>0</v>
      </c>
      <c r="DS122" s="52">
        <f t="shared" si="471"/>
        <v>0</v>
      </c>
      <c r="DT122" s="52">
        <f t="shared" si="471"/>
        <v>0</v>
      </c>
      <c r="DU122" s="52">
        <f t="shared" si="471"/>
        <v>0</v>
      </c>
      <c r="DV122" s="52">
        <f t="shared" si="471"/>
        <v>0</v>
      </c>
      <c r="DW122" s="52">
        <f t="shared" si="471"/>
        <v>0</v>
      </c>
      <c r="DX122" s="52">
        <f t="shared" si="471"/>
        <v>0</v>
      </c>
      <c r="DY122" s="52">
        <f t="shared" si="471"/>
        <v>0</v>
      </c>
      <c r="DZ122" s="52">
        <f t="shared" si="471"/>
        <v>0</v>
      </c>
      <c r="EA122" s="52">
        <f t="shared" si="471"/>
        <v>0</v>
      </c>
      <c r="EB122" s="52">
        <f t="shared" si="471"/>
        <v>0</v>
      </c>
      <c r="EC122" s="52">
        <f t="shared" si="471"/>
        <v>0</v>
      </c>
      <c r="ED122" s="52">
        <f t="shared" ref="ED122:FD122" si="472">IFERROR(IF(ED$28="FALSE",0,$C$122/$C$8),0)</f>
        <v>0</v>
      </c>
      <c r="EE122" s="52">
        <f t="shared" si="472"/>
        <v>0</v>
      </c>
      <c r="EF122" s="52">
        <f t="shared" si="472"/>
        <v>0</v>
      </c>
      <c r="EG122" s="52">
        <f t="shared" si="472"/>
        <v>0</v>
      </c>
      <c r="EH122" s="52">
        <f t="shared" si="472"/>
        <v>0</v>
      </c>
      <c r="EI122" s="52">
        <f t="shared" si="472"/>
        <v>0</v>
      </c>
      <c r="EJ122" s="52">
        <f t="shared" si="472"/>
        <v>0</v>
      </c>
      <c r="EK122" s="52">
        <f t="shared" si="472"/>
        <v>0</v>
      </c>
      <c r="EL122" s="52">
        <f t="shared" si="472"/>
        <v>0</v>
      </c>
      <c r="EM122" s="52">
        <f t="shared" si="472"/>
        <v>0</v>
      </c>
      <c r="EN122" s="52">
        <f t="shared" si="472"/>
        <v>0</v>
      </c>
      <c r="EO122" s="52">
        <f t="shared" si="472"/>
        <v>0</v>
      </c>
      <c r="EP122" s="52">
        <f t="shared" si="472"/>
        <v>0</v>
      </c>
      <c r="EQ122" s="52">
        <f t="shared" si="472"/>
        <v>0</v>
      </c>
      <c r="ER122" s="52">
        <f t="shared" si="472"/>
        <v>0</v>
      </c>
      <c r="ES122" s="52">
        <f t="shared" si="472"/>
        <v>0</v>
      </c>
      <c r="ET122" s="52">
        <f t="shared" si="472"/>
        <v>0</v>
      </c>
      <c r="EU122" s="52">
        <f t="shared" si="472"/>
        <v>0</v>
      </c>
      <c r="EV122" s="52">
        <f t="shared" si="472"/>
        <v>0</v>
      </c>
      <c r="EW122" s="52">
        <f t="shared" si="472"/>
        <v>0</v>
      </c>
      <c r="EX122" s="52">
        <f t="shared" si="472"/>
        <v>0</v>
      </c>
      <c r="EY122" s="52">
        <f t="shared" si="472"/>
        <v>0</v>
      </c>
      <c r="EZ122" s="52">
        <f t="shared" si="472"/>
        <v>0</v>
      </c>
      <c r="FA122" s="52">
        <f t="shared" si="472"/>
        <v>0</v>
      </c>
      <c r="FB122" s="52">
        <f t="shared" si="472"/>
        <v>0</v>
      </c>
      <c r="FC122" s="52">
        <f t="shared" si="472"/>
        <v>0</v>
      </c>
      <c r="FD122" s="52">
        <f t="shared" si="472"/>
        <v>0</v>
      </c>
    </row>
    <row r="123" spans="2:160">
      <c r="B123" s="51" t="s">
        <v>206</v>
      </c>
      <c r="C123" s="52">
        <f ca="1">IF(Startup!$C$3="Project",SUMIF(Startup!$C$7:$D$27,Overview!B123,Startup!$D$7:$D$27),(SUMIF(Startup!$C$7:$D$27,Overview!B123,Startup!$D$7:$D$27)*Startup!$C$4))+IF(Pilot!$C$3="Project",SUMIF(Pilot!$C$7:$D$27,Overview!B123,Pilot!$D$7:$D$27),(SUMIF(Pilot!$C$7:$D$27,Overview!B123,Pilot!$D$7:$D$27)*Pilot!$C$4))+IF(PMO!$C$3="Project",SUMIF(PMO!$C$7:$D$27,Overview!B123,PMO!$D$7:$D$27),(SUMIF(PMO!$C$7:$D$27,Overview!B123,PMO!$D$7:$D$27)*PMO!$C$4))+IF('Design &amp; Fulfillment'!$C$3="Project",SUMIF('Design &amp; Fulfillment'!$C$7:$D$27,Overview!B123,'Design &amp; Fulfillment'!$D$7:$D$27),(SUMIF('Design &amp; Fulfillment'!$C$7:$D$27,Overview!B123,'Design &amp; Fulfillment'!$D$7:$D$27)*'Design &amp; Fulfillment'!$C$4))+IF(Workplace!$C$3="Project",SUMIF(Workplace!$C$7:$D$27,Overview!B123,Workplace!$D$7:$D$27),(SUMIF(Workplace!$C$7:$D$27,Overview!B123,Workplace!$D$7:$D$27)*Workplace!$C$4))+IF(Integration!$C$3="Project",SUMIF(Integration!$C$7:$D$27,Overview!B123,Integration!$D$7:$D$27),(SUMIF(Integration!$C$7:$D$27,Overview!B123,Integration!$D$7:$D$27)*Integration!$C$4))+IF(Logistics!$C$3="Project",SUMIF(Logistics!$C$7:$D$27,Overview!B123,Logistics!$D$7:$D$27),(SUMIF(Logistics!$C$7:$D$27,Overview!B123,Logistics!$D$7:$D$27)*Logistics!$C$4))+IF('Service Desk'!$C$3="Project",SUMIF('Service Desk'!$C$7:$D$27,Overview!B123,'Service Desk'!$D$7:$D$27),(SUMIF('Service Desk'!$C$7:$D$27,Overview!B123,'Service Desk'!$D$7:$D$27)*'Service Desk'!$C$4))+IF('Pro Services'!$C$3="Project",SUMIF('Pro Services'!$C$7:$D$27,Overview!B123,'Pro Services'!$D$7:$D$27),(SUMIF('Pro Services'!$C$7:$D$27,Overview!B123,'Pro Services'!$D$7:$D$27)*'Pro Services'!$C$4))</f>
        <v>0</v>
      </c>
      <c r="D123" s="53">
        <f ca="1">IF(Startup!$C$3="Project",SUMIF(Startup!$C$7:$H$27,Overview!B123,Startup!$H$7:$H$27),(SUMIF(Startup!$C$7:$H$27,Overview!B123,Startup!$H$7:$H$27)*Startup!$C$4))+IF(Pilot!$C$3="Project",SUMIF(Pilot!$C$7:$H$27,Overview!B123,Pilot!$H$7:$H$27),(SUMIF(Pilot!$C$7:$H$27,Overview!B123,Pilot!$H$7:$H$27)*Pilot!$C$4))+IF(PMO!$C$3="Project",SUMIF(PMO!$C$7:$H$27,Overview!B123,PMO!$H$7:$H$27),(SUMIF(PMO!$C$7:$H$27,Overview!B123,PMO!$H$7:$H$27)*PMO!$C$4))+IF('Design &amp; Fulfillment'!$C$3="Project",SUMIF('Design &amp; Fulfillment'!$C$7:$H$27,Overview!B123,'Design &amp; Fulfillment'!$H$7:$H$27),(SUMIF('Design &amp; Fulfillment'!$C$7:$H$27,Overview!B123,'Design &amp; Fulfillment'!$H$7:$H$27)*'Design &amp; Fulfillment'!$C$4))+IF(Workplace!$C$3="Project",SUMIF(Workplace!$C$7:$H$27,Overview!B123,Workplace!$H$7:$H$27),(SUMIF(Workplace!$C$7:$H$27,Overview!B123,Workplace!$H$7:$H$27)*Workplace!$C$4))+IF(Integration!$C$3="Project",SUMIF(Integration!$C$7:$H$27,Overview!B123,Integration!$H$7:$H$27),(SUMIF(Integration!$C$7:$H$27,Overview!B123,Integration!$H$7:$H$27)*Integration!$C$4))+IF(Logistics!$C$3="Project",SUMIF(Logistics!$C$7:$H$27,Overview!B123,Logistics!$H$7:$H$27),(SUMIF(Logistics!$C$7:$H$27,Overview!B123,Logistics!$H$7:$H$27)*Logistics!$C$4))+IF('Service Desk'!$C$3="Project",SUMIF('Service Desk'!$C$7:$H$27,Overview!B123,'Service Desk'!$H$7:$H$27),(SUMIF('Service Desk'!$C$7:$H$27,Overview!B123,'Service Desk'!$H$7:$H$27)*'Service Desk'!$C$4))+IF('Pro Services'!$C$3="Project",SUMIF('Pro Services'!$C$7:$H$27,Overview!B123,'Pro Services'!$H$7:$H$27),(SUMIF('Pro Services'!$C$7:$H$27,Overview!B123,'Pro Services'!$H$7:$H$27)*'Pro Services'!$C$4))</f>
        <v>0</v>
      </c>
      <c r="E123" s="52">
        <f t="shared" ca="1" si="442"/>
        <v>0</v>
      </c>
      <c r="F123" s="52">
        <f t="shared" ref="F123:AK123" si="473">IFERROR(IF(F$28="FALSE",0,$C$123/$C$8),0)</f>
        <v>0</v>
      </c>
      <c r="G123" s="52">
        <f t="shared" si="473"/>
        <v>0</v>
      </c>
      <c r="H123" s="52">
        <f t="shared" si="473"/>
        <v>0</v>
      </c>
      <c r="I123" s="52">
        <f t="shared" si="473"/>
        <v>0</v>
      </c>
      <c r="J123" s="52">
        <f t="shared" si="473"/>
        <v>0</v>
      </c>
      <c r="K123" s="52">
        <f t="shared" si="473"/>
        <v>0</v>
      </c>
      <c r="L123" s="52">
        <f t="shared" si="473"/>
        <v>0</v>
      </c>
      <c r="M123" s="52">
        <f t="shared" si="473"/>
        <v>0</v>
      </c>
      <c r="N123" s="52">
        <f t="shared" si="473"/>
        <v>0</v>
      </c>
      <c r="O123" s="52">
        <f t="shared" si="473"/>
        <v>0</v>
      </c>
      <c r="P123" s="52">
        <f t="shared" si="473"/>
        <v>0</v>
      </c>
      <c r="Q123" s="52">
        <f t="shared" si="473"/>
        <v>0</v>
      </c>
      <c r="R123" s="52">
        <f t="shared" si="473"/>
        <v>0</v>
      </c>
      <c r="S123" s="52">
        <f t="shared" si="473"/>
        <v>0</v>
      </c>
      <c r="T123" s="52">
        <f t="shared" si="473"/>
        <v>0</v>
      </c>
      <c r="U123" s="52">
        <f t="shared" si="473"/>
        <v>0</v>
      </c>
      <c r="V123" s="52">
        <f t="shared" si="473"/>
        <v>0</v>
      </c>
      <c r="W123" s="52">
        <f t="shared" si="473"/>
        <v>0</v>
      </c>
      <c r="X123" s="52">
        <f t="shared" si="473"/>
        <v>0</v>
      </c>
      <c r="Y123" s="52">
        <f t="shared" si="473"/>
        <v>0</v>
      </c>
      <c r="Z123" s="52">
        <f t="shared" si="473"/>
        <v>0</v>
      </c>
      <c r="AA123" s="52">
        <f t="shared" si="473"/>
        <v>0</v>
      </c>
      <c r="AB123" s="52">
        <f t="shared" si="473"/>
        <v>0</v>
      </c>
      <c r="AC123" s="52">
        <f t="shared" si="473"/>
        <v>0</v>
      </c>
      <c r="AD123" s="52">
        <f t="shared" si="473"/>
        <v>0</v>
      </c>
      <c r="AE123" s="52">
        <f t="shared" si="473"/>
        <v>0</v>
      </c>
      <c r="AF123" s="52">
        <f t="shared" si="473"/>
        <v>0</v>
      </c>
      <c r="AG123" s="52">
        <f t="shared" si="473"/>
        <v>0</v>
      </c>
      <c r="AH123" s="52">
        <f t="shared" si="473"/>
        <v>0</v>
      </c>
      <c r="AI123" s="52">
        <f t="shared" si="473"/>
        <v>0</v>
      </c>
      <c r="AJ123" s="52">
        <f t="shared" si="473"/>
        <v>0</v>
      </c>
      <c r="AK123" s="52">
        <f t="shared" si="473"/>
        <v>0</v>
      </c>
      <c r="AL123" s="52">
        <f t="shared" ref="AL123:BQ123" si="474">IFERROR(IF(AL$28="FALSE",0,$C$123/$C$8),0)</f>
        <v>0</v>
      </c>
      <c r="AM123" s="52">
        <f t="shared" si="474"/>
        <v>0</v>
      </c>
      <c r="AN123" s="52">
        <f t="shared" si="474"/>
        <v>0</v>
      </c>
      <c r="AO123" s="52">
        <f t="shared" si="474"/>
        <v>0</v>
      </c>
      <c r="AP123" s="52">
        <f t="shared" si="474"/>
        <v>0</v>
      </c>
      <c r="AQ123" s="52">
        <f t="shared" si="474"/>
        <v>0</v>
      </c>
      <c r="AR123" s="52">
        <f t="shared" si="474"/>
        <v>0</v>
      </c>
      <c r="AS123" s="52">
        <f t="shared" si="474"/>
        <v>0</v>
      </c>
      <c r="AT123" s="52">
        <f t="shared" si="474"/>
        <v>0</v>
      </c>
      <c r="AU123" s="52">
        <f t="shared" si="474"/>
        <v>0</v>
      </c>
      <c r="AV123" s="52">
        <f t="shared" si="474"/>
        <v>0</v>
      </c>
      <c r="AW123" s="52">
        <f t="shared" si="474"/>
        <v>0</v>
      </c>
      <c r="AX123" s="52">
        <f t="shared" si="474"/>
        <v>0</v>
      </c>
      <c r="AY123" s="52">
        <f t="shared" si="474"/>
        <v>0</v>
      </c>
      <c r="AZ123" s="52">
        <f t="shared" si="474"/>
        <v>0</v>
      </c>
      <c r="BA123" s="52">
        <f t="shared" si="474"/>
        <v>0</v>
      </c>
      <c r="BB123" s="52">
        <f t="shared" si="474"/>
        <v>0</v>
      </c>
      <c r="BC123" s="52">
        <f t="shared" si="474"/>
        <v>0</v>
      </c>
      <c r="BD123" s="52">
        <f t="shared" si="474"/>
        <v>0</v>
      </c>
      <c r="BE123" s="52">
        <f t="shared" si="474"/>
        <v>0</v>
      </c>
      <c r="BF123" s="52">
        <f t="shared" si="474"/>
        <v>0</v>
      </c>
      <c r="BG123" s="52">
        <f t="shared" si="474"/>
        <v>0</v>
      </c>
      <c r="BH123" s="52">
        <f t="shared" si="474"/>
        <v>0</v>
      </c>
      <c r="BI123" s="52">
        <f t="shared" si="474"/>
        <v>0</v>
      </c>
      <c r="BJ123" s="52">
        <f t="shared" si="474"/>
        <v>0</v>
      </c>
      <c r="BK123" s="52">
        <f t="shared" si="474"/>
        <v>0</v>
      </c>
      <c r="BL123" s="52">
        <f t="shared" si="474"/>
        <v>0</v>
      </c>
      <c r="BM123" s="52">
        <f t="shared" si="474"/>
        <v>0</v>
      </c>
      <c r="BN123" s="52">
        <f t="shared" si="474"/>
        <v>0</v>
      </c>
      <c r="BO123" s="52">
        <f t="shared" si="474"/>
        <v>0</v>
      </c>
      <c r="BP123" s="52">
        <f t="shared" si="474"/>
        <v>0</v>
      </c>
      <c r="BQ123" s="52">
        <f t="shared" si="474"/>
        <v>0</v>
      </c>
      <c r="BR123" s="52">
        <f t="shared" ref="BR123:CW123" si="475">IFERROR(IF(BR$28="FALSE",0,$C$123/$C$8),0)</f>
        <v>0</v>
      </c>
      <c r="BS123" s="52">
        <f t="shared" si="475"/>
        <v>0</v>
      </c>
      <c r="BT123" s="52">
        <f t="shared" si="475"/>
        <v>0</v>
      </c>
      <c r="BU123" s="52">
        <f t="shared" si="475"/>
        <v>0</v>
      </c>
      <c r="BV123" s="52">
        <f t="shared" si="475"/>
        <v>0</v>
      </c>
      <c r="BW123" s="52">
        <f t="shared" si="475"/>
        <v>0</v>
      </c>
      <c r="BX123" s="52">
        <f t="shared" si="475"/>
        <v>0</v>
      </c>
      <c r="BY123" s="52">
        <f t="shared" si="475"/>
        <v>0</v>
      </c>
      <c r="BZ123" s="52">
        <f t="shared" si="475"/>
        <v>0</v>
      </c>
      <c r="CA123" s="52">
        <f t="shared" si="475"/>
        <v>0</v>
      </c>
      <c r="CB123" s="52">
        <f t="shared" si="475"/>
        <v>0</v>
      </c>
      <c r="CC123" s="52">
        <f t="shared" si="475"/>
        <v>0</v>
      </c>
      <c r="CD123" s="52">
        <f t="shared" si="475"/>
        <v>0</v>
      </c>
      <c r="CE123" s="52">
        <f t="shared" si="475"/>
        <v>0</v>
      </c>
      <c r="CF123" s="52">
        <f t="shared" si="475"/>
        <v>0</v>
      </c>
      <c r="CG123" s="52">
        <f t="shared" si="475"/>
        <v>0</v>
      </c>
      <c r="CH123" s="52">
        <f t="shared" si="475"/>
        <v>0</v>
      </c>
      <c r="CI123" s="52">
        <f t="shared" si="475"/>
        <v>0</v>
      </c>
      <c r="CJ123" s="52">
        <f t="shared" si="475"/>
        <v>0</v>
      </c>
      <c r="CK123" s="52">
        <f t="shared" si="475"/>
        <v>0</v>
      </c>
      <c r="CL123" s="52">
        <f t="shared" si="475"/>
        <v>0</v>
      </c>
      <c r="CM123" s="52">
        <f t="shared" si="475"/>
        <v>0</v>
      </c>
      <c r="CN123" s="52">
        <f t="shared" si="475"/>
        <v>0</v>
      </c>
      <c r="CO123" s="52">
        <f t="shared" si="475"/>
        <v>0</v>
      </c>
      <c r="CP123" s="52">
        <f t="shared" si="475"/>
        <v>0</v>
      </c>
      <c r="CQ123" s="52">
        <f t="shared" si="475"/>
        <v>0</v>
      </c>
      <c r="CR123" s="52">
        <f t="shared" si="475"/>
        <v>0</v>
      </c>
      <c r="CS123" s="52">
        <f t="shared" si="475"/>
        <v>0</v>
      </c>
      <c r="CT123" s="52">
        <f t="shared" si="475"/>
        <v>0</v>
      </c>
      <c r="CU123" s="52">
        <f t="shared" si="475"/>
        <v>0</v>
      </c>
      <c r="CV123" s="52">
        <f t="shared" si="475"/>
        <v>0</v>
      </c>
      <c r="CW123" s="52">
        <f t="shared" si="475"/>
        <v>0</v>
      </c>
      <c r="CX123" s="52">
        <f t="shared" ref="CX123:EC123" si="476">IFERROR(IF(CX$28="FALSE",0,$C$123/$C$8),0)</f>
        <v>0</v>
      </c>
      <c r="CY123" s="52">
        <f t="shared" si="476"/>
        <v>0</v>
      </c>
      <c r="CZ123" s="52">
        <f t="shared" si="476"/>
        <v>0</v>
      </c>
      <c r="DA123" s="52">
        <f t="shared" si="476"/>
        <v>0</v>
      </c>
      <c r="DB123" s="52">
        <f t="shared" si="476"/>
        <v>0</v>
      </c>
      <c r="DC123" s="52">
        <f t="shared" si="476"/>
        <v>0</v>
      </c>
      <c r="DD123" s="52">
        <f t="shared" si="476"/>
        <v>0</v>
      </c>
      <c r="DE123" s="52">
        <f t="shared" si="476"/>
        <v>0</v>
      </c>
      <c r="DF123" s="52">
        <f t="shared" si="476"/>
        <v>0</v>
      </c>
      <c r="DG123" s="52">
        <f t="shared" si="476"/>
        <v>0</v>
      </c>
      <c r="DH123" s="52">
        <f t="shared" si="476"/>
        <v>0</v>
      </c>
      <c r="DI123" s="52">
        <f t="shared" si="476"/>
        <v>0</v>
      </c>
      <c r="DJ123" s="52">
        <f t="shared" si="476"/>
        <v>0</v>
      </c>
      <c r="DK123" s="52">
        <f t="shared" si="476"/>
        <v>0</v>
      </c>
      <c r="DL123" s="52">
        <f t="shared" si="476"/>
        <v>0</v>
      </c>
      <c r="DM123" s="52">
        <f t="shared" si="476"/>
        <v>0</v>
      </c>
      <c r="DN123" s="52">
        <f t="shared" si="476"/>
        <v>0</v>
      </c>
      <c r="DO123" s="52">
        <f t="shared" si="476"/>
        <v>0</v>
      </c>
      <c r="DP123" s="52">
        <f t="shared" si="476"/>
        <v>0</v>
      </c>
      <c r="DQ123" s="52">
        <f t="shared" si="476"/>
        <v>0</v>
      </c>
      <c r="DR123" s="52">
        <f t="shared" si="476"/>
        <v>0</v>
      </c>
      <c r="DS123" s="52">
        <f t="shared" si="476"/>
        <v>0</v>
      </c>
      <c r="DT123" s="52">
        <f t="shared" si="476"/>
        <v>0</v>
      </c>
      <c r="DU123" s="52">
        <f t="shared" si="476"/>
        <v>0</v>
      </c>
      <c r="DV123" s="52">
        <f t="shared" si="476"/>
        <v>0</v>
      </c>
      <c r="DW123" s="52">
        <f t="shared" si="476"/>
        <v>0</v>
      </c>
      <c r="DX123" s="52">
        <f t="shared" si="476"/>
        <v>0</v>
      </c>
      <c r="DY123" s="52">
        <f t="shared" si="476"/>
        <v>0</v>
      </c>
      <c r="DZ123" s="52">
        <f t="shared" si="476"/>
        <v>0</v>
      </c>
      <c r="EA123" s="52">
        <f t="shared" si="476"/>
        <v>0</v>
      </c>
      <c r="EB123" s="52">
        <f t="shared" si="476"/>
        <v>0</v>
      </c>
      <c r="EC123" s="52">
        <f t="shared" si="476"/>
        <v>0</v>
      </c>
      <c r="ED123" s="52">
        <f t="shared" ref="ED123:FD123" si="477">IFERROR(IF(ED$28="FALSE",0,$C$123/$C$8),0)</f>
        <v>0</v>
      </c>
      <c r="EE123" s="52">
        <f t="shared" si="477"/>
        <v>0</v>
      </c>
      <c r="EF123" s="52">
        <f t="shared" si="477"/>
        <v>0</v>
      </c>
      <c r="EG123" s="52">
        <f t="shared" si="477"/>
        <v>0</v>
      </c>
      <c r="EH123" s="52">
        <f t="shared" si="477"/>
        <v>0</v>
      </c>
      <c r="EI123" s="52">
        <f t="shared" si="477"/>
        <v>0</v>
      </c>
      <c r="EJ123" s="52">
        <f t="shared" si="477"/>
        <v>0</v>
      </c>
      <c r="EK123" s="52">
        <f t="shared" si="477"/>
        <v>0</v>
      </c>
      <c r="EL123" s="52">
        <f t="shared" si="477"/>
        <v>0</v>
      </c>
      <c r="EM123" s="52">
        <f t="shared" si="477"/>
        <v>0</v>
      </c>
      <c r="EN123" s="52">
        <f t="shared" si="477"/>
        <v>0</v>
      </c>
      <c r="EO123" s="52">
        <f t="shared" si="477"/>
        <v>0</v>
      </c>
      <c r="EP123" s="52">
        <f t="shared" si="477"/>
        <v>0</v>
      </c>
      <c r="EQ123" s="52">
        <f t="shared" si="477"/>
        <v>0</v>
      </c>
      <c r="ER123" s="52">
        <f t="shared" si="477"/>
        <v>0</v>
      </c>
      <c r="ES123" s="52">
        <f t="shared" si="477"/>
        <v>0</v>
      </c>
      <c r="ET123" s="52">
        <f t="shared" si="477"/>
        <v>0</v>
      </c>
      <c r="EU123" s="52">
        <f t="shared" si="477"/>
        <v>0</v>
      </c>
      <c r="EV123" s="52">
        <f t="shared" si="477"/>
        <v>0</v>
      </c>
      <c r="EW123" s="52">
        <f t="shared" si="477"/>
        <v>0</v>
      </c>
      <c r="EX123" s="52">
        <f t="shared" si="477"/>
        <v>0</v>
      </c>
      <c r="EY123" s="52">
        <f t="shared" si="477"/>
        <v>0</v>
      </c>
      <c r="EZ123" s="52">
        <f t="shared" si="477"/>
        <v>0</v>
      </c>
      <c r="FA123" s="52">
        <f t="shared" si="477"/>
        <v>0</v>
      </c>
      <c r="FB123" s="52">
        <f t="shared" si="477"/>
        <v>0</v>
      </c>
      <c r="FC123" s="52">
        <f t="shared" si="477"/>
        <v>0</v>
      </c>
      <c r="FD123" s="52">
        <f t="shared" si="477"/>
        <v>0</v>
      </c>
    </row>
    <row r="124" spans="2:160">
      <c r="B124" s="51" t="s">
        <v>208</v>
      </c>
      <c r="C124" s="52">
        <f ca="1">IF(Startup!$C$3="Project",SUMIF(Startup!$C$7:$D$27,Overview!B124,Startup!$D$7:$D$27),(SUMIF(Startup!$C$7:$D$27,Overview!B124,Startup!$D$7:$D$27)*Startup!$C$4))+IF(Pilot!$C$3="Project",SUMIF(Pilot!$C$7:$D$27,Overview!B124,Pilot!$D$7:$D$27),(SUMIF(Pilot!$C$7:$D$27,Overview!B124,Pilot!$D$7:$D$27)*Pilot!$C$4))+IF(PMO!$C$3="Project",SUMIF(PMO!$C$7:$D$27,Overview!B124,PMO!$D$7:$D$27),(SUMIF(PMO!$C$7:$D$27,Overview!B124,PMO!$D$7:$D$27)*PMO!$C$4))+IF('Design &amp; Fulfillment'!$C$3="Project",SUMIF('Design &amp; Fulfillment'!$C$7:$D$27,Overview!B124,'Design &amp; Fulfillment'!$D$7:$D$27),(SUMIF('Design &amp; Fulfillment'!$C$7:$D$27,Overview!B124,'Design &amp; Fulfillment'!$D$7:$D$27)*'Design &amp; Fulfillment'!$C$4))+IF(Workplace!$C$3="Project",SUMIF(Workplace!$C$7:$D$27,Overview!B124,Workplace!$D$7:$D$27),(SUMIF(Workplace!$C$7:$D$27,Overview!B124,Workplace!$D$7:$D$27)*Workplace!$C$4))+IF(Integration!$C$3="Project",SUMIF(Integration!$C$7:$D$27,Overview!B124,Integration!$D$7:$D$27),(SUMIF(Integration!$C$7:$D$27,Overview!B124,Integration!$D$7:$D$27)*Integration!$C$4))+IF(Logistics!$C$3="Project",SUMIF(Logistics!$C$7:$D$27,Overview!B124,Logistics!$D$7:$D$27),(SUMIF(Logistics!$C$7:$D$27,Overview!B124,Logistics!$D$7:$D$27)*Logistics!$C$4))+IF('Service Desk'!$C$3="Project",SUMIF('Service Desk'!$C$7:$D$27,Overview!B124,'Service Desk'!$D$7:$D$27),(SUMIF('Service Desk'!$C$7:$D$27,Overview!B124,'Service Desk'!$D$7:$D$27)*'Service Desk'!$C$4))+IF('Pro Services'!$C$3="Project",SUMIF('Pro Services'!$C$7:$D$27,Overview!B124,'Pro Services'!$D$7:$D$27),(SUMIF('Pro Services'!$C$7:$D$27,Overview!B124,'Pro Services'!$D$7:$D$27)*'Pro Services'!$C$4))</f>
        <v>0</v>
      </c>
      <c r="D124" s="53">
        <f ca="1">IF(Startup!$C$3="Project",SUMIF(Startup!$C$7:$H$27,Overview!B124,Startup!$H$7:$H$27),(SUMIF(Startup!$C$7:$H$27,Overview!B124,Startup!$H$7:$H$27)*Startup!$C$4))+IF(Pilot!$C$3="Project",SUMIF(Pilot!$C$7:$H$27,Overview!B124,Pilot!$H$7:$H$27),(SUMIF(Pilot!$C$7:$H$27,Overview!B124,Pilot!$H$7:$H$27)*Pilot!$C$4))+IF(PMO!$C$3="Project",SUMIF(PMO!$C$7:$H$27,Overview!B124,PMO!$H$7:$H$27),(SUMIF(PMO!$C$7:$H$27,Overview!B124,PMO!$H$7:$H$27)*PMO!$C$4))+IF('Design &amp; Fulfillment'!$C$3="Project",SUMIF('Design &amp; Fulfillment'!$C$7:$H$27,Overview!B124,'Design &amp; Fulfillment'!$H$7:$H$27),(SUMIF('Design &amp; Fulfillment'!$C$7:$H$27,Overview!B124,'Design &amp; Fulfillment'!$H$7:$H$27)*'Design &amp; Fulfillment'!$C$4))+IF(Workplace!$C$3="Project",SUMIF(Workplace!$C$7:$H$27,Overview!B124,Workplace!$H$7:$H$27),(SUMIF(Workplace!$C$7:$H$27,Overview!B124,Workplace!$H$7:$H$27)*Workplace!$C$4))+IF(Integration!$C$3="Project",SUMIF(Integration!$C$7:$H$27,Overview!B124,Integration!$H$7:$H$27),(SUMIF(Integration!$C$7:$H$27,Overview!B124,Integration!$H$7:$H$27)*Integration!$C$4))+IF(Logistics!$C$3="Project",SUMIF(Logistics!$C$7:$H$27,Overview!B124,Logistics!$H$7:$H$27),(SUMIF(Logistics!$C$7:$H$27,Overview!B124,Logistics!$H$7:$H$27)*Logistics!$C$4))+IF('Service Desk'!$C$3="Project",SUMIF('Service Desk'!$C$7:$H$27,Overview!B124,'Service Desk'!$H$7:$H$27),(SUMIF('Service Desk'!$C$7:$H$27,Overview!B124,'Service Desk'!$H$7:$H$27)*'Service Desk'!$C$4))+IF('Pro Services'!$C$3="Project",SUMIF('Pro Services'!$C$7:$H$27,Overview!B124,'Pro Services'!$H$7:$H$27),(SUMIF('Pro Services'!$C$7:$H$27,Overview!B124,'Pro Services'!$H$7:$H$27)*'Pro Services'!$C$4))</f>
        <v>0</v>
      </c>
      <c r="E124" s="52">
        <f t="shared" ca="1" si="442"/>
        <v>0</v>
      </c>
      <c r="F124" s="52">
        <f t="shared" ref="F124:AK124" si="478">IFERROR(IF(F$28="FALSE",0,$C$124/$C$8),0)</f>
        <v>0</v>
      </c>
      <c r="G124" s="52">
        <f t="shared" si="478"/>
        <v>0</v>
      </c>
      <c r="H124" s="52">
        <f t="shared" si="478"/>
        <v>0</v>
      </c>
      <c r="I124" s="52">
        <f t="shared" si="478"/>
        <v>0</v>
      </c>
      <c r="J124" s="52">
        <f t="shared" si="478"/>
        <v>0</v>
      </c>
      <c r="K124" s="52">
        <f t="shared" si="478"/>
        <v>0</v>
      </c>
      <c r="L124" s="52">
        <f t="shared" si="478"/>
        <v>0</v>
      </c>
      <c r="M124" s="52">
        <f t="shared" si="478"/>
        <v>0</v>
      </c>
      <c r="N124" s="52">
        <f t="shared" si="478"/>
        <v>0</v>
      </c>
      <c r="O124" s="52">
        <f t="shared" si="478"/>
        <v>0</v>
      </c>
      <c r="P124" s="52">
        <f t="shared" si="478"/>
        <v>0</v>
      </c>
      <c r="Q124" s="52">
        <f t="shared" si="478"/>
        <v>0</v>
      </c>
      <c r="R124" s="52">
        <f t="shared" si="478"/>
        <v>0</v>
      </c>
      <c r="S124" s="52">
        <f t="shared" si="478"/>
        <v>0</v>
      </c>
      <c r="T124" s="52">
        <f t="shared" si="478"/>
        <v>0</v>
      </c>
      <c r="U124" s="52">
        <f t="shared" si="478"/>
        <v>0</v>
      </c>
      <c r="V124" s="52">
        <f t="shared" si="478"/>
        <v>0</v>
      </c>
      <c r="W124" s="52">
        <f t="shared" si="478"/>
        <v>0</v>
      </c>
      <c r="X124" s="52">
        <f t="shared" si="478"/>
        <v>0</v>
      </c>
      <c r="Y124" s="52">
        <f t="shared" si="478"/>
        <v>0</v>
      </c>
      <c r="Z124" s="52">
        <f t="shared" si="478"/>
        <v>0</v>
      </c>
      <c r="AA124" s="52">
        <f t="shared" si="478"/>
        <v>0</v>
      </c>
      <c r="AB124" s="52">
        <f t="shared" si="478"/>
        <v>0</v>
      </c>
      <c r="AC124" s="52">
        <f t="shared" si="478"/>
        <v>0</v>
      </c>
      <c r="AD124" s="52">
        <f t="shared" si="478"/>
        <v>0</v>
      </c>
      <c r="AE124" s="52">
        <f t="shared" si="478"/>
        <v>0</v>
      </c>
      <c r="AF124" s="52">
        <f t="shared" si="478"/>
        <v>0</v>
      </c>
      <c r="AG124" s="52">
        <f t="shared" si="478"/>
        <v>0</v>
      </c>
      <c r="AH124" s="52">
        <f t="shared" si="478"/>
        <v>0</v>
      </c>
      <c r="AI124" s="52">
        <f t="shared" si="478"/>
        <v>0</v>
      </c>
      <c r="AJ124" s="52">
        <f t="shared" si="478"/>
        <v>0</v>
      </c>
      <c r="AK124" s="52">
        <f t="shared" si="478"/>
        <v>0</v>
      </c>
      <c r="AL124" s="52">
        <f t="shared" ref="AL124:BQ124" si="479">IFERROR(IF(AL$28="FALSE",0,$C$124/$C$8),0)</f>
        <v>0</v>
      </c>
      <c r="AM124" s="52">
        <f t="shared" si="479"/>
        <v>0</v>
      </c>
      <c r="AN124" s="52">
        <f t="shared" si="479"/>
        <v>0</v>
      </c>
      <c r="AO124" s="52">
        <f t="shared" si="479"/>
        <v>0</v>
      </c>
      <c r="AP124" s="52">
        <f t="shared" si="479"/>
        <v>0</v>
      </c>
      <c r="AQ124" s="52">
        <f t="shared" si="479"/>
        <v>0</v>
      </c>
      <c r="AR124" s="52">
        <f t="shared" si="479"/>
        <v>0</v>
      </c>
      <c r="AS124" s="52">
        <f t="shared" si="479"/>
        <v>0</v>
      </c>
      <c r="AT124" s="52">
        <f t="shared" si="479"/>
        <v>0</v>
      </c>
      <c r="AU124" s="52">
        <f t="shared" si="479"/>
        <v>0</v>
      </c>
      <c r="AV124" s="52">
        <f t="shared" si="479"/>
        <v>0</v>
      </c>
      <c r="AW124" s="52">
        <f t="shared" si="479"/>
        <v>0</v>
      </c>
      <c r="AX124" s="52">
        <f t="shared" si="479"/>
        <v>0</v>
      </c>
      <c r="AY124" s="52">
        <f t="shared" si="479"/>
        <v>0</v>
      </c>
      <c r="AZ124" s="52">
        <f t="shared" si="479"/>
        <v>0</v>
      </c>
      <c r="BA124" s="52">
        <f t="shared" si="479"/>
        <v>0</v>
      </c>
      <c r="BB124" s="52">
        <f t="shared" si="479"/>
        <v>0</v>
      </c>
      <c r="BC124" s="52">
        <f t="shared" si="479"/>
        <v>0</v>
      </c>
      <c r="BD124" s="52">
        <f t="shared" si="479"/>
        <v>0</v>
      </c>
      <c r="BE124" s="52">
        <f t="shared" si="479"/>
        <v>0</v>
      </c>
      <c r="BF124" s="52">
        <f t="shared" si="479"/>
        <v>0</v>
      </c>
      <c r="BG124" s="52">
        <f t="shared" si="479"/>
        <v>0</v>
      </c>
      <c r="BH124" s="52">
        <f t="shared" si="479"/>
        <v>0</v>
      </c>
      <c r="BI124" s="52">
        <f t="shared" si="479"/>
        <v>0</v>
      </c>
      <c r="BJ124" s="52">
        <f t="shared" si="479"/>
        <v>0</v>
      </c>
      <c r="BK124" s="52">
        <f t="shared" si="479"/>
        <v>0</v>
      </c>
      <c r="BL124" s="52">
        <f t="shared" si="479"/>
        <v>0</v>
      </c>
      <c r="BM124" s="52">
        <f t="shared" si="479"/>
        <v>0</v>
      </c>
      <c r="BN124" s="52">
        <f t="shared" si="479"/>
        <v>0</v>
      </c>
      <c r="BO124" s="52">
        <f t="shared" si="479"/>
        <v>0</v>
      </c>
      <c r="BP124" s="52">
        <f t="shared" si="479"/>
        <v>0</v>
      </c>
      <c r="BQ124" s="52">
        <f t="shared" si="479"/>
        <v>0</v>
      </c>
      <c r="BR124" s="52">
        <f t="shared" ref="BR124:CW124" si="480">IFERROR(IF(BR$28="FALSE",0,$C$124/$C$8),0)</f>
        <v>0</v>
      </c>
      <c r="BS124" s="52">
        <f t="shared" si="480"/>
        <v>0</v>
      </c>
      <c r="BT124" s="52">
        <f t="shared" si="480"/>
        <v>0</v>
      </c>
      <c r="BU124" s="52">
        <f t="shared" si="480"/>
        <v>0</v>
      </c>
      <c r="BV124" s="52">
        <f t="shared" si="480"/>
        <v>0</v>
      </c>
      <c r="BW124" s="52">
        <f t="shared" si="480"/>
        <v>0</v>
      </c>
      <c r="BX124" s="52">
        <f t="shared" si="480"/>
        <v>0</v>
      </c>
      <c r="BY124" s="52">
        <f t="shared" si="480"/>
        <v>0</v>
      </c>
      <c r="BZ124" s="52">
        <f t="shared" si="480"/>
        <v>0</v>
      </c>
      <c r="CA124" s="52">
        <f t="shared" si="480"/>
        <v>0</v>
      </c>
      <c r="CB124" s="52">
        <f t="shared" si="480"/>
        <v>0</v>
      </c>
      <c r="CC124" s="52">
        <f t="shared" si="480"/>
        <v>0</v>
      </c>
      <c r="CD124" s="52">
        <f t="shared" si="480"/>
        <v>0</v>
      </c>
      <c r="CE124" s="52">
        <f t="shared" si="480"/>
        <v>0</v>
      </c>
      <c r="CF124" s="52">
        <f t="shared" si="480"/>
        <v>0</v>
      </c>
      <c r="CG124" s="52">
        <f t="shared" si="480"/>
        <v>0</v>
      </c>
      <c r="CH124" s="52">
        <f t="shared" si="480"/>
        <v>0</v>
      </c>
      <c r="CI124" s="52">
        <f t="shared" si="480"/>
        <v>0</v>
      </c>
      <c r="CJ124" s="52">
        <f t="shared" si="480"/>
        <v>0</v>
      </c>
      <c r="CK124" s="52">
        <f t="shared" si="480"/>
        <v>0</v>
      </c>
      <c r="CL124" s="52">
        <f t="shared" si="480"/>
        <v>0</v>
      </c>
      <c r="CM124" s="52">
        <f t="shared" si="480"/>
        <v>0</v>
      </c>
      <c r="CN124" s="52">
        <f t="shared" si="480"/>
        <v>0</v>
      </c>
      <c r="CO124" s="52">
        <f t="shared" si="480"/>
        <v>0</v>
      </c>
      <c r="CP124" s="52">
        <f t="shared" si="480"/>
        <v>0</v>
      </c>
      <c r="CQ124" s="52">
        <f t="shared" si="480"/>
        <v>0</v>
      </c>
      <c r="CR124" s="52">
        <f t="shared" si="480"/>
        <v>0</v>
      </c>
      <c r="CS124" s="52">
        <f t="shared" si="480"/>
        <v>0</v>
      </c>
      <c r="CT124" s="52">
        <f t="shared" si="480"/>
        <v>0</v>
      </c>
      <c r="CU124" s="52">
        <f t="shared" si="480"/>
        <v>0</v>
      </c>
      <c r="CV124" s="52">
        <f t="shared" si="480"/>
        <v>0</v>
      </c>
      <c r="CW124" s="52">
        <f t="shared" si="480"/>
        <v>0</v>
      </c>
      <c r="CX124" s="52">
        <f t="shared" ref="CX124:EC124" si="481">IFERROR(IF(CX$28="FALSE",0,$C$124/$C$8),0)</f>
        <v>0</v>
      </c>
      <c r="CY124" s="52">
        <f t="shared" si="481"/>
        <v>0</v>
      </c>
      <c r="CZ124" s="52">
        <f t="shared" si="481"/>
        <v>0</v>
      </c>
      <c r="DA124" s="52">
        <f t="shared" si="481"/>
        <v>0</v>
      </c>
      <c r="DB124" s="52">
        <f t="shared" si="481"/>
        <v>0</v>
      </c>
      <c r="DC124" s="52">
        <f t="shared" si="481"/>
        <v>0</v>
      </c>
      <c r="DD124" s="52">
        <f t="shared" si="481"/>
        <v>0</v>
      </c>
      <c r="DE124" s="52">
        <f t="shared" si="481"/>
        <v>0</v>
      </c>
      <c r="DF124" s="52">
        <f t="shared" si="481"/>
        <v>0</v>
      </c>
      <c r="DG124" s="52">
        <f t="shared" si="481"/>
        <v>0</v>
      </c>
      <c r="DH124" s="52">
        <f t="shared" si="481"/>
        <v>0</v>
      </c>
      <c r="DI124" s="52">
        <f t="shared" si="481"/>
        <v>0</v>
      </c>
      <c r="DJ124" s="52">
        <f t="shared" si="481"/>
        <v>0</v>
      </c>
      <c r="DK124" s="52">
        <f t="shared" si="481"/>
        <v>0</v>
      </c>
      <c r="DL124" s="52">
        <f t="shared" si="481"/>
        <v>0</v>
      </c>
      <c r="DM124" s="52">
        <f t="shared" si="481"/>
        <v>0</v>
      </c>
      <c r="DN124" s="52">
        <f t="shared" si="481"/>
        <v>0</v>
      </c>
      <c r="DO124" s="52">
        <f t="shared" si="481"/>
        <v>0</v>
      </c>
      <c r="DP124" s="52">
        <f t="shared" si="481"/>
        <v>0</v>
      </c>
      <c r="DQ124" s="52">
        <f t="shared" si="481"/>
        <v>0</v>
      </c>
      <c r="DR124" s="52">
        <f t="shared" si="481"/>
        <v>0</v>
      </c>
      <c r="DS124" s="52">
        <f t="shared" si="481"/>
        <v>0</v>
      </c>
      <c r="DT124" s="52">
        <f t="shared" si="481"/>
        <v>0</v>
      </c>
      <c r="DU124" s="52">
        <f t="shared" si="481"/>
        <v>0</v>
      </c>
      <c r="DV124" s="52">
        <f t="shared" si="481"/>
        <v>0</v>
      </c>
      <c r="DW124" s="52">
        <f t="shared" si="481"/>
        <v>0</v>
      </c>
      <c r="DX124" s="52">
        <f t="shared" si="481"/>
        <v>0</v>
      </c>
      <c r="DY124" s="52">
        <f t="shared" si="481"/>
        <v>0</v>
      </c>
      <c r="DZ124" s="52">
        <f t="shared" si="481"/>
        <v>0</v>
      </c>
      <c r="EA124" s="52">
        <f t="shared" si="481"/>
        <v>0</v>
      </c>
      <c r="EB124" s="52">
        <f t="shared" si="481"/>
        <v>0</v>
      </c>
      <c r="EC124" s="52">
        <f t="shared" si="481"/>
        <v>0</v>
      </c>
      <c r="ED124" s="52">
        <f t="shared" ref="ED124:FD124" si="482">IFERROR(IF(ED$28="FALSE",0,$C$124/$C$8),0)</f>
        <v>0</v>
      </c>
      <c r="EE124" s="52">
        <f t="shared" si="482"/>
        <v>0</v>
      </c>
      <c r="EF124" s="52">
        <f t="shared" si="482"/>
        <v>0</v>
      </c>
      <c r="EG124" s="52">
        <f t="shared" si="482"/>
        <v>0</v>
      </c>
      <c r="EH124" s="52">
        <f t="shared" si="482"/>
        <v>0</v>
      </c>
      <c r="EI124" s="52">
        <f t="shared" si="482"/>
        <v>0</v>
      </c>
      <c r="EJ124" s="52">
        <f t="shared" si="482"/>
        <v>0</v>
      </c>
      <c r="EK124" s="52">
        <f t="shared" si="482"/>
        <v>0</v>
      </c>
      <c r="EL124" s="52">
        <f t="shared" si="482"/>
        <v>0</v>
      </c>
      <c r="EM124" s="52">
        <f t="shared" si="482"/>
        <v>0</v>
      </c>
      <c r="EN124" s="52">
        <f t="shared" si="482"/>
        <v>0</v>
      </c>
      <c r="EO124" s="52">
        <f t="shared" si="482"/>
        <v>0</v>
      </c>
      <c r="EP124" s="52">
        <f t="shared" si="482"/>
        <v>0</v>
      </c>
      <c r="EQ124" s="52">
        <f t="shared" si="482"/>
        <v>0</v>
      </c>
      <c r="ER124" s="52">
        <f t="shared" si="482"/>
        <v>0</v>
      </c>
      <c r="ES124" s="52">
        <f t="shared" si="482"/>
        <v>0</v>
      </c>
      <c r="ET124" s="52">
        <f t="shared" si="482"/>
        <v>0</v>
      </c>
      <c r="EU124" s="52">
        <f t="shared" si="482"/>
        <v>0</v>
      </c>
      <c r="EV124" s="52">
        <f t="shared" si="482"/>
        <v>0</v>
      </c>
      <c r="EW124" s="52">
        <f t="shared" si="482"/>
        <v>0</v>
      </c>
      <c r="EX124" s="52">
        <f t="shared" si="482"/>
        <v>0</v>
      </c>
      <c r="EY124" s="52">
        <f t="shared" si="482"/>
        <v>0</v>
      </c>
      <c r="EZ124" s="52">
        <f t="shared" si="482"/>
        <v>0</v>
      </c>
      <c r="FA124" s="52">
        <f t="shared" si="482"/>
        <v>0</v>
      </c>
      <c r="FB124" s="52">
        <f t="shared" si="482"/>
        <v>0</v>
      </c>
      <c r="FC124" s="52">
        <f t="shared" si="482"/>
        <v>0</v>
      </c>
      <c r="FD124" s="52">
        <f t="shared" si="482"/>
        <v>0</v>
      </c>
    </row>
    <row r="125" spans="2:160">
      <c r="B125" s="51" t="s">
        <v>209</v>
      </c>
      <c r="C125" s="52">
        <f ca="1">IF(Startup!$C$3="Project",SUMIF(Startup!$C$7:$D$27,Overview!B125,Startup!$D$7:$D$27),(SUMIF(Startup!$C$7:$D$27,Overview!B125,Startup!$D$7:$D$27)*Startup!$C$4))+IF(Pilot!$C$3="Project",SUMIF(Pilot!$C$7:$D$27,Overview!B125,Pilot!$D$7:$D$27),(SUMIF(Pilot!$C$7:$D$27,Overview!B125,Pilot!$D$7:$D$27)*Pilot!$C$4))+IF(PMO!$C$3="Project",SUMIF(PMO!$C$7:$D$27,Overview!B125,PMO!$D$7:$D$27),(SUMIF(PMO!$C$7:$D$27,Overview!B125,PMO!$D$7:$D$27)*PMO!$C$4))+IF('Design &amp; Fulfillment'!$C$3="Project",SUMIF('Design &amp; Fulfillment'!$C$7:$D$27,Overview!B125,'Design &amp; Fulfillment'!$D$7:$D$27),(SUMIF('Design &amp; Fulfillment'!$C$7:$D$27,Overview!B125,'Design &amp; Fulfillment'!$D$7:$D$27)*'Design &amp; Fulfillment'!$C$4))+IF(Workplace!$C$3="Project",SUMIF(Workplace!$C$7:$D$27,Overview!B125,Workplace!$D$7:$D$27),(SUMIF(Workplace!$C$7:$D$27,Overview!B125,Workplace!$D$7:$D$27)*Workplace!$C$4))+IF(Integration!$C$3="Project",SUMIF(Integration!$C$7:$D$27,Overview!B125,Integration!$D$7:$D$27),(SUMIF(Integration!$C$7:$D$27,Overview!B125,Integration!$D$7:$D$27)*Integration!$C$4))+IF(Logistics!$C$3="Project",SUMIF(Logistics!$C$7:$D$27,Overview!B125,Logistics!$D$7:$D$27),(SUMIF(Logistics!$C$7:$D$27,Overview!B125,Logistics!$D$7:$D$27)*Logistics!$C$4))+IF('Service Desk'!$C$3="Project",SUMIF('Service Desk'!$C$7:$D$27,Overview!B125,'Service Desk'!$D$7:$D$27),(SUMIF('Service Desk'!$C$7:$D$27,Overview!B125,'Service Desk'!$D$7:$D$27)*'Service Desk'!$C$4))+IF('Pro Services'!$C$3="Project",SUMIF('Pro Services'!$C$7:$D$27,Overview!B125,'Pro Services'!$D$7:$D$27),(SUMIF('Pro Services'!$C$7:$D$27,Overview!B125,'Pro Services'!$D$7:$D$27)*'Pro Services'!$C$4))</f>
        <v>0</v>
      </c>
      <c r="D125" s="53">
        <f ca="1">IF(Startup!$C$3="Project",SUMIF(Startup!$C$7:$H$27,Overview!B125,Startup!$H$7:$H$27),(SUMIF(Startup!$C$7:$H$27,Overview!B125,Startup!$H$7:$H$27)*Startup!$C$4))+IF(Pilot!$C$3="Project",SUMIF(Pilot!$C$7:$H$27,Overview!B125,Pilot!$H$7:$H$27),(SUMIF(Pilot!$C$7:$H$27,Overview!B125,Pilot!$H$7:$H$27)*Pilot!$C$4))+IF(PMO!$C$3="Project",SUMIF(PMO!$C$7:$H$27,Overview!B125,PMO!$H$7:$H$27),(SUMIF(PMO!$C$7:$H$27,Overview!B125,PMO!$H$7:$H$27)*PMO!$C$4))+IF('Design &amp; Fulfillment'!$C$3="Project",SUMIF('Design &amp; Fulfillment'!$C$7:$H$27,Overview!B125,'Design &amp; Fulfillment'!$H$7:$H$27),(SUMIF('Design &amp; Fulfillment'!$C$7:$H$27,Overview!B125,'Design &amp; Fulfillment'!$H$7:$H$27)*'Design &amp; Fulfillment'!$C$4))+IF(Workplace!$C$3="Project",SUMIF(Workplace!$C$7:$H$27,Overview!B125,Workplace!$H$7:$H$27),(SUMIF(Workplace!$C$7:$H$27,Overview!B125,Workplace!$H$7:$H$27)*Workplace!$C$4))+IF(Integration!$C$3="Project",SUMIF(Integration!$C$7:$H$27,Overview!B125,Integration!$H$7:$H$27),(SUMIF(Integration!$C$7:$H$27,Overview!B125,Integration!$H$7:$H$27)*Integration!$C$4))+IF(Logistics!$C$3="Project",SUMIF(Logistics!$C$7:$H$27,Overview!B125,Logistics!$H$7:$H$27),(SUMIF(Logistics!$C$7:$H$27,Overview!B125,Logistics!$H$7:$H$27)*Logistics!$C$4))+IF('Service Desk'!$C$3="Project",SUMIF('Service Desk'!$C$7:$H$27,Overview!B125,'Service Desk'!$H$7:$H$27),(SUMIF('Service Desk'!$C$7:$H$27,Overview!B125,'Service Desk'!$H$7:$H$27)*'Service Desk'!$C$4))+IF('Pro Services'!$C$3="Project",SUMIF('Pro Services'!$C$7:$H$27,Overview!B125,'Pro Services'!$H$7:$H$27),(SUMIF('Pro Services'!$C$7:$H$27,Overview!B125,'Pro Services'!$H$7:$H$27)*'Pro Services'!$C$4))</f>
        <v>0</v>
      </c>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c r="BY125" s="52"/>
      <c r="BZ125" s="52"/>
      <c r="CA125" s="52"/>
      <c r="CB125" s="52"/>
      <c r="CC125" s="52"/>
      <c r="CD125" s="52"/>
      <c r="CE125" s="52"/>
      <c r="CF125" s="52"/>
      <c r="CG125" s="52"/>
      <c r="CH125" s="52"/>
      <c r="CI125" s="52"/>
      <c r="CJ125" s="52"/>
      <c r="CK125" s="52"/>
      <c r="CL125" s="52"/>
      <c r="CM125" s="52"/>
      <c r="CN125" s="52"/>
      <c r="CO125" s="52"/>
      <c r="CP125" s="52"/>
      <c r="CQ125" s="52"/>
      <c r="CR125" s="52"/>
      <c r="CS125" s="52"/>
      <c r="CT125" s="52"/>
      <c r="CU125" s="52"/>
      <c r="CV125" s="52"/>
      <c r="CW125" s="52"/>
      <c r="CX125" s="52"/>
      <c r="CY125" s="52"/>
      <c r="CZ125" s="52"/>
      <c r="DA125" s="52"/>
      <c r="DB125" s="52"/>
      <c r="DC125" s="52"/>
      <c r="DD125" s="52"/>
      <c r="DE125" s="52"/>
      <c r="DF125" s="52"/>
      <c r="DG125" s="52"/>
      <c r="DH125" s="52"/>
      <c r="DI125" s="52"/>
      <c r="DJ125" s="52"/>
      <c r="DK125" s="52"/>
      <c r="DL125" s="52"/>
      <c r="DM125" s="52"/>
      <c r="DN125" s="52"/>
      <c r="DO125" s="52"/>
      <c r="DP125" s="52"/>
      <c r="DQ125" s="52"/>
      <c r="DR125" s="52"/>
      <c r="DS125" s="52"/>
      <c r="DT125" s="52"/>
      <c r="DU125" s="52"/>
      <c r="DV125" s="52"/>
      <c r="DW125" s="52"/>
      <c r="DX125" s="52"/>
      <c r="DY125" s="52"/>
      <c r="DZ125" s="52"/>
      <c r="EA125" s="52"/>
      <c r="EB125" s="52"/>
      <c r="EC125" s="52"/>
      <c r="ED125" s="52"/>
      <c r="EE125" s="52"/>
      <c r="EF125" s="52"/>
      <c r="EG125" s="52"/>
      <c r="EH125" s="52"/>
      <c r="EI125" s="52"/>
      <c r="EJ125" s="52"/>
      <c r="EK125" s="52"/>
      <c r="EL125" s="52"/>
      <c r="EM125" s="52"/>
      <c r="EN125" s="52"/>
      <c r="EO125" s="52"/>
      <c r="EP125" s="52"/>
      <c r="EQ125" s="52"/>
      <c r="ER125" s="52"/>
      <c r="ES125" s="52"/>
      <c r="ET125" s="52"/>
      <c r="EU125" s="52"/>
      <c r="EV125" s="52"/>
      <c r="EW125" s="52"/>
      <c r="EX125" s="52"/>
      <c r="EY125" s="52"/>
      <c r="EZ125" s="52"/>
      <c r="FA125" s="52"/>
      <c r="FB125" s="52"/>
      <c r="FC125" s="52"/>
      <c r="FD125" s="52"/>
    </row>
    <row r="126" spans="2:160">
      <c r="B126" s="51" t="s">
        <v>210</v>
      </c>
      <c r="C126" s="52">
        <f ca="1">IF(Startup!$C$3="Project",SUMIF(Startup!$C$7:$D$27,Overview!B126,Startup!$D$7:$D$27),(SUMIF(Startup!$C$7:$D$27,Overview!B126,Startup!$D$7:$D$27)*Startup!$C$4))+IF(Pilot!$C$3="Project",SUMIF(Pilot!$C$7:$D$27,Overview!B126,Pilot!$D$7:$D$27),(SUMIF(Pilot!$C$7:$D$27,Overview!B126,Pilot!$D$7:$D$27)*Pilot!$C$4))+IF(PMO!$C$3="Project",SUMIF(PMO!$C$7:$D$27,Overview!B126,PMO!$D$7:$D$27),(SUMIF(PMO!$C$7:$D$27,Overview!B126,PMO!$D$7:$D$27)*PMO!$C$4))+IF('Design &amp; Fulfillment'!$C$3="Project",SUMIF('Design &amp; Fulfillment'!$C$7:$D$27,Overview!B126,'Design &amp; Fulfillment'!$D$7:$D$27),(SUMIF('Design &amp; Fulfillment'!$C$7:$D$27,Overview!B126,'Design &amp; Fulfillment'!$D$7:$D$27)*'Design &amp; Fulfillment'!$C$4))+IF(Workplace!$C$3="Project",SUMIF(Workplace!$C$7:$D$27,Overview!B126,Workplace!$D$7:$D$27),(SUMIF(Workplace!$C$7:$D$27,Overview!B126,Workplace!$D$7:$D$27)*Workplace!$C$4))+IF(Integration!$C$3="Project",SUMIF(Integration!$C$7:$D$27,Overview!B126,Integration!$D$7:$D$27),(SUMIF(Integration!$C$7:$D$27,Overview!B126,Integration!$D$7:$D$27)*Integration!$C$4))+IF(Logistics!$C$3="Project",SUMIF(Logistics!$C$7:$D$27,Overview!B126,Logistics!$D$7:$D$27),(SUMIF(Logistics!$C$7:$D$27,Overview!B126,Logistics!$D$7:$D$27)*Logistics!$C$4))+IF('Service Desk'!$C$3="Project",SUMIF('Service Desk'!$C$7:$D$27,Overview!B126,'Service Desk'!$D$7:$D$27),(SUMIF('Service Desk'!$C$7:$D$27,Overview!B126,'Service Desk'!$D$7:$D$27)*'Service Desk'!$C$4))+IF('Pro Services'!$C$3="Project",SUMIF('Pro Services'!$C$7:$D$27,Overview!B126,'Pro Services'!$D$7:$D$27),(SUMIF('Pro Services'!$C$7:$D$27,Overview!B126,'Pro Services'!$D$7:$D$27)*'Pro Services'!$C$4))</f>
        <v>0</v>
      </c>
      <c r="D126" s="53">
        <f ca="1">IF(Startup!$C$3="Project",SUMIF(Startup!$C$7:$H$27,Overview!B126,Startup!$H$7:$H$27),(SUMIF(Startup!$C$7:$H$27,Overview!B126,Startup!$H$7:$H$27)*Startup!$C$4))+IF(Pilot!$C$3="Project",SUMIF(Pilot!$C$7:$H$27,Overview!B126,Pilot!$H$7:$H$27),(SUMIF(Pilot!$C$7:$H$27,Overview!B126,Pilot!$H$7:$H$27)*Pilot!$C$4))+IF(PMO!$C$3="Project",SUMIF(PMO!$C$7:$H$27,Overview!B126,PMO!$H$7:$H$27),(SUMIF(PMO!$C$7:$H$27,Overview!B126,PMO!$H$7:$H$27)*PMO!$C$4))+IF('Design &amp; Fulfillment'!$C$3="Project",SUMIF('Design &amp; Fulfillment'!$C$7:$H$27,Overview!B126,'Design &amp; Fulfillment'!$H$7:$H$27),(SUMIF('Design &amp; Fulfillment'!$C$7:$H$27,Overview!B126,'Design &amp; Fulfillment'!$H$7:$H$27)*'Design &amp; Fulfillment'!$C$4))+IF(Workplace!$C$3="Project",SUMIF(Workplace!$C$7:$H$27,Overview!B126,Workplace!$H$7:$H$27),(SUMIF(Workplace!$C$7:$H$27,Overview!B126,Workplace!$H$7:$H$27)*Workplace!$C$4))+IF(Integration!$C$3="Project",SUMIF(Integration!$C$7:$H$27,Overview!B126,Integration!$H$7:$H$27),(SUMIF(Integration!$C$7:$H$27,Overview!B126,Integration!$H$7:$H$27)*Integration!$C$4))+IF(Logistics!$C$3="Project",SUMIF(Logistics!$C$7:$H$27,Overview!B126,Logistics!$H$7:$H$27),(SUMIF(Logistics!$C$7:$H$27,Overview!B126,Logistics!$H$7:$H$27)*Logistics!$C$4))+IF('Service Desk'!$C$3="Project",SUMIF('Service Desk'!$C$7:$H$27,Overview!B126,'Service Desk'!$H$7:$H$27),(SUMIF('Service Desk'!$C$7:$H$27,Overview!B126,'Service Desk'!$H$7:$H$27)*'Service Desk'!$C$4))+IF('Pro Services'!$C$3="Project",SUMIF('Pro Services'!$C$7:$H$27,Overview!B126,'Pro Services'!$H$7:$H$27),(SUMIF('Pro Services'!$C$7:$H$27,Overview!B126,'Pro Services'!$H$7:$H$27)*'Pro Services'!$C$4))</f>
        <v>0</v>
      </c>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c r="BY126" s="52"/>
      <c r="BZ126" s="52"/>
      <c r="CA126" s="52"/>
      <c r="CB126" s="52"/>
      <c r="CC126" s="52"/>
      <c r="CD126" s="52"/>
      <c r="CE126" s="52"/>
      <c r="CF126" s="52"/>
      <c r="CG126" s="52"/>
      <c r="CH126" s="52"/>
      <c r="CI126" s="52"/>
      <c r="CJ126" s="52"/>
      <c r="CK126" s="52"/>
      <c r="CL126" s="52"/>
      <c r="CM126" s="52"/>
      <c r="CN126" s="52"/>
      <c r="CO126" s="52"/>
      <c r="CP126" s="52"/>
      <c r="CQ126" s="52"/>
      <c r="CR126" s="52"/>
      <c r="CS126" s="52"/>
      <c r="CT126" s="52"/>
      <c r="CU126" s="52"/>
      <c r="CV126" s="52"/>
      <c r="CW126" s="52"/>
      <c r="CX126" s="52"/>
      <c r="CY126" s="52"/>
      <c r="CZ126" s="52"/>
      <c r="DA126" s="52"/>
      <c r="DB126" s="52"/>
      <c r="DC126" s="52"/>
      <c r="DD126" s="52"/>
      <c r="DE126" s="52"/>
      <c r="DF126" s="52"/>
      <c r="DG126" s="52"/>
      <c r="DH126" s="52"/>
      <c r="DI126" s="52"/>
      <c r="DJ126" s="52"/>
      <c r="DK126" s="52"/>
      <c r="DL126" s="52"/>
      <c r="DM126" s="52"/>
      <c r="DN126" s="52"/>
      <c r="DO126" s="52"/>
      <c r="DP126" s="52"/>
      <c r="DQ126" s="52"/>
      <c r="DR126" s="52"/>
      <c r="DS126" s="52"/>
      <c r="DT126" s="52"/>
      <c r="DU126" s="52"/>
      <c r="DV126" s="52"/>
      <c r="DW126" s="52"/>
      <c r="DX126" s="52"/>
      <c r="DY126" s="52"/>
      <c r="DZ126" s="52"/>
      <c r="EA126" s="52"/>
      <c r="EB126" s="52"/>
      <c r="EC126" s="52"/>
      <c r="ED126" s="52"/>
      <c r="EE126" s="52"/>
      <c r="EF126" s="52"/>
      <c r="EG126" s="52"/>
      <c r="EH126" s="52"/>
      <c r="EI126" s="52"/>
      <c r="EJ126" s="52"/>
      <c r="EK126" s="52"/>
      <c r="EL126" s="52"/>
      <c r="EM126" s="52"/>
      <c r="EN126" s="52"/>
      <c r="EO126" s="52"/>
      <c r="EP126" s="52"/>
      <c r="EQ126" s="52"/>
      <c r="ER126" s="52"/>
      <c r="ES126" s="52"/>
      <c r="ET126" s="52"/>
      <c r="EU126" s="52"/>
      <c r="EV126" s="52"/>
      <c r="EW126" s="52"/>
      <c r="EX126" s="52"/>
      <c r="EY126" s="52"/>
      <c r="EZ126" s="52"/>
      <c r="FA126" s="52"/>
      <c r="FB126" s="52"/>
      <c r="FC126" s="52"/>
      <c r="FD126" s="52"/>
    </row>
    <row r="127" spans="2:160">
      <c r="B127" s="51" t="s">
        <v>211</v>
      </c>
      <c r="C127" s="52">
        <f ca="1">IF(Startup!$C$3="Project",SUMIF(Startup!$C$7:$D$27,Overview!B127,Startup!$D$7:$D$27),(SUMIF(Startup!$C$7:$D$27,Overview!B127,Startup!$D$7:$D$27)*Startup!$C$4))+IF(Pilot!$C$3="Project",SUMIF(Pilot!$C$7:$D$27,Overview!B127,Pilot!$D$7:$D$27),(SUMIF(Pilot!$C$7:$D$27,Overview!B127,Pilot!$D$7:$D$27)*Pilot!$C$4))+IF(PMO!$C$3="Project",SUMIF(PMO!$C$7:$D$27,Overview!B127,PMO!$D$7:$D$27),(SUMIF(PMO!$C$7:$D$27,Overview!B127,PMO!$D$7:$D$27)*PMO!$C$4))+IF('Design &amp; Fulfillment'!$C$3="Project",SUMIF('Design &amp; Fulfillment'!$C$7:$D$27,Overview!B127,'Design &amp; Fulfillment'!$D$7:$D$27),(SUMIF('Design &amp; Fulfillment'!$C$7:$D$27,Overview!B127,'Design &amp; Fulfillment'!$D$7:$D$27)*'Design &amp; Fulfillment'!$C$4))+IF(Workplace!$C$3="Project",SUMIF(Workplace!$C$7:$D$27,Overview!B127,Workplace!$D$7:$D$27),(SUMIF(Workplace!$C$7:$D$27,Overview!B127,Workplace!$D$7:$D$27)*Workplace!$C$4))+IF(Integration!$C$3="Project",SUMIF(Integration!$C$7:$D$27,Overview!B127,Integration!$D$7:$D$27),(SUMIF(Integration!$C$7:$D$27,Overview!B127,Integration!$D$7:$D$27)*Integration!$C$4))+IF(Logistics!$C$3="Project",SUMIF(Logistics!$C$7:$D$27,Overview!B127,Logistics!$D$7:$D$27),(SUMIF(Logistics!$C$7:$D$27,Overview!B127,Logistics!$D$7:$D$27)*Logistics!$C$4))+IF('Service Desk'!$C$3="Project",SUMIF('Service Desk'!$C$7:$D$27,Overview!B127,'Service Desk'!$D$7:$D$27),(SUMIF('Service Desk'!$C$7:$D$27,Overview!B127,'Service Desk'!$D$7:$D$27)*'Service Desk'!$C$4))+IF('Pro Services'!$C$3="Project",SUMIF('Pro Services'!$C$7:$D$27,Overview!B127,'Pro Services'!$D$7:$D$27),(SUMIF('Pro Services'!$C$7:$D$27,Overview!B127,'Pro Services'!$D$7:$D$27)*'Pro Services'!$C$4))</f>
        <v>0</v>
      </c>
      <c r="D127" s="53">
        <f ca="1">IF(Startup!$C$3="Project",SUMIF(Startup!$C$7:$H$27,Overview!B127,Startup!$H$7:$H$27),(SUMIF(Startup!$C$7:$H$27,Overview!B127,Startup!$H$7:$H$27)*Startup!$C$4))+IF(Pilot!$C$3="Project",SUMIF(Pilot!$C$7:$H$27,Overview!B127,Pilot!$H$7:$H$27),(SUMIF(Pilot!$C$7:$H$27,Overview!B127,Pilot!$H$7:$H$27)*Pilot!$C$4))+IF(PMO!$C$3="Project",SUMIF(PMO!$C$7:$H$27,Overview!B127,PMO!$H$7:$H$27),(SUMIF(PMO!$C$7:$H$27,Overview!B127,PMO!$H$7:$H$27)*PMO!$C$4))+IF('Design &amp; Fulfillment'!$C$3="Project",SUMIF('Design &amp; Fulfillment'!$C$7:$H$27,Overview!B127,'Design &amp; Fulfillment'!$H$7:$H$27),(SUMIF('Design &amp; Fulfillment'!$C$7:$H$27,Overview!B127,'Design &amp; Fulfillment'!$H$7:$H$27)*'Design &amp; Fulfillment'!$C$4))+IF(Workplace!$C$3="Project",SUMIF(Workplace!$C$7:$H$27,Overview!B127,Workplace!$H$7:$H$27),(SUMIF(Workplace!$C$7:$H$27,Overview!B127,Workplace!$H$7:$H$27)*Workplace!$C$4))+IF(Integration!$C$3="Project",SUMIF(Integration!$C$7:$H$27,Overview!B127,Integration!$H$7:$H$27),(SUMIF(Integration!$C$7:$H$27,Overview!B127,Integration!$H$7:$H$27)*Integration!$C$4))+IF(Logistics!$C$3="Project",SUMIF(Logistics!$C$7:$H$27,Overview!B127,Logistics!$H$7:$H$27),(SUMIF(Logistics!$C$7:$H$27,Overview!B127,Logistics!$H$7:$H$27)*Logistics!$C$4))+IF('Service Desk'!$C$3="Project",SUMIF('Service Desk'!$C$7:$H$27,Overview!B127,'Service Desk'!$H$7:$H$27),(SUMIF('Service Desk'!$C$7:$H$27,Overview!B127,'Service Desk'!$H$7:$H$27)*'Service Desk'!$C$4))+IF('Pro Services'!$C$3="Project",SUMIF('Pro Services'!$C$7:$H$27,Overview!B127,'Pro Services'!$H$7:$H$27),(SUMIF('Pro Services'!$C$7:$H$27,Overview!B127,'Pro Services'!$H$7:$H$27)*'Pro Services'!$C$4))</f>
        <v>0</v>
      </c>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c r="BY127" s="52"/>
      <c r="BZ127" s="52"/>
      <c r="CA127" s="52"/>
      <c r="CB127" s="52"/>
      <c r="CC127" s="52"/>
      <c r="CD127" s="52"/>
      <c r="CE127" s="52"/>
      <c r="CF127" s="52"/>
      <c r="CG127" s="52"/>
      <c r="CH127" s="52"/>
      <c r="CI127" s="52"/>
      <c r="CJ127" s="52"/>
      <c r="CK127" s="52"/>
      <c r="CL127" s="52"/>
      <c r="CM127" s="52"/>
      <c r="CN127" s="52"/>
      <c r="CO127" s="52"/>
      <c r="CP127" s="52"/>
      <c r="CQ127" s="52"/>
      <c r="CR127" s="52"/>
      <c r="CS127" s="52"/>
      <c r="CT127" s="52"/>
      <c r="CU127" s="52"/>
      <c r="CV127" s="52"/>
      <c r="CW127" s="52"/>
      <c r="CX127" s="52"/>
      <c r="CY127" s="52"/>
      <c r="CZ127" s="52"/>
      <c r="DA127" s="52"/>
      <c r="DB127" s="52"/>
      <c r="DC127" s="52"/>
      <c r="DD127" s="52"/>
      <c r="DE127" s="52"/>
      <c r="DF127" s="52"/>
      <c r="DG127" s="52"/>
      <c r="DH127" s="52"/>
      <c r="DI127" s="52"/>
      <c r="DJ127" s="52"/>
      <c r="DK127" s="52"/>
      <c r="DL127" s="52"/>
      <c r="DM127" s="52"/>
      <c r="DN127" s="52"/>
      <c r="DO127" s="52"/>
      <c r="DP127" s="52"/>
      <c r="DQ127" s="52"/>
      <c r="DR127" s="52"/>
      <c r="DS127" s="52"/>
      <c r="DT127" s="52"/>
      <c r="DU127" s="52"/>
      <c r="DV127" s="52"/>
      <c r="DW127" s="52"/>
      <c r="DX127" s="52"/>
      <c r="DY127" s="52"/>
      <c r="DZ127" s="52"/>
      <c r="EA127" s="52"/>
      <c r="EB127" s="52"/>
      <c r="EC127" s="52"/>
      <c r="ED127" s="52"/>
      <c r="EE127" s="52"/>
      <c r="EF127" s="52"/>
      <c r="EG127" s="52"/>
      <c r="EH127" s="52"/>
      <c r="EI127" s="52"/>
      <c r="EJ127" s="52"/>
      <c r="EK127" s="52"/>
      <c r="EL127" s="52"/>
      <c r="EM127" s="52"/>
      <c r="EN127" s="52"/>
      <c r="EO127" s="52"/>
      <c r="EP127" s="52"/>
      <c r="EQ127" s="52"/>
      <c r="ER127" s="52"/>
      <c r="ES127" s="52"/>
      <c r="ET127" s="52"/>
      <c r="EU127" s="52"/>
      <c r="EV127" s="52"/>
      <c r="EW127" s="52"/>
      <c r="EX127" s="52"/>
      <c r="EY127" s="52"/>
      <c r="EZ127" s="52"/>
      <c r="FA127" s="52"/>
      <c r="FB127" s="52"/>
      <c r="FC127" s="52"/>
      <c r="FD127" s="52"/>
    </row>
    <row r="128" spans="2:160">
      <c r="B128" s="51" t="s">
        <v>212</v>
      </c>
      <c r="C128" s="52">
        <f ca="1">IF(Startup!$C$3="Project",SUMIF(Startup!$C$7:$D$27,Overview!B128,Startup!$D$7:$D$27),(SUMIF(Startup!$C$7:$D$27,Overview!B128,Startup!$D$7:$D$27)*Startup!$C$4))+IF(Pilot!$C$3="Project",SUMIF(Pilot!$C$7:$D$27,Overview!B128,Pilot!$D$7:$D$27),(SUMIF(Pilot!$C$7:$D$27,Overview!B128,Pilot!$D$7:$D$27)*Pilot!$C$4))+IF(PMO!$C$3="Project",SUMIF(PMO!$C$7:$D$27,Overview!B128,PMO!$D$7:$D$27),(SUMIF(PMO!$C$7:$D$27,Overview!B128,PMO!$D$7:$D$27)*PMO!$C$4))+IF('Design &amp; Fulfillment'!$C$3="Project",SUMIF('Design &amp; Fulfillment'!$C$7:$D$27,Overview!B128,'Design &amp; Fulfillment'!$D$7:$D$27),(SUMIF('Design &amp; Fulfillment'!$C$7:$D$27,Overview!B128,'Design &amp; Fulfillment'!$D$7:$D$27)*'Design &amp; Fulfillment'!$C$4))+IF(Workplace!$C$3="Project",SUMIF(Workplace!$C$7:$D$27,Overview!B128,Workplace!$D$7:$D$27),(SUMIF(Workplace!$C$7:$D$27,Overview!B128,Workplace!$D$7:$D$27)*Workplace!$C$4))+IF(Integration!$C$3="Project",SUMIF(Integration!$C$7:$D$27,Overview!B128,Integration!$D$7:$D$27),(SUMIF(Integration!$C$7:$D$27,Overview!B128,Integration!$D$7:$D$27)*Integration!$C$4))+IF(Logistics!$C$3="Project",SUMIF(Logistics!$C$7:$D$27,Overview!B128,Logistics!$D$7:$D$27),(SUMIF(Logistics!$C$7:$D$27,Overview!B128,Logistics!$D$7:$D$27)*Logistics!$C$4))+IF('Service Desk'!$C$3="Project",SUMIF('Service Desk'!$C$7:$D$27,Overview!B128,'Service Desk'!$D$7:$D$27),(SUMIF('Service Desk'!$C$7:$D$27,Overview!B128,'Service Desk'!$D$7:$D$27)*'Service Desk'!$C$4))+IF('Pro Services'!$C$3="Project",SUMIF('Pro Services'!$C$7:$D$27,Overview!B128,'Pro Services'!$D$7:$D$27),(SUMIF('Pro Services'!$C$7:$D$27,Overview!B128,'Pro Services'!$D$7:$D$27)*'Pro Services'!$C$4))</f>
        <v>0</v>
      </c>
      <c r="D128" s="53">
        <f ca="1">IF(Startup!$C$3="Project",SUMIF(Startup!$C$7:$H$27,Overview!B128,Startup!$H$7:$H$27),(SUMIF(Startup!$C$7:$H$27,Overview!B128,Startup!$H$7:$H$27)*Startup!$C$4))+IF(Pilot!$C$3="Project",SUMIF(Pilot!$C$7:$H$27,Overview!B128,Pilot!$H$7:$H$27),(SUMIF(Pilot!$C$7:$H$27,Overview!B128,Pilot!$H$7:$H$27)*Pilot!$C$4))+IF(PMO!$C$3="Project",SUMIF(PMO!$C$7:$H$27,Overview!B128,PMO!$H$7:$H$27),(SUMIF(PMO!$C$7:$H$27,Overview!B128,PMO!$H$7:$H$27)*PMO!$C$4))+IF('Design &amp; Fulfillment'!$C$3="Project",SUMIF('Design &amp; Fulfillment'!$C$7:$H$27,Overview!B128,'Design &amp; Fulfillment'!$H$7:$H$27),(SUMIF('Design &amp; Fulfillment'!$C$7:$H$27,Overview!B128,'Design &amp; Fulfillment'!$H$7:$H$27)*'Design &amp; Fulfillment'!$C$4))+IF(Workplace!$C$3="Project",SUMIF(Workplace!$C$7:$H$27,Overview!B128,Workplace!$H$7:$H$27),(SUMIF(Workplace!$C$7:$H$27,Overview!B128,Workplace!$H$7:$H$27)*Workplace!$C$4))+IF(Integration!$C$3="Project",SUMIF(Integration!$C$7:$H$27,Overview!B128,Integration!$H$7:$H$27),(SUMIF(Integration!$C$7:$H$27,Overview!B128,Integration!$H$7:$H$27)*Integration!$C$4))+IF(Logistics!$C$3="Project",SUMIF(Logistics!$C$7:$H$27,Overview!B128,Logistics!$H$7:$H$27),(SUMIF(Logistics!$C$7:$H$27,Overview!B128,Logistics!$H$7:$H$27)*Logistics!$C$4))+IF('Service Desk'!$C$3="Project",SUMIF('Service Desk'!$C$7:$H$27,Overview!B128,'Service Desk'!$H$7:$H$27),(SUMIF('Service Desk'!$C$7:$H$27,Overview!B128,'Service Desk'!$H$7:$H$27)*'Service Desk'!$C$4))+IF('Pro Services'!$C$3="Project",SUMIF('Pro Services'!$C$7:$H$27,Overview!B128,'Pro Services'!$H$7:$H$27),(SUMIF('Pro Services'!$C$7:$H$27,Overview!B128,'Pro Services'!$H$7:$H$27)*'Pro Services'!$C$4))</f>
        <v>0</v>
      </c>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c r="BY128" s="52"/>
      <c r="BZ128" s="52"/>
      <c r="CA128" s="52"/>
      <c r="CB128" s="52"/>
      <c r="CC128" s="52"/>
      <c r="CD128" s="52"/>
      <c r="CE128" s="52"/>
      <c r="CF128" s="52"/>
      <c r="CG128" s="52"/>
      <c r="CH128" s="52"/>
      <c r="CI128" s="52"/>
      <c r="CJ128" s="52"/>
      <c r="CK128" s="52"/>
      <c r="CL128" s="52"/>
      <c r="CM128" s="52"/>
      <c r="CN128" s="52"/>
      <c r="CO128" s="52"/>
      <c r="CP128" s="52"/>
      <c r="CQ128" s="52"/>
      <c r="CR128" s="52"/>
      <c r="CS128" s="52"/>
      <c r="CT128" s="52"/>
      <c r="CU128" s="52"/>
      <c r="CV128" s="52"/>
      <c r="CW128" s="52"/>
      <c r="CX128" s="52"/>
      <c r="CY128" s="52"/>
      <c r="CZ128" s="52"/>
      <c r="DA128" s="52"/>
      <c r="DB128" s="52"/>
      <c r="DC128" s="52"/>
      <c r="DD128" s="52"/>
      <c r="DE128" s="52"/>
      <c r="DF128" s="52"/>
      <c r="DG128" s="52"/>
      <c r="DH128" s="52"/>
      <c r="DI128" s="52"/>
      <c r="DJ128" s="52"/>
      <c r="DK128" s="52"/>
      <c r="DL128" s="52"/>
      <c r="DM128" s="52"/>
      <c r="DN128" s="52"/>
      <c r="DO128" s="52"/>
      <c r="DP128" s="52"/>
      <c r="DQ128" s="52"/>
      <c r="DR128" s="52"/>
      <c r="DS128" s="52"/>
      <c r="DT128" s="52"/>
      <c r="DU128" s="52"/>
      <c r="DV128" s="52"/>
      <c r="DW128" s="52"/>
      <c r="DX128" s="52"/>
      <c r="DY128" s="52"/>
      <c r="DZ128" s="52"/>
      <c r="EA128" s="52"/>
      <c r="EB128" s="52"/>
      <c r="EC128" s="52"/>
      <c r="ED128" s="52"/>
      <c r="EE128" s="52"/>
      <c r="EF128" s="52"/>
      <c r="EG128" s="52"/>
      <c r="EH128" s="52"/>
      <c r="EI128" s="52"/>
      <c r="EJ128" s="52"/>
      <c r="EK128" s="52"/>
      <c r="EL128" s="52"/>
      <c r="EM128" s="52"/>
      <c r="EN128" s="52"/>
      <c r="EO128" s="52"/>
      <c r="EP128" s="52"/>
      <c r="EQ128" s="52"/>
      <c r="ER128" s="52"/>
      <c r="ES128" s="52"/>
      <c r="ET128" s="52"/>
      <c r="EU128" s="52"/>
      <c r="EV128" s="52"/>
      <c r="EW128" s="52"/>
      <c r="EX128" s="52"/>
      <c r="EY128" s="52"/>
      <c r="EZ128" s="52"/>
      <c r="FA128" s="52"/>
      <c r="FB128" s="52"/>
      <c r="FC128" s="52"/>
      <c r="FD128" s="52"/>
    </row>
    <row r="129" spans="2:160">
      <c r="B129" s="51" t="s">
        <v>213</v>
      </c>
      <c r="C129" s="52">
        <f ca="1">IF(Startup!$C$3="Project",SUMIF(Startup!$C$7:$D$27,Overview!B129,Startup!$D$7:$D$27),(SUMIF(Startup!$C$7:$D$27,Overview!B129,Startup!$D$7:$D$27)*Startup!$C$4))+IF(Pilot!$C$3="Project",SUMIF(Pilot!$C$7:$D$27,Overview!B129,Pilot!$D$7:$D$27),(SUMIF(Pilot!$C$7:$D$27,Overview!B129,Pilot!$D$7:$D$27)*Pilot!$C$4))+IF(PMO!$C$3="Project",SUMIF(PMO!$C$7:$D$27,Overview!B129,PMO!$D$7:$D$27),(SUMIF(PMO!$C$7:$D$27,Overview!B129,PMO!$D$7:$D$27)*PMO!$C$4))+IF('Design &amp; Fulfillment'!$C$3="Project",SUMIF('Design &amp; Fulfillment'!$C$7:$D$27,Overview!B129,'Design &amp; Fulfillment'!$D$7:$D$27),(SUMIF('Design &amp; Fulfillment'!$C$7:$D$27,Overview!B129,'Design &amp; Fulfillment'!$D$7:$D$27)*'Design &amp; Fulfillment'!$C$4))+IF(Workplace!$C$3="Project",SUMIF(Workplace!$C$7:$D$27,Overview!B129,Workplace!$D$7:$D$27),(SUMIF(Workplace!$C$7:$D$27,Overview!B129,Workplace!$D$7:$D$27)*Workplace!$C$4))+IF(Integration!$C$3="Project",SUMIF(Integration!$C$7:$D$27,Overview!B129,Integration!$D$7:$D$27),(SUMIF(Integration!$C$7:$D$27,Overview!B129,Integration!$D$7:$D$27)*Integration!$C$4))+IF(Logistics!$C$3="Project",SUMIF(Logistics!$C$7:$D$27,Overview!B129,Logistics!$D$7:$D$27),(SUMIF(Logistics!$C$7:$D$27,Overview!B129,Logistics!$D$7:$D$27)*Logistics!$C$4))+IF('Service Desk'!$C$3="Project",SUMIF('Service Desk'!$C$7:$D$27,Overview!B129,'Service Desk'!$D$7:$D$27),(SUMIF('Service Desk'!$C$7:$D$27,Overview!B129,'Service Desk'!$D$7:$D$27)*'Service Desk'!$C$4))+IF('Pro Services'!$C$3="Project",SUMIF('Pro Services'!$C$7:$D$27,Overview!B129,'Pro Services'!$D$7:$D$27),(SUMIF('Pro Services'!$C$7:$D$27,Overview!B129,'Pro Services'!$D$7:$D$27)*'Pro Services'!$C$4))</f>
        <v>142</v>
      </c>
      <c r="D129" s="53">
        <f ca="1">IF(Startup!$C$3="Project",SUMIF(Startup!$C$7:$H$27,Overview!B129,Startup!$H$7:$H$27),(SUMIF(Startup!$C$7:$H$27,Overview!B129,Startup!$H$7:$H$27)*Startup!$C$4))+IF(Pilot!$C$3="Project",SUMIF(Pilot!$C$7:$H$27,Overview!B129,Pilot!$H$7:$H$27),(SUMIF(Pilot!$C$7:$H$27,Overview!B129,Pilot!$H$7:$H$27)*Pilot!$C$4))+IF(PMO!$C$3="Project",SUMIF(PMO!$C$7:$H$27,Overview!B129,PMO!$H$7:$H$27),(SUMIF(PMO!$C$7:$H$27,Overview!B129,PMO!$H$7:$H$27)*PMO!$C$4))+IF('Design &amp; Fulfillment'!$C$3="Project",SUMIF('Design &amp; Fulfillment'!$C$7:$H$27,Overview!B129,'Design &amp; Fulfillment'!$H$7:$H$27),(SUMIF('Design &amp; Fulfillment'!$C$7:$H$27,Overview!B129,'Design &amp; Fulfillment'!$H$7:$H$27)*'Design &amp; Fulfillment'!$C$4))+IF(Workplace!$C$3="Project",SUMIF(Workplace!$C$7:$H$27,Overview!B129,Workplace!$H$7:$H$27),(SUMIF(Workplace!$C$7:$H$27,Overview!B129,Workplace!$H$7:$H$27)*Workplace!$C$4))+IF(Integration!$C$3="Project",SUMIF(Integration!$C$7:$H$27,Overview!B129,Integration!$H$7:$H$27),(SUMIF(Integration!$C$7:$H$27,Overview!B129,Integration!$H$7:$H$27)*Integration!$C$4))+IF(Logistics!$C$3="Project",SUMIF(Logistics!$C$7:$H$27,Overview!B129,Logistics!$H$7:$H$27),(SUMIF(Logistics!$C$7:$H$27,Overview!B129,Logistics!$H$7:$H$27)*Logistics!$C$4))+IF('Service Desk'!$C$3="Project",SUMIF('Service Desk'!$C$7:$H$27,Overview!B129,'Service Desk'!$H$7:$H$27),(SUMIF('Service Desk'!$C$7:$H$27,Overview!B129,'Service Desk'!$H$7:$H$27)*'Service Desk'!$C$4))+IF('Pro Services'!$C$3="Project",SUMIF('Pro Services'!$C$7:$H$27,Overview!B129,'Pro Services'!$H$7:$H$27),(SUMIF('Pro Services'!$C$7:$H$27,Overview!B129,'Pro Services'!$H$7:$H$27)*'Pro Services'!$C$4))</f>
        <v>1420</v>
      </c>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c r="BY129" s="52"/>
      <c r="BZ129" s="52"/>
      <c r="CA129" s="52"/>
      <c r="CB129" s="52"/>
      <c r="CC129" s="52"/>
      <c r="CD129" s="52"/>
      <c r="CE129" s="52"/>
      <c r="CF129" s="52"/>
      <c r="CG129" s="52"/>
      <c r="CH129" s="52"/>
      <c r="CI129" s="52"/>
      <c r="CJ129" s="52"/>
      <c r="CK129" s="52"/>
      <c r="CL129" s="52"/>
      <c r="CM129" s="52"/>
      <c r="CN129" s="52"/>
      <c r="CO129" s="52"/>
      <c r="CP129" s="52"/>
      <c r="CQ129" s="52"/>
      <c r="CR129" s="52"/>
      <c r="CS129" s="52"/>
      <c r="CT129" s="52"/>
      <c r="CU129" s="52"/>
      <c r="CV129" s="52"/>
      <c r="CW129" s="52"/>
      <c r="CX129" s="52"/>
      <c r="CY129" s="52"/>
      <c r="CZ129" s="52"/>
      <c r="DA129" s="52"/>
      <c r="DB129" s="52"/>
      <c r="DC129" s="52"/>
      <c r="DD129" s="52"/>
      <c r="DE129" s="52"/>
      <c r="DF129" s="52"/>
      <c r="DG129" s="52"/>
      <c r="DH129" s="52"/>
      <c r="DI129" s="52"/>
      <c r="DJ129" s="52"/>
      <c r="DK129" s="52"/>
      <c r="DL129" s="52"/>
      <c r="DM129" s="52"/>
      <c r="DN129" s="52"/>
      <c r="DO129" s="52"/>
      <c r="DP129" s="52"/>
      <c r="DQ129" s="52"/>
      <c r="DR129" s="52"/>
      <c r="DS129" s="52"/>
      <c r="DT129" s="52"/>
      <c r="DU129" s="52"/>
      <c r="DV129" s="52"/>
      <c r="DW129" s="52"/>
      <c r="DX129" s="52"/>
      <c r="DY129" s="52"/>
      <c r="DZ129" s="52"/>
      <c r="EA129" s="52"/>
      <c r="EB129" s="52"/>
      <c r="EC129" s="52"/>
      <c r="ED129" s="52"/>
      <c r="EE129" s="52"/>
      <c r="EF129" s="52"/>
      <c r="EG129" s="52"/>
      <c r="EH129" s="52"/>
      <c r="EI129" s="52"/>
      <c r="EJ129" s="52"/>
      <c r="EK129" s="52"/>
      <c r="EL129" s="52"/>
      <c r="EM129" s="52"/>
      <c r="EN129" s="52"/>
      <c r="EO129" s="52"/>
      <c r="EP129" s="52"/>
      <c r="EQ129" s="52"/>
      <c r="ER129" s="52"/>
      <c r="ES129" s="52"/>
      <c r="ET129" s="52"/>
      <c r="EU129" s="52"/>
      <c r="EV129" s="52"/>
      <c r="EW129" s="52"/>
      <c r="EX129" s="52"/>
      <c r="EY129" s="52"/>
      <c r="EZ129" s="52"/>
      <c r="FA129" s="52"/>
      <c r="FB129" s="52"/>
      <c r="FC129" s="52"/>
      <c r="FD129" s="52"/>
    </row>
    <row r="130" spans="2:160">
      <c r="B130" s="51" t="s">
        <v>214</v>
      </c>
      <c r="C130" s="52">
        <f ca="1">IF(Startup!$C$3="Project",SUMIF(Startup!$C$7:$D$27,Overview!B130,Startup!$D$7:$D$27),(SUMIF(Startup!$C$7:$D$27,Overview!B130,Startup!$D$7:$D$27)*Startup!$C$4))+IF(Pilot!$C$3="Project",SUMIF(Pilot!$C$7:$D$27,Overview!B130,Pilot!$D$7:$D$27),(SUMIF(Pilot!$C$7:$D$27,Overview!B130,Pilot!$D$7:$D$27)*Pilot!$C$4))+IF(PMO!$C$3="Project",SUMIF(PMO!$C$7:$D$27,Overview!B130,PMO!$D$7:$D$27),(SUMIF(PMO!$C$7:$D$27,Overview!B130,PMO!$D$7:$D$27)*PMO!$C$4))+IF('Design &amp; Fulfillment'!$C$3="Project",SUMIF('Design &amp; Fulfillment'!$C$7:$D$27,Overview!B130,'Design &amp; Fulfillment'!$D$7:$D$27),(SUMIF('Design &amp; Fulfillment'!$C$7:$D$27,Overview!B130,'Design &amp; Fulfillment'!$D$7:$D$27)*'Design &amp; Fulfillment'!$C$4))+IF(Workplace!$C$3="Project",SUMIF(Workplace!$C$7:$D$27,Overview!B130,Workplace!$D$7:$D$27),(SUMIF(Workplace!$C$7:$D$27,Overview!B130,Workplace!$D$7:$D$27)*Workplace!$C$4))+IF(Integration!$C$3="Project",SUMIF(Integration!$C$7:$D$27,Overview!B130,Integration!$D$7:$D$27),(SUMIF(Integration!$C$7:$D$27,Overview!B130,Integration!$D$7:$D$27)*Integration!$C$4))+IF(Logistics!$C$3="Project",SUMIF(Logistics!$C$7:$D$27,Overview!B130,Logistics!$D$7:$D$27),(SUMIF(Logistics!$C$7:$D$27,Overview!B130,Logistics!$D$7:$D$27)*Logistics!$C$4))+IF('Service Desk'!$C$3="Project",SUMIF('Service Desk'!$C$7:$D$27,Overview!B130,'Service Desk'!$D$7:$D$27),(SUMIF('Service Desk'!$C$7:$D$27,Overview!B130,'Service Desk'!$D$7:$D$27)*'Service Desk'!$C$4))+IF('Pro Services'!$C$3="Project",SUMIF('Pro Services'!$C$7:$D$27,Overview!B130,'Pro Services'!$D$7:$D$27),(SUMIF('Pro Services'!$C$7:$D$27,Overview!B130,'Pro Services'!$D$7:$D$27)*'Pro Services'!$C$4))</f>
        <v>0</v>
      </c>
      <c r="D130" s="53">
        <f ca="1">IF(Startup!$C$3="Project",SUMIF(Startup!$C$7:$H$27,Overview!B130,Startup!$H$7:$H$27),(SUMIF(Startup!$C$7:$H$27,Overview!B130,Startup!$H$7:$H$27)*Startup!$C$4))+IF(Pilot!$C$3="Project",SUMIF(Pilot!$C$7:$H$27,Overview!B130,Pilot!$H$7:$H$27),(SUMIF(Pilot!$C$7:$H$27,Overview!B130,Pilot!$H$7:$H$27)*Pilot!$C$4))+IF(PMO!$C$3="Project",SUMIF(PMO!$C$7:$H$27,Overview!B130,PMO!$H$7:$H$27),(SUMIF(PMO!$C$7:$H$27,Overview!B130,PMO!$H$7:$H$27)*PMO!$C$4))+IF('Design &amp; Fulfillment'!$C$3="Project",SUMIF('Design &amp; Fulfillment'!$C$7:$H$27,Overview!B130,'Design &amp; Fulfillment'!$H$7:$H$27),(SUMIF('Design &amp; Fulfillment'!$C$7:$H$27,Overview!B130,'Design &amp; Fulfillment'!$H$7:$H$27)*'Design &amp; Fulfillment'!$C$4))+IF(Workplace!$C$3="Project",SUMIF(Workplace!$C$7:$H$27,Overview!B130,Workplace!$H$7:$H$27),(SUMIF(Workplace!$C$7:$H$27,Overview!B130,Workplace!$H$7:$H$27)*Workplace!$C$4))+IF(Integration!$C$3="Project",SUMIF(Integration!$C$7:$H$27,Overview!B130,Integration!$H$7:$H$27),(SUMIF(Integration!$C$7:$H$27,Overview!B130,Integration!$H$7:$H$27)*Integration!$C$4))+IF(Logistics!$C$3="Project",SUMIF(Logistics!$C$7:$H$27,Overview!B130,Logistics!$H$7:$H$27),(SUMIF(Logistics!$C$7:$H$27,Overview!B130,Logistics!$H$7:$H$27)*Logistics!$C$4))+IF('Service Desk'!$C$3="Project",SUMIF('Service Desk'!$C$7:$H$27,Overview!B130,'Service Desk'!$H$7:$H$27),(SUMIF('Service Desk'!$C$7:$H$27,Overview!B130,'Service Desk'!$H$7:$H$27)*'Service Desk'!$C$4))+IF('Pro Services'!$C$3="Project",SUMIF('Pro Services'!$C$7:$H$27,Overview!B130,'Pro Services'!$H$7:$H$27),(SUMIF('Pro Services'!$C$7:$H$27,Overview!B130,'Pro Services'!$H$7:$H$27)*'Pro Services'!$C$4))</f>
        <v>0</v>
      </c>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c r="BY130" s="52"/>
      <c r="BZ130" s="52"/>
      <c r="CA130" s="52"/>
      <c r="CB130" s="52"/>
      <c r="CC130" s="52"/>
      <c r="CD130" s="52"/>
      <c r="CE130" s="52"/>
      <c r="CF130" s="52"/>
      <c r="CG130" s="52"/>
      <c r="CH130" s="52"/>
      <c r="CI130" s="52"/>
      <c r="CJ130" s="52"/>
      <c r="CK130" s="52"/>
      <c r="CL130" s="52"/>
      <c r="CM130" s="52"/>
      <c r="CN130" s="52"/>
      <c r="CO130" s="52"/>
      <c r="CP130" s="52"/>
      <c r="CQ130" s="52"/>
      <c r="CR130" s="52"/>
      <c r="CS130" s="52"/>
      <c r="CT130" s="52"/>
      <c r="CU130" s="52"/>
      <c r="CV130" s="52"/>
      <c r="CW130" s="52"/>
      <c r="CX130" s="52"/>
      <c r="CY130" s="52"/>
      <c r="CZ130" s="52"/>
      <c r="DA130" s="52"/>
      <c r="DB130" s="52"/>
      <c r="DC130" s="52"/>
      <c r="DD130" s="52"/>
      <c r="DE130" s="52"/>
      <c r="DF130" s="52"/>
      <c r="DG130" s="52"/>
      <c r="DH130" s="52"/>
      <c r="DI130" s="52"/>
      <c r="DJ130" s="52"/>
      <c r="DK130" s="52"/>
      <c r="DL130" s="52"/>
      <c r="DM130" s="52"/>
      <c r="DN130" s="52"/>
      <c r="DO130" s="52"/>
      <c r="DP130" s="52"/>
      <c r="DQ130" s="52"/>
      <c r="DR130" s="52"/>
      <c r="DS130" s="52"/>
      <c r="DT130" s="52"/>
      <c r="DU130" s="52"/>
      <c r="DV130" s="52"/>
      <c r="DW130" s="52"/>
      <c r="DX130" s="52"/>
      <c r="DY130" s="52"/>
      <c r="DZ130" s="52"/>
      <c r="EA130" s="52"/>
      <c r="EB130" s="52"/>
      <c r="EC130" s="52"/>
      <c r="ED130" s="52"/>
      <c r="EE130" s="52"/>
      <c r="EF130" s="52"/>
      <c r="EG130" s="52"/>
      <c r="EH130" s="52"/>
      <c r="EI130" s="52"/>
      <c r="EJ130" s="52"/>
      <c r="EK130" s="52"/>
      <c r="EL130" s="52"/>
      <c r="EM130" s="52"/>
      <c r="EN130" s="52"/>
      <c r="EO130" s="52"/>
      <c r="EP130" s="52"/>
      <c r="EQ130" s="52"/>
      <c r="ER130" s="52"/>
      <c r="ES130" s="52"/>
      <c r="ET130" s="52"/>
      <c r="EU130" s="52"/>
      <c r="EV130" s="52"/>
      <c r="EW130" s="52"/>
      <c r="EX130" s="52"/>
      <c r="EY130" s="52"/>
      <c r="EZ130" s="52"/>
      <c r="FA130" s="52"/>
      <c r="FB130" s="52"/>
      <c r="FC130" s="52"/>
      <c r="FD130" s="52"/>
    </row>
    <row r="131" spans="2:160">
      <c r="B131" s="51" t="s">
        <v>215</v>
      </c>
      <c r="C131" s="52">
        <f ca="1">IF(Startup!$C$3="Project",SUMIF(Startup!$C$7:$D$27,Overview!B131,Startup!$D$7:$D$27),(SUMIF(Startup!$C$7:$D$27,Overview!B131,Startup!$D$7:$D$27)*Startup!$C$4))+IF(Pilot!$C$3="Project",SUMIF(Pilot!$C$7:$D$27,Overview!B131,Pilot!$D$7:$D$27),(SUMIF(Pilot!$C$7:$D$27,Overview!B131,Pilot!$D$7:$D$27)*Pilot!$C$4))+IF(PMO!$C$3="Project",SUMIF(PMO!$C$7:$D$27,Overview!B131,PMO!$D$7:$D$27),(SUMIF(PMO!$C$7:$D$27,Overview!B131,PMO!$D$7:$D$27)*PMO!$C$4))+IF('Design &amp; Fulfillment'!$C$3="Project",SUMIF('Design &amp; Fulfillment'!$C$7:$D$27,Overview!B131,'Design &amp; Fulfillment'!$D$7:$D$27),(SUMIF('Design &amp; Fulfillment'!$C$7:$D$27,Overview!B131,'Design &amp; Fulfillment'!$D$7:$D$27)*'Design &amp; Fulfillment'!$C$4))+IF(Workplace!$C$3="Project",SUMIF(Workplace!$C$7:$D$27,Overview!B131,Workplace!$D$7:$D$27),(SUMIF(Workplace!$C$7:$D$27,Overview!B131,Workplace!$D$7:$D$27)*Workplace!$C$4))+IF(Integration!$C$3="Project",SUMIF(Integration!$C$7:$D$27,Overview!B131,Integration!$D$7:$D$27),(SUMIF(Integration!$C$7:$D$27,Overview!B131,Integration!$D$7:$D$27)*Integration!$C$4))+IF(Logistics!$C$3="Project",SUMIF(Logistics!$C$7:$D$27,Overview!B131,Logistics!$D$7:$D$27),(SUMIF(Logistics!$C$7:$D$27,Overview!B131,Logistics!$D$7:$D$27)*Logistics!$C$4))+IF('Service Desk'!$C$3="Project",SUMIF('Service Desk'!$C$7:$D$27,Overview!B131,'Service Desk'!$D$7:$D$27),(SUMIF('Service Desk'!$C$7:$D$27,Overview!B131,'Service Desk'!$D$7:$D$27)*'Service Desk'!$C$4))+IF('Pro Services'!$C$3="Project",SUMIF('Pro Services'!$C$7:$D$27,Overview!B131,'Pro Services'!$D$7:$D$27),(SUMIF('Pro Services'!$C$7:$D$27,Overview!B131,'Pro Services'!$D$7:$D$27)*'Pro Services'!$C$4))</f>
        <v>0</v>
      </c>
      <c r="D131" s="53">
        <f ca="1">IF(Startup!$C$3="Project",SUMIF(Startup!$C$7:$H$27,Overview!B131,Startup!$H$7:$H$27),(SUMIF(Startup!$C$7:$H$27,Overview!B131,Startup!$H$7:$H$27)*Startup!$C$4))+IF(Pilot!$C$3="Project",SUMIF(Pilot!$C$7:$H$27,Overview!B131,Pilot!$H$7:$H$27),(SUMIF(Pilot!$C$7:$H$27,Overview!B131,Pilot!$H$7:$H$27)*Pilot!$C$4))+IF(PMO!$C$3="Project",SUMIF(PMO!$C$7:$H$27,Overview!B131,PMO!$H$7:$H$27),(SUMIF(PMO!$C$7:$H$27,Overview!B131,PMO!$H$7:$H$27)*PMO!$C$4))+IF('Design &amp; Fulfillment'!$C$3="Project",SUMIF('Design &amp; Fulfillment'!$C$7:$H$27,Overview!B131,'Design &amp; Fulfillment'!$H$7:$H$27),(SUMIF('Design &amp; Fulfillment'!$C$7:$H$27,Overview!B131,'Design &amp; Fulfillment'!$H$7:$H$27)*'Design &amp; Fulfillment'!$C$4))+IF(Workplace!$C$3="Project",SUMIF(Workplace!$C$7:$H$27,Overview!B131,Workplace!$H$7:$H$27),(SUMIF(Workplace!$C$7:$H$27,Overview!B131,Workplace!$H$7:$H$27)*Workplace!$C$4))+IF(Integration!$C$3="Project",SUMIF(Integration!$C$7:$H$27,Overview!B131,Integration!$H$7:$H$27),(SUMIF(Integration!$C$7:$H$27,Overview!B131,Integration!$H$7:$H$27)*Integration!$C$4))+IF(Logistics!$C$3="Project",SUMIF(Logistics!$C$7:$H$27,Overview!B131,Logistics!$H$7:$H$27),(SUMIF(Logistics!$C$7:$H$27,Overview!B131,Logistics!$H$7:$H$27)*Logistics!$C$4))+IF('Service Desk'!$C$3="Project",SUMIF('Service Desk'!$C$7:$H$27,Overview!B131,'Service Desk'!$H$7:$H$27),(SUMIF('Service Desk'!$C$7:$H$27,Overview!B131,'Service Desk'!$H$7:$H$27)*'Service Desk'!$C$4))+IF('Pro Services'!$C$3="Project",SUMIF('Pro Services'!$C$7:$H$27,Overview!B131,'Pro Services'!$H$7:$H$27),(SUMIF('Pro Services'!$C$7:$H$27,Overview!B131,'Pro Services'!$H$7:$H$27)*'Pro Services'!$C$4))</f>
        <v>0</v>
      </c>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c r="BT131" s="52"/>
      <c r="BU131" s="52"/>
      <c r="BV131" s="52"/>
      <c r="BW131" s="52"/>
      <c r="BX131" s="52"/>
      <c r="BY131" s="52"/>
      <c r="BZ131" s="52"/>
      <c r="CA131" s="52"/>
      <c r="CB131" s="52"/>
      <c r="CC131" s="52"/>
      <c r="CD131" s="52"/>
      <c r="CE131" s="52"/>
      <c r="CF131" s="52"/>
      <c r="CG131" s="52"/>
      <c r="CH131" s="52"/>
      <c r="CI131" s="52"/>
      <c r="CJ131" s="52"/>
      <c r="CK131" s="52"/>
      <c r="CL131" s="52"/>
      <c r="CM131" s="52"/>
      <c r="CN131" s="52"/>
      <c r="CO131" s="52"/>
      <c r="CP131" s="52"/>
      <c r="CQ131" s="52"/>
      <c r="CR131" s="52"/>
      <c r="CS131" s="52"/>
      <c r="CT131" s="52"/>
      <c r="CU131" s="52"/>
      <c r="CV131" s="52"/>
      <c r="CW131" s="52"/>
      <c r="CX131" s="52"/>
      <c r="CY131" s="52"/>
      <c r="CZ131" s="52"/>
      <c r="DA131" s="52"/>
      <c r="DB131" s="52"/>
      <c r="DC131" s="52"/>
      <c r="DD131" s="52"/>
      <c r="DE131" s="52"/>
      <c r="DF131" s="52"/>
      <c r="DG131" s="52"/>
      <c r="DH131" s="52"/>
      <c r="DI131" s="52"/>
      <c r="DJ131" s="52"/>
      <c r="DK131" s="52"/>
      <c r="DL131" s="52"/>
      <c r="DM131" s="52"/>
      <c r="DN131" s="52"/>
      <c r="DO131" s="52"/>
      <c r="DP131" s="52"/>
      <c r="DQ131" s="52"/>
      <c r="DR131" s="52"/>
      <c r="DS131" s="52"/>
      <c r="DT131" s="52"/>
      <c r="DU131" s="52"/>
      <c r="DV131" s="52"/>
      <c r="DW131" s="52"/>
      <c r="DX131" s="52"/>
      <c r="DY131" s="52"/>
      <c r="DZ131" s="52"/>
      <c r="EA131" s="52"/>
      <c r="EB131" s="52"/>
      <c r="EC131" s="52"/>
      <c r="ED131" s="52"/>
      <c r="EE131" s="52"/>
      <c r="EF131" s="52"/>
      <c r="EG131" s="52"/>
      <c r="EH131" s="52"/>
      <c r="EI131" s="52"/>
      <c r="EJ131" s="52"/>
      <c r="EK131" s="52"/>
      <c r="EL131" s="52"/>
      <c r="EM131" s="52"/>
      <c r="EN131" s="52"/>
      <c r="EO131" s="52"/>
      <c r="EP131" s="52"/>
      <c r="EQ131" s="52"/>
      <c r="ER131" s="52"/>
      <c r="ES131" s="52"/>
      <c r="ET131" s="52"/>
      <c r="EU131" s="52"/>
      <c r="EV131" s="52"/>
      <c r="EW131" s="52"/>
      <c r="EX131" s="52"/>
      <c r="EY131" s="52"/>
      <c r="EZ131" s="52"/>
      <c r="FA131" s="52"/>
      <c r="FB131" s="52"/>
      <c r="FC131" s="52"/>
      <c r="FD131" s="52"/>
    </row>
    <row r="132" spans="2:160">
      <c r="B132" s="51" t="s">
        <v>285</v>
      </c>
      <c r="C132" s="52">
        <f ca="1">IF(Startup!$C$3="Project",SUMIF(Startup!$C$7:$D$27,Overview!B132,Startup!$D$7:$D$27),(SUMIF(Startup!$C$7:$D$27,Overview!B132,Startup!$D$7:$D$27)*Startup!$C$4))+IF(Pilot!$C$3="Project",SUMIF(Pilot!$C$7:$D$27,Overview!B132,Pilot!$D$7:$D$27),(SUMIF(Pilot!$C$7:$D$27,Overview!B132,Pilot!$D$7:$D$27)*Pilot!$C$4))+IF(PMO!$C$3="Project",SUMIF(PMO!$C$7:$D$27,Overview!B132,PMO!$D$7:$D$27),(SUMIF(PMO!$C$7:$D$27,Overview!B132,PMO!$D$7:$D$27)*PMO!$C$4))+IF('Design &amp; Fulfillment'!$C$3="Project",SUMIF('Design &amp; Fulfillment'!$C$7:$D$27,Overview!B132,'Design &amp; Fulfillment'!$D$7:$D$27),(SUMIF('Design &amp; Fulfillment'!$C$7:$D$27,Overview!B132,'Design &amp; Fulfillment'!$D$7:$D$27)*'Design &amp; Fulfillment'!$C$4))+IF(Workplace!$C$3="Project",SUMIF(Workplace!$C$7:$D$27,Overview!B132,Workplace!$D$7:$D$27),(SUMIF(Workplace!$C$7:$D$27,Overview!B132,Workplace!$D$7:$D$27)*Workplace!$C$4))+IF(Integration!$C$3="Project",SUMIF(Integration!$C$7:$D$27,Overview!B132,Integration!$D$7:$D$27),(SUMIF(Integration!$C$7:$D$27,Overview!B132,Integration!$D$7:$D$27)*Integration!$C$4))+IF(Logistics!$C$3="Project",SUMIF(Logistics!$C$7:$D$27,Overview!B132,Logistics!$D$7:$D$27),(SUMIF(Logistics!$C$7:$D$27,Overview!B132,Logistics!$D$7:$D$27)*Logistics!$C$4))+IF('Service Desk'!$C$3="Project",SUMIF('Service Desk'!$C$7:$D$27,Overview!B132,'Service Desk'!$D$7:$D$27),(SUMIF('Service Desk'!$C$7:$D$27,Overview!B132,'Service Desk'!$D$7:$D$27)*'Service Desk'!$C$4))+IF('Pro Services'!$C$3="Project",SUMIF('Pro Services'!$C$7:$D$27,Overview!B132,'Pro Services'!$D$7:$D$27),(SUMIF('Pro Services'!$C$7:$D$27,Overview!B132,'Pro Services'!$D$7:$D$27)*'Pro Services'!$C$4))</f>
        <v>0</v>
      </c>
      <c r="D132" s="53">
        <f ca="1">IF(Startup!$C$3="Project",SUMIF(Startup!$C$7:$H$27,Overview!B132,Startup!$H$7:$H$27),(SUMIF(Startup!$C$7:$H$27,Overview!B132,Startup!$H$7:$H$27)*Startup!$C$4))+IF(Pilot!$C$3="Project",SUMIF(Pilot!$C$7:$H$27,Overview!B132,Pilot!$H$7:$H$27),(SUMIF(Pilot!$C$7:$H$27,Overview!B132,Pilot!$H$7:$H$27)*Pilot!$C$4))+IF(PMO!$C$3="Project",SUMIF(PMO!$C$7:$H$27,Overview!B132,PMO!$H$7:$H$27),(SUMIF(PMO!$C$7:$H$27,Overview!B132,PMO!$H$7:$H$27)*PMO!$C$4))+IF('Design &amp; Fulfillment'!$C$3="Project",SUMIF('Design &amp; Fulfillment'!$C$7:$H$27,Overview!B132,'Design &amp; Fulfillment'!$H$7:$H$27),(SUMIF('Design &amp; Fulfillment'!$C$7:$H$27,Overview!B132,'Design &amp; Fulfillment'!$H$7:$H$27)*'Design &amp; Fulfillment'!$C$4))+IF(Workplace!$C$3="Project",SUMIF(Workplace!$C$7:$H$27,Overview!B132,Workplace!$H$7:$H$27),(SUMIF(Workplace!$C$7:$H$27,Overview!B132,Workplace!$H$7:$H$27)*Workplace!$C$4))+IF(Integration!$C$3="Project",SUMIF(Integration!$C$7:$H$27,Overview!B132,Integration!$H$7:$H$27),(SUMIF(Integration!$C$7:$H$27,Overview!B132,Integration!$H$7:$H$27)*Integration!$C$4))+IF(Logistics!$C$3="Project",SUMIF(Logistics!$C$7:$H$27,Overview!B132,Logistics!$H$7:$H$27),(SUMIF(Logistics!$C$7:$H$27,Overview!B132,Logistics!$H$7:$H$27)*Logistics!$C$4))+IF('Service Desk'!$C$3="Project",SUMIF('Service Desk'!$C$7:$H$27,Overview!B132,'Service Desk'!$H$7:$H$27),(SUMIF('Service Desk'!$C$7:$H$27,Overview!B132,'Service Desk'!$H$7:$H$27)*'Service Desk'!$C$4))+IF('Pro Services'!$C$3="Project",SUMIF('Pro Services'!$C$7:$H$27,Overview!B132,'Pro Services'!$H$7:$H$27),(SUMIF('Pro Services'!$C$7:$H$27,Overview!B132,'Pro Services'!$H$7:$H$27)*'Pro Services'!$C$4))</f>
        <v>0</v>
      </c>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c r="BT132" s="52"/>
      <c r="BU132" s="52"/>
      <c r="BV132" s="52"/>
      <c r="BW132" s="52"/>
      <c r="BX132" s="52"/>
      <c r="BY132" s="52"/>
      <c r="BZ132" s="52"/>
      <c r="CA132" s="52"/>
      <c r="CB132" s="52"/>
      <c r="CC132" s="52"/>
      <c r="CD132" s="52"/>
      <c r="CE132" s="52"/>
      <c r="CF132" s="52"/>
      <c r="CG132" s="52"/>
      <c r="CH132" s="52"/>
      <c r="CI132" s="52"/>
      <c r="CJ132" s="52"/>
      <c r="CK132" s="52"/>
      <c r="CL132" s="52"/>
      <c r="CM132" s="52"/>
      <c r="CN132" s="52"/>
      <c r="CO132" s="52"/>
      <c r="CP132" s="52"/>
      <c r="CQ132" s="52"/>
      <c r="CR132" s="52"/>
      <c r="CS132" s="52"/>
      <c r="CT132" s="52"/>
      <c r="CU132" s="52"/>
      <c r="CV132" s="52"/>
      <c r="CW132" s="52"/>
      <c r="CX132" s="52"/>
      <c r="CY132" s="52"/>
      <c r="CZ132" s="52"/>
      <c r="DA132" s="52"/>
      <c r="DB132" s="52"/>
      <c r="DC132" s="52"/>
      <c r="DD132" s="52"/>
      <c r="DE132" s="52"/>
      <c r="DF132" s="52"/>
      <c r="DG132" s="52"/>
      <c r="DH132" s="52"/>
      <c r="DI132" s="52"/>
      <c r="DJ132" s="52"/>
      <c r="DK132" s="52"/>
      <c r="DL132" s="52"/>
      <c r="DM132" s="52"/>
      <c r="DN132" s="52"/>
      <c r="DO132" s="52"/>
      <c r="DP132" s="52"/>
      <c r="DQ132" s="52"/>
      <c r="DR132" s="52"/>
      <c r="DS132" s="52"/>
      <c r="DT132" s="52"/>
      <c r="DU132" s="52"/>
      <c r="DV132" s="52"/>
      <c r="DW132" s="52"/>
      <c r="DX132" s="52"/>
      <c r="DY132" s="52"/>
      <c r="DZ132" s="52"/>
      <c r="EA132" s="52"/>
      <c r="EB132" s="52"/>
      <c r="EC132" s="52"/>
      <c r="ED132" s="52"/>
      <c r="EE132" s="52"/>
      <c r="EF132" s="52"/>
      <c r="EG132" s="52"/>
      <c r="EH132" s="52"/>
      <c r="EI132" s="52"/>
      <c r="EJ132" s="52"/>
      <c r="EK132" s="52"/>
      <c r="EL132" s="52"/>
      <c r="EM132" s="52"/>
      <c r="EN132" s="52"/>
      <c r="EO132" s="52"/>
      <c r="EP132" s="52"/>
      <c r="EQ132" s="52"/>
      <c r="ER132" s="52"/>
      <c r="ES132" s="52"/>
      <c r="ET132" s="52"/>
      <c r="EU132" s="52"/>
      <c r="EV132" s="52"/>
      <c r="EW132" s="52"/>
      <c r="EX132" s="52"/>
      <c r="EY132" s="52"/>
      <c r="EZ132" s="52"/>
      <c r="FA132" s="52"/>
      <c r="FB132" s="52"/>
      <c r="FC132" s="52"/>
      <c r="FD132" s="52"/>
    </row>
    <row r="133" spans="2:160">
      <c r="B133" s="51" t="s">
        <v>286</v>
      </c>
      <c r="C133" s="52">
        <f ca="1">IF(Startup!$C$3="Project",SUMIF(Startup!$C$7:$D$27,Overview!B133,Startup!$D$7:$D$27),(SUMIF(Startup!$C$7:$D$27,Overview!B133,Startup!$D$7:$D$27)*Startup!$C$4))+IF(Pilot!$C$3="Project",SUMIF(Pilot!$C$7:$D$27,Overview!B133,Pilot!$D$7:$D$27),(SUMIF(Pilot!$C$7:$D$27,Overview!B133,Pilot!$D$7:$D$27)*Pilot!$C$4))+IF(PMO!$C$3="Project",SUMIF(PMO!$C$7:$D$27,Overview!B133,PMO!$D$7:$D$27),(SUMIF(PMO!$C$7:$D$27,Overview!B133,PMO!$D$7:$D$27)*PMO!$C$4))+IF('Design &amp; Fulfillment'!$C$3="Project",SUMIF('Design &amp; Fulfillment'!$C$7:$D$27,Overview!B133,'Design &amp; Fulfillment'!$D$7:$D$27),(SUMIF('Design &amp; Fulfillment'!$C$7:$D$27,Overview!B133,'Design &amp; Fulfillment'!$D$7:$D$27)*'Design &amp; Fulfillment'!$C$4))+IF(Workplace!$C$3="Project",SUMIF(Workplace!$C$7:$D$27,Overview!B133,Workplace!$D$7:$D$27),(SUMIF(Workplace!$C$7:$D$27,Overview!B133,Workplace!$D$7:$D$27)*Workplace!$C$4))+IF(Integration!$C$3="Project",SUMIF(Integration!$C$7:$D$27,Overview!B133,Integration!$D$7:$D$27),(SUMIF(Integration!$C$7:$D$27,Overview!B133,Integration!$D$7:$D$27)*Integration!$C$4))+IF(Logistics!$C$3="Project",SUMIF(Logistics!$C$7:$D$27,Overview!B133,Logistics!$D$7:$D$27),(SUMIF(Logistics!$C$7:$D$27,Overview!B133,Logistics!$D$7:$D$27)*Logistics!$C$4))+IF('Service Desk'!$C$3="Project",SUMIF('Service Desk'!$C$7:$D$27,Overview!B133,'Service Desk'!$D$7:$D$27),(SUMIF('Service Desk'!$C$7:$D$27,Overview!B133,'Service Desk'!$D$7:$D$27)*'Service Desk'!$C$4))+IF('Pro Services'!$C$3="Project",SUMIF('Pro Services'!$C$7:$D$27,Overview!B133,'Pro Services'!$D$7:$D$27),(SUMIF('Pro Services'!$C$7:$D$27,Overview!B133,'Pro Services'!$D$7:$D$27)*'Pro Services'!$C$4))</f>
        <v>0</v>
      </c>
      <c r="D133" s="53">
        <f ca="1">IF(Startup!$C$3="Project",SUMIF(Startup!$C$7:$H$27,Overview!B133,Startup!$H$7:$H$27),(SUMIF(Startup!$C$7:$H$27,Overview!B133,Startup!$H$7:$H$27)*Startup!$C$4))+IF(Pilot!$C$3="Project",SUMIF(Pilot!$C$7:$H$27,Overview!B133,Pilot!$H$7:$H$27),(SUMIF(Pilot!$C$7:$H$27,Overview!B133,Pilot!$H$7:$H$27)*Pilot!$C$4))+IF(PMO!$C$3="Project",SUMIF(PMO!$C$7:$H$27,Overview!B133,PMO!$H$7:$H$27),(SUMIF(PMO!$C$7:$H$27,Overview!B133,PMO!$H$7:$H$27)*PMO!$C$4))+IF('Design &amp; Fulfillment'!$C$3="Project",SUMIF('Design &amp; Fulfillment'!$C$7:$H$27,Overview!B133,'Design &amp; Fulfillment'!$H$7:$H$27),(SUMIF('Design &amp; Fulfillment'!$C$7:$H$27,Overview!B133,'Design &amp; Fulfillment'!$H$7:$H$27)*'Design &amp; Fulfillment'!$C$4))+IF(Workplace!$C$3="Project",SUMIF(Workplace!$C$7:$H$27,Overview!B133,Workplace!$H$7:$H$27),(SUMIF(Workplace!$C$7:$H$27,Overview!B133,Workplace!$H$7:$H$27)*Workplace!$C$4))+IF(Integration!$C$3="Project",SUMIF(Integration!$C$7:$H$27,Overview!B133,Integration!$H$7:$H$27),(SUMIF(Integration!$C$7:$H$27,Overview!B133,Integration!$H$7:$H$27)*Integration!$C$4))+IF(Logistics!$C$3="Project",SUMIF(Logistics!$C$7:$H$27,Overview!B133,Logistics!$H$7:$H$27),(SUMIF(Logistics!$C$7:$H$27,Overview!B133,Logistics!$H$7:$H$27)*Logistics!$C$4))+IF('Service Desk'!$C$3="Project",SUMIF('Service Desk'!$C$7:$H$27,Overview!B133,'Service Desk'!$H$7:$H$27),(SUMIF('Service Desk'!$C$7:$H$27,Overview!B133,'Service Desk'!$H$7:$H$27)*'Service Desk'!$C$4))+IF('Pro Services'!$C$3="Project",SUMIF('Pro Services'!$C$7:$H$27,Overview!B133,'Pro Services'!$H$7:$H$27),(SUMIF('Pro Services'!$C$7:$H$27,Overview!B133,'Pro Services'!$H$7:$H$27)*'Pro Services'!$C$4))</f>
        <v>0</v>
      </c>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c r="BT133" s="52"/>
      <c r="BU133" s="52"/>
      <c r="BV133" s="52"/>
      <c r="BW133" s="52"/>
      <c r="BX133" s="52"/>
      <c r="BY133" s="52"/>
      <c r="BZ133" s="52"/>
      <c r="CA133" s="52"/>
      <c r="CB133" s="52"/>
      <c r="CC133" s="52"/>
      <c r="CD133" s="52"/>
      <c r="CE133" s="52"/>
      <c r="CF133" s="52"/>
      <c r="CG133" s="52"/>
      <c r="CH133" s="52"/>
      <c r="CI133" s="52"/>
      <c r="CJ133" s="52"/>
      <c r="CK133" s="52"/>
      <c r="CL133" s="52"/>
      <c r="CM133" s="52"/>
      <c r="CN133" s="52"/>
      <c r="CO133" s="52"/>
      <c r="CP133" s="52"/>
      <c r="CQ133" s="52"/>
      <c r="CR133" s="52"/>
      <c r="CS133" s="52"/>
      <c r="CT133" s="52"/>
      <c r="CU133" s="52"/>
      <c r="CV133" s="52"/>
      <c r="CW133" s="52"/>
      <c r="CX133" s="52"/>
      <c r="CY133" s="52"/>
      <c r="CZ133" s="52"/>
      <c r="DA133" s="52"/>
      <c r="DB133" s="52"/>
      <c r="DC133" s="52"/>
      <c r="DD133" s="52"/>
      <c r="DE133" s="52"/>
      <c r="DF133" s="52"/>
      <c r="DG133" s="52"/>
      <c r="DH133" s="52"/>
      <c r="DI133" s="52"/>
      <c r="DJ133" s="52"/>
      <c r="DK133" s="52"/>
      <c r="DL133" s="52"/>
      <c r="DM133" s="52"/>
      <c r="DN133" s="52"/>
      <c r="DO133" s="52"/>
      <c r="DP133" s="52"/>
      <c r="DQ133" s="52"/>
      <c r="DR133" s="52"/>
      <c r="DS133" s="52"/>
      <c r="DT133" s="52"/>
      <c r="DU133" s="52"/>
      <c r="DV133" s="52"/>
      <c r="DW133" s="52"/>
      <c r="DX133" s="52"/>
      <c r="DY133" s="52"/>
      <c r="DZ133" s="52"/>
      <c r="EA133" s="52"/>
      <c r="EB133" s="52"/>
      <c r="EC133" s="52"/>
      <c r="ED133" s="52"/>
      <c r="EE133" s="52"/>
      <c r="EF133" s="52"/>
      <c r="EG133" s="52"/>
      <c r="EH133" s="52"/>
      <c r="EI133" s="52"/>
      <c r="EJ133" s="52"/>
      <c r="EK133" s="52"/>
      <c r="EL133" s="52"/>
      <c r="EM133" s="52"/>
      <c r="EN133" s="52"/>
      <c r="EO133" s="52"/>
      <c r="EP133" s="52"/>
      <c r="EQ133" s="52"/>
      <c r="ER133" s="52"/>
      <c r="ES133" s="52"/>
      <c r="ET133" s="52"/>
      <c r="EU133" s="52"/>
      <c r="EV133" s="52"/>
      <c r="EW133" s="52"/>
      <c r="EX133" s="52"/>
      <c r="EY133" s="52"/>
      <c r="EZ133" s="52"/>
      <c r="FA133" s="52"/>
      <c r="FB133" s="52"/>
      <c r="FC133" s="52"/>
      <c r="FD133" s="52"/>
    </row>
    <row r="134" spans="2:160">
      <c r="B134" s="51" t="s">
        <v>287</v>
      </c>
      <c r="C134" s="52">
        <f ca="1">IF(Startup!$C$3="Project",SUMIF(Startup!$C$7:$D$27,Overview!B134,Startup!$D$7:$D$27),(SUMIF(Startup!$C$7:$D$27,Overview!B134,Startup!$D$7:$D$27)*Startup!$C$4))+IF(Pilot!$C$3="Project",SUMIF(Pilot!$C$7:$D$27,Overview!B134,Pilot!$D$7:$D$27),(SUMIF(Pilot!$C$7:$D$27,Overview!B134,Pilot!$D$7:$D$27)*Pilot!$C$4))+IF(PMO!$C$3="Project",SUMIF(PMO!$C$7:$D$27,Overview!B134,PMO!$D$7:$D$27),(SUMIF(PMO!$C$7:$D$27,Overview!B134,PMO!$D$7:$D$27)*PMO!$C$4))+IF('Design &amp; Fulfillment'!$C$3="Project",SUMIF('Design &amp; Fulfillment'!$C$7:$D$27,Overview!B134,'Design &amp; Fulfillment'!$D$7:$D$27),(SUMIF('Design &amp; Fulfillment'!$C$7:$D$27,Overview!B134,'Design &amp; Fulfillment'!$D$7:$D$27)*'Design &amp; Fulfillment'!$C$4))+IF(Workplace!$C$3="Project",SUMIF(Workplace!$C$7:$D$27,Overview!B134,Workplace!$D$7:$D$27),(SUMIF(Workplace!$C$7:$D$27,Overview!B134,Workplace!$D$7:$D$27)*Workplace!$C$4))+IF(Integration!$C$3="Project",SUMIF(Integration!$C$7:$D$27,Overview!B134,Integration!$D$7:$D$27),(SUMIF(Integration!$C$7:$D$27,Overview!B134,Integration!$D$7:$D$27)*Integration!$C$4))+IF(Logistics!$C$3="Project",SUMIF(Logistics!$C$7:$D$27,Overview!B134,Logistics!$D$7:$D$27),(SUMIF(Logistics!$C$7:$D$27,Overview!B134,Logistics!$D$7:$D$27)*Logistics!$C$4))+IF('Service Desk'!$C$3="Project",SUMIF('Service Desk'!$C$7:$D$27,Overview!B134,'Service Desk'!$D$7:$D$27),(SUMIF('Service Desk'!$C$7:$D$27,Overview!B134,'Service Desk'!$D$7:$D$27)*'Service Desk'!$C$4))+IF('Pro Services'!$C$3="Project",SUMIF('Pro Services'!$C$7:$D$27,Overview!B134,'Pro Services'!$D$7:$D$27),(SUMIF('Pro Services'!$C$7:$D$27,Overview!B134,'Pro Services'!$D$7:$D$27)*'Pro Services'!$C$4))</f>
        <v>0</v>
      </c>
      <c r="D134" s="53">
        <f ca="1">IF(Startup!$C$3="Project",SUMIF(Startup!$C$7:$H$27,Overview!B134,Startup!$H$7:$H$27),(SUMIF(Startup!$C$7:$H$27,Overview!B134,Startup!$H$7:$H$27)*Startup!$C$4))+IF(Pilot!$C$3="Project",SUMIF(Pilot!$C$7:$H$27,Overview!B134,Pilot!$H$7:$H$27),(SUMIF(Pilot!$C$7:$H$27,Overview!B134,Pilot!$H$7:$H$27)*Pilot!$C$4))+IF(PMO!$C$3="Project",SUMIF(PMO!$C$7:$H$27,Overview!B134,PMO!$H$7:$H$27),(SUMIF(PMO!$C$7:$H$27,Overview!B134,PMO!$H$7:$H$27)*PMO!$C$4))+IF('Design &amp; Fulfillment'!$C$3="Project",SUMIF('Design &amp; Fulfillment'!$C$7:$H$27,Overview!B134,'Design &amp; Fulfillment'!$H$7:$H$27),(SUMIF('Design &amp; Fulfillment'!$C$7:$H$27,Overview!B134,'Design &amp; Fulfillment'!$H$7:$H$27)*'Design &amp; Fulfillment'!$C$4))+IF(Workplace!$C$3="Project",SUMIF(Workplace!$C$7:$H$27,Overview!B134,Workplace!$H$7:$H$27),(SUMIF(Workplace!$C$7:$H$27,Overview!B134,Workplace!$H$7:$H$27)*Workplace!$C$4))+IF(Integration!$C$3="Project",SUMIF(Integration!$C$7:$H$27,Overview!B134,Integration!$H$7:$H$27),(SUMIF(Integration!$C$7:$H$27,Overview!B134,Integration!$H$7:$H$27)*Integration!$C$4))+IF(Logistics!$C$3="Project",SUMIF(Logistics!$C$7:$H$27,Overview!B134,Logistics!$H$7:$H$27),(SUMIF(Logistics!$C$7:$H$27,Overview!B134,Logistics!$H$7:$H$27)*Logistics!$C$4))+IF('Service Desk'!$C$3="Project",SUMIF('Service Desk'!$C$7:$H$27,Overview!B134,'Service Desk'!$H$7:$H$27),(SUMIF('Service Desk'!$C$7:$H$27,Overview!B134,'Service Desk'!$H$7:$H$27)*'Service Desk'!$C$4))+IF('Pro Services'!$C$3="Project",SUMIF('Pro Services'!$C$7:$H$27,Overview!B134,'Pro Services'!$H$7:$H$27),(SUMIF('Pro Services'!$C$7:$H$27,Overview!B134,'Pro Services'!$H$7:$H$27)*'Pro Services'!$C$4))</f>
        <v>0</v>
      </c>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c r="BT134" s="52"/>
      <c r="BU134" s="52"/>
      <c r="BV134" s="52"/>
      <c r="BW134" s="52"/>
      <c r="BX134" s="52"/>
      <c r="BY134" s="52"/>
      <c r="BZ134" s="52"/>
      <c r="CA134" s="52"/>
      <c r="CB134" s="52"/>
      <c r="CC134" s="52"/>
      <c r="CD134" s="52"/>
      <c r="CE134" s="52"/>
      <c r="CF134" s="52"/>
      <c r="CG134" s="52"/>
      <c r="CH134" s="52"/>
      <c r="CI134" s="52"/>
      <c r="CJ134" s="52"/>
      <c r="CK134" s="52"/>
      <c r="CL134" s="52"/>
      <c r="CM134" s="52"/>
      <c r="CN134" s="52"/>
      <c r="CO134" s="52"/>
      <c r="CP134" s="52"/>
      <c r="CQ134" s="52"/>
      <c r="CR134" s="52"/>
      <c r="CS134" s="52"/>
      <c r="CT134" s="52"/>
      <c r="CU134" s="52"/>
      <c r="CV134" s="52"/>
      <c r="CW134" s="52"/>
      <c r="CX134" s="52"/>
      <c r="CY134" s="52"/>
      <c r="CZ134" s="52"/>
      <c r="DA134" s="52"/>
      <c r="DB134" s="52"/>
      <c r="DC134" s="52"/>
      <c r="DD134" s="52"/>
      <c r="DE134" s="52"/>
      <c r="DF134" s="52"/>
      <c r="DG134" s="52"/>
      <c r="DH134" s="52"/>
      <c r="DI134" s="52"/>
      <c r="DJ134" s="52"/>
      <c r="DK134" s="52"/>
      <c r="DL134" s="52"/>
      <c r="DM134" s="52"/>
      <c r="DN134" s="52"/>
      <c r="DO134" s="52"/>
      <c r="DP134" s="52"/>
      <c r="DQ134" s="52"/>
      <c r="DR134" s="52"/>
      <c r="DS134" s="52"/>
      <c r="DT134" s="52"/>
      <c r="DU134" s="52"/>
      <c r="DV134" s="52"/>
      <c r="DW134" s="52"/>
      <c r="DX134" s="52"/>
      <c r="DY134" s="52"/>
      <c r="DZ134" s="52"/>
      <c r="EA134" s="52"/>
      <c r="EB134" s="52"/>
      <c r="EC134" s="52"/>
      <c r="ED134" s="52"/>
      <c r="EE134" s="52"/>
      <c r="EF134" s="52"/>
      <c r="EG134" s="52"/>
      <c r="EH134" s="52"/>
      <c r="EI134" s="52"/>
      <c r="EJ134" s="52"/>
      <c r="EK134" s="52"/>
      <c r="EL134" s="52"/>
      <c r="EM134" s="52"/>
      <c r="EN134" s="52"/>
      <c r="EO134" s="52"/>
      <c r="EP134" s="52"/>
      <c r="EQ134" s="52"/>
      <c r="ER134" s="52"/>
      <c r="ES134" s="52"/>
      <c r="ET134" s="52"/>
      <c r="EU134" s="52"/>
      <c r="EV134" s="52"/>
      <c r="EW134" s="52"/>
      <c r="EX134" s="52"/>
      <c r="EY134" s="52"/>
      <c r="EZ134" s="52"/>
      <c r="FA134" s="52"/>
      <c r="FB134" s="52"/>
      <c r="FC134" s="52"/>
      <c r="FD134" s="52"/>
    </row>
    <row r="135" spans="2:160">
      <c r="B135" s="51" t="s">
        <v>219</v>
      </c>
      <c r="C135" s="52">
        <f ca="1">IF(Startup!$C$3="Project",SUMIF(Startup!$C$7:$D$27,Overview!B135,Startup!$D$7:$D$27),(SUMIF(Startup!$C$7:$D$27,Overview!B135,Startup!$D$7:$D$27)*Startup!$C$4))+IF(Pilot!$C$3="Project",SUMIF(Pilot!$C$7:$D$27,Overview!B135,Pilot!$D$7:$D$27),(SUMIF(Pilot!$C$7:$D$27,Overview!B135,Pilot!$D$7:$D$27)*Pilot!$C$4))+IF(PMO!$C$3="Project",SUMIF(PMO!$C$7:$D$27,Overview!B135,PMO!$D$7:$D$27),(SUMIF(PMO!$C$7:$D$27,Overview!B135,PMO!$D$7:$D$27)*PMO!$C$4))+IF('Design &amp; Fulfillment'!$C$3="Project",SUMIF('Design &amp; Fulfillment'!$C$7:$D$27,Overview!B135,'Design &amp; Fulfillment'!$D$7:$D$27),(SUMIF('Design &amp; Fulfillment'!$C$7:$D$27,Overview!B135,'Design &amp; Fulfillment'!$D$7:$D$27)*'Design &amp; Fulfillment'!$C$4))+IF(Workplace!$C$3="Project",SUMIF(Workplace!$C$7:$D$27,Overview!B135,Workplace!$D$7:$D$27),(SUMIF(Workplace!$C$7:$D$27,Overview!B135,Workplace!$D$7:$D$27)*Workplace!$C$4))+IF(Integration!$C$3="Project",SUMIF(Integration!$C$7:$D$27,Overview!B135,Integration!$D$7:$D$27),(SUMIF(Integration!$C$7:$D$27,Overview!B135,Integration!$D$7:$D$27)*Integration!$C$4))+IF(Logistics!$C$3="Project",SUMIF(Logistics!$C$7:$D$27,Overview!B135,Logistics!$D$7:$D$27),(SUMIF(Logistics!$C$7:$D$27,Overview!B135,Logistics!$D$7:$D$27)*Logistics!$C$4))+IF('Service Desk'!$C$3="Project",SUMIF('Service Desk'!$C$7:$D$27,Overview!B135,'Service Desk'!$D$7:$D$27),(SUMIF('Service Desk'!$C$7:$D$27,Overview!B135,'Service Desk'!$D$7:$D$27)*'Service Desk'!$C$4))+IF('Pro Services'!$C$3="Project",SUMIF('Pro Services'!$C$7:$D$27,Overview!B135,'Pro Services'!$D$7:$D$27),(SUMIF('Pro Services'!$C$7:$D$27,Overview!B135,'Pro Services'!$D$7:$D$27)*'Pro Services'!$C$4))</f>
        <v>0</v>
      </c>
      <c r="D135" s="53">
        <f ca="1">IF(Startup!$C$3="Project",SUMIF(Startup!$C$7:$H$27,Overview!B135,Startup!$H$7:$H$27),(SUMIF(Startup!$C$7:$H$27,Overview!B135,Startup!$H$7:$H$27)*Startup!$C$4))+IF(Pilot!$C$3="Project",SUMIF(Pilot!$C$7:$H$27,Overview!B135,Pilot!$H$7:$H$27),(SUMIF(Pilot!$C$7:$H$27,Overview!B135,Pilot!$H$7:$H$27)*Pilot!$C$4))+IF(PMO!$C$3="Project",SUMIF(PMO!$C$7:$H$27,Overview!B135,PMO!$H$7:$H$27),(SUMIF(PMO!$C$7:$H$27,Overview!B135,PMO!$H$7:$H$27)*PMO!$C$4))+IF('Design &amp; Fulfillment'!$C$3="Project",SUMIF('Design &amp; Fulfillment'!$C$7:$H$27,Overview!B135,'Design &amp; Fulfillment'!$H$7:$H$27),(SUMIF('Design &amp; Fulfillment'!$C$7:$H$27,Overview!B135,'Design &amp; Fulfillment'!$H$7:$H$27)*'Design &amp; Fulfillment'!$C$4))+IF(Workplace!$C$3="Project",SUMIF(Workplace!$C$7:$H$27,Overview!B135,Workplace!$H$7:$H$27),(SUMIF(Workplace!$C$7:$H$27,Overview!B135,Workplace!$H$7:$H$27)*Workplace!$C$4))+IF(Integration!$C$3="Project",SUMIF(Integration!$C$7:$H$27,Overview!B135,Integration!$H$7:$H$27),(SUMIF(Integration!$C$7:$H$27,Overview!B135,Integration!$H$7:$H$27)*Integration!$C$4))+IF(Logistics!$C$3="Project",SUMIF(Logistics!$C$7:$H$27,Overview!B135,Logistics!$H$7:$H$27),(SUMIF(Logistics!$C$7:$H$27,Overview!B135,Logistics!$H$7:$H$27)*Logistics!$C$4))+IF('Service Desk'!$C$3="Project",SUMIF('Service Desk'!$C$7:$H$27,Overview!B135,'Service Desk'!$H$7:$H$27),(SUMIF('Service Desk'!$C$7:$H$27,Overview!B135,'Service Desk'!$H$7:$H$27)*'Service Desk'!$C$4))+IF('Pro Services'!$C$3="Project",SUMIF('Pro Services'!$C$7:$H$27,Overview!B135,'Pro Services'!$H$7:$H$27),(SUMIF('Pro Services'!$C$7:$H$27,Overview!B135,'Pro Services'!$H$7:$H$27)*'Pro Services'!$C$4))</f>
        <v>0</v>
      </c>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c r="BT135" s="52"/>
      <c r="BU135" s="52"/>
      <c r="BV135" s="52"/>
      <c r="BW135" s="52"/>
      <c r="BX135" s="52"/>
      <c r="BY135" s="52"/>
      <c r="BZ135" s="52"/>
      <c r="CA135" s="52"/>
      <c r="CB135" s="52"/>
      <c r="CC135" s="52"/>
      <c r="CD135" s="52"/>
      <c r="CE135" s="52"/>
      <c r="CF135" s="52"/>
      <c r="CG135" s="52"/>
      <c r="CH135" s="52"/>
      <c r="CI135" s="52"/>
      <c r="CJ135" s="52"/>
      <c r="CK135" s="52"/>
      <c r="CL135" s="52"/>
      <c r="CM135" s="52"/>
      <c r="CN135" s="52"/>
      <c r="CO135" s="52"/>
      <c r="CP135" s="52"/>
      <c r="CQ135" s="52"/>
      <c r="CR135" s="52"/>
      <c r="CS135" s="52"/>
      <c r="CT135" s="52"/>
      <c r="CU135" s="52"/>
      <c r="CV135" s="52"/>
      <c r="CW135" s="52"/>
      <c r="CX135" s="52"/>
      <c r="CY135" s="52"/>
      <c r="CZ135" s="52"/>
      <c r="DA135" s="52"/>
      <c r="DB135" s="52"/>
      <c r="DC135" s="52"/>
      <c r="DD135" s="52"/>
      <c r="DE135" s="52"/>
      <c r="DF135" s="52"/>
      <c r="DG135" s="52"/>
      <c r="DH135" s="52"/>
      <c r="DI135" s="52"/>
      <c r="DJ135" s="52"/>
      <c r="DK135" s="52"/>
      <c r="DL135" s="52"/>
      <c r="DM135" s="52"/>
      <c r="DN135" s="52"/>
      <c r="DO135" s="52"/>
      <c r="DP135" s="52"/>
      <c r="DQ135" s="52"/>
      <c r="DR135" s="52"/>
      <c r="DS135" s="52"/>
      <c r="DT135" s="52"/>
      <c r="DU135" s="52"/>
      <c r="DV135" s="52"/>
      <c r="DW135" s="52"/>
      <c r="DX135" s="52"/>
      <c r="DY135" s="52"/>
      <c r="DZ135" s="52"/>
      <c r="EA135" s="52"/>
      <c r="EB135" s="52"/>
      <c r="EC135" s="52"/>
      <c r="ED135" s="52"/>
      <c r="EE135" s="52"/>
      <c r="EF135" s="52"/>
      <c r="EG135" s="52"/>
      <c r="EH135" s="52"/>
      <c r="EI135" s="52"/>
      <c r="EJ135" s="52"/>
      <c r="EK135" s="52"/>
      <c r="EL135" s="52"/>
      <c r="EM135" s="52"/>
      <c r="EN135" s="52"/>
      <c r="EO135" s="52"/>
      <c r="EP135" s="52"/>
      <c r="EQ135" s="52"/>
      <c r="ER135" s="52"/>
      <c r="ES135" s="52"/>
      <c r="ET135" s="52"/>
      <c r="EU135" s="52"/>
      <c r="EV135" s="52"/>
      <c r="EW135" s="52"/>
      <c r="EX135" s="52"/>
      <c r="EY135" s="52"/>
      <c r="EZ135" s="52"/>
      <c r="FA135" s="52"/>
      <c r="FB135" s="52"/>
      <c r="FC135" s="52"/>
      <c r="FD135" s="52"/>
    </row>
    <row r="136" spans="2:160">
      <c r="B136" s="51" t="s">
        <v>275</v>
      </c>
      <c r="C136" s="52" t="s">
        <v>274</v>
      </c>
      <c r="D136" s="53">
        <f>D22</f>
        <v>0</v>
      </c>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c r="BT136" s="52"/>
      <c r="BU136" s="52"/>
      <c r="BV136" s="52"/>
      <c r="BW136" s="52"/>
      <c r="BX136" s="52"/>
      <c r="BY136" s="52"/>
      <c r="BZ136" s="52"/>
      <c r="CA136" s="52"/>
      <c r="CB136" s="52"/>
      <c r="CC136" s="52"/>
      <c r="CD136" s="52"/>
      <c r="CE136" s="52"/>
      <c r="CF136" s="52"/>
      <c r="CG136" s="52"/>
      <c r="CH136" s="52"/>
      <c r="CI136" s="52"/>
      <c r="CJ136" s="52"/>
      <c r="CK136" s="52"/>
      <c r="CL136" s="52"/>
      <c r="CM136" s="52"/>
      <c r="CN136" s="52"/>
      <c r="CO136" s="52"/>
      <c r="CP136" s="52"/>
      <c r="CQ136" s="52"/>
      <c r="CR136" s="52"/>
      <c r="CS136" s="52"/>
      <c r="CT136" s="52"/>
      <c r="CU136" s="52"/>
      <c r="CV136" s="52"/>
      <c r="CW136" s="52"/>
      <c r="CX136" s="52"/>
      <c r="CY136" s="52"/>
      <c r="CZ136" s="52"/>
      <c r="DA136" s="52"/>
      <c r="DB136" s="52"/>
      <c r="DC136" s="52"/>
      <c r="DD136" s="52"/>
      <c r="DE136" s="52"/>
      <c r="DF136" s="52"/>
      <c r="DG136" s="52"/>
      <c r="DH136" s="52"/>
      <c r="DI136" s="52"/>
      <c r="DJ136" s="52"/>
      <c r="DK136" s="52"/>
      <c r="DL136" s="52"/>
      <c r="DM136" s="52"/>
      <c r="DN136" s="52"/>
      <c r="DO136" s="52"/>
      <c r="DP136" s="52"/>
      <c r="DQ136" s="52"/>
      <c r="DR136" s="52"/>
      <c r="DS136" s="52"/>
      <c r="DT136" s="52"/>
      <c r="DU136" s="52"/>
      <c r="DV136" s="52"/>
      <c r="DW136" s="52"/>
      <c r="DX136" s="52"/>
      <c r="DY136" s="52"/>
      <c r="DZ136" s="52"/>
      <c r="EA136" s="52"/>
      <c r="EB136" s="52"/>
      <c r="EC136" s="52"/>
      <c r="ED136" s="52"/>
      <c r="EE136" s="52"/>
      <c r="EF136" s="52"/>
      <c r="EG136" s="52"/>
      <c r="EH136" s="52"/>
      <c r="EI136" s="52"/>
      <c r="EJ136" s="52"/>
      <c r="EK136" s="52"/>
      <c r="EL136" s="52"/>
      <c r="EM136" s="52"/>
      <c r="EN136" s="52"/>
      <c r="EO136" s="52"/>
      <c r="EP136" s="52"/>
      <c r="EQ136" s="52"/>
      <c r="ER136" s="52"/>
      <c r="ES136" s="52"/>
      <c r="ET136" s="52"/>
      <c r="EU136" s="52"/>
      <c r="EV136" s="52"/>
      <c r="EW136" s="52"/>
      <c r="EX136" s="52"/>
      <c r="EY136" s="52"/>
      <c r="EZ136" s="52"/>
      <c r="FA136" s="52"/>
      <c r="FB136" s="52"/>
      <c r="FC136" s="52"/>
      <c r="FD136" s="52"/>
    </row>
    <row r="137" spans="2:160">
      <c r="B137" s="51" t="s">
        <v>276</v>
      </c>
      <c r="C137" s="52" t="s">
        <v>274</v>
      </c>
      <c r="D137" s="53">
        <f>D23</f>
        <v>0</v>
      </c>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c r="BT137" s="52"/>
      <c r="BU137" s="52"/>
      <c r="BV137" s="52"/>
      <c r="BW137" s="52"/>
      <c r="BX137" s="52"/>
      <c r="BY137" s="52"/>
      <c r="BZ137" s="52"/>
      <c r="CA137" s="52"/>
      <c r="CB137" s="52"/>
      <c r="CC137" s="52"/>
      <c r="CD137" s="52"/>
      <c r="CE137" s="52"/>
      <c r="CF137" s="52"/>
      <c r="CG137" s="52"/>
      <c r="CH137" s="52"/>
      <c r="CI137" s="52"/>
      <c r="CJ137" s="52"/>
      <c r="CK137" s="52"/>
      <c r="CL137" s="52"/>
      <c r="CM137" s="52"/>
      <c r="CN137" s="52"/>
      <c r="CO137" s="52"/>
      <c r="CP137" s="52"/>
      <c r="CQ137" s="52"/>
      <c r="CR137" s="52"/>
      <c r="CS137" s="52"/>
      <c r="CT137" s="52"/>
      <c r="CU137" s="52"/>
      <c r="CV137" s="52"/>
      <c r="CW137" s="52"/>
      <c r="CX137" s="52"/>
      <c r="CY137" s="52"/>
      <c r="CZ137" s="52"/>
      <c r="DA137" s="52"/>
      <c r="DB137" s="52"/>
      <c r="DC137" s="52"/>
      <c r="DD137" s="52"/>
      <c r="DE137" s="52"/>
      <c r="DF137" s="52"/>
      <c r="DG137" s="52"/>
      <c r="DH137" s="52"/>
      <c r="DI137" s="52"/>
      <c r="DJ137" s="52"/>
      <c r="DK137" s="52"/>
      <c r="DL137" s="52"/>
      <c r="DM137" s="52"/>
      <c r="DN137" s="52"/>
      <c r="DO137" s="52"/>
      <c r="DP137" s="52"/>
      <c r="DQ137" s="52"/>
      <c r="DR137" s="52"/>
      <c r="DS137" s="52"/>
      <c r="DT137" s="52"/>
      <c r="DU137" s="52"/>
      <c r="DV137" s="52"/>
      <c r="DW137" s="52"/>
      <c r="DX137" s="52"/>
      <c r="DY137" s="52"/>
      <c r="DZ137" s="52"/>
      <c r="EA137" s="52"/>
      <c r="EB137" s="52"/>
      <c r="EC137" s="52"/>
      <c r="ED137" s="52"/>
      <c r="EE137" s="52"/>
      <c r="EF137" s="52"/>
      <c r="EG137" s="52"/>
      <c r="EH137" s="52"/>
      <c r="EI137" s="52"/>
      <c r="EJ137" s="52"/>
      <c r="EK137" s="52"/>
      <c r="EL137" s="52"/>
      <c r="EM137" s="52"/>
      <c r="EN137" s="52"/>
      <c r="EO137" s="52"/>
      <c r="EP137" s="52"/>
      <c r="EQ137" s="52"/>
      <c r="ER137" s="52"/>
      <c r="ES137" s="52"/>
      <c r="ET137" s="52"/>
      <c r="EU137" s="52"/>
      <c r="EV137" s="52"/>
      <c r="EW137" s="52"/>
      <c r="EX137" s="52"/>
      <c r="EY137" s="52"/>
      <c r="EZ137" s="52"/>
      <c r="FA137" s="52"/>
      <c r="FB137" s="52"/>
      <c r="FC137" s="52"/>
      <c r="FD137" s="52"/>
    </row>
    <row r="138" spans="2:160">
      <c r="B138" s="51" t="s">
        <v>277</v>
      </c>
      <c r="C138" s="52" t="s">
        <v>274</v>
      </c>
      <c r="D138" s="53">
        <f>D24</f>
        <v>400</v>
      </c>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c r="BY138" s="52"/>
      <c r="BZ138" s="52"/>
      <c r="CA138" s="52"/>
      <c r="CB138" s="52"/>
      <c r="CC138" s="52"/>
      <c r="CD138" s="52"/>
      <c r="CE138" s="52"/>
      <c r="CF138" s="52"/>
      <c r="CG138" s="52"/>
      <c r="CH138" s="52"/>
      <c r="CI138" s="52"/>
      <c r="CJ138" s="52"/>
      <c r="CK138" s="52"/>
      <c r="CL138" s="52"/>
      <c r="CM138" s="52"/>
      <c r="CN138" s="52"/>
      <c r="CO138" s="52"/>
      <c r="CP138" s="52"/>
      <c r="CQ138" s="52"/>
      <c r="CR138" s="52"/>
      <c r="CS138" s="52"/>
      <c r="CT138" s="52"/>
      <c r="CU138" s="52"/>
      <c r="CV138" s="52"/>
      <c r="CW138" s="52"/>
      <c r="CX138" s="52"/>
      <c r="CY138" s="52"/>
      <c r="CZ138" s="52"/>
      <c r="DA138" s="52"/>
      <c r="DB138" s="52"/>
      <c r="DC138" s="52"/>
      <c r="DD138" s="52"/>
      <c r="DE138" s="52"/>
      <c r="DF138" s="52"/>
      <c r="DG138" s="52"/>
      <c r="DH138" s="52"/>
      <c r="DI138" s="52"/>
      <c r="DJ138" s="52"/>
      <c r="DK138" s="52"/>
      <c r="DL138" s="52"/>
      <c r="DM138" s="52"/>
      <c r="DN138" s="52"/>
      <c r="DO138" s="52"/>
      <c r="DP138" s="52"/>
      <c r="DQ138" s="52"/>
      <c r="DR138" s="52"/>
      <c r="DS138" s="52"/>
      <c r="DT138" s="52"/>
      <c r="DU138" s="52"/>
      <c r="DV138" s="52"/>
      <c r="DW138" s="52"/>
      <c r="DX138" s="52"/>
      <c r="DY138" s="52"/>
      <c r="DZ138" s="52"/>
      <c r="EA138" s="52"/>
      <c r="EB138" s="52"/>
      <c r="EC138" s="52"/>
      <c r="ED138" s="52"/>
      <c r="EE138" s="52"/>
      <c r="EF138" s="52"/>
      <c r="EG138" s="52"/>
      <c r="EH138" s="52"/>
      <c r="EI138" s="52"/>
      <c r="EJ138" s="52"/>
      <c r="EK138" s="52"/>
      <c r="EL138" s="52"/>
      <c r="EM138" s="52"/>
      <c r="EN138" s="52"/>
      <c r="EO138" s="52"/>
      <c r="EP138" s="52"/>
      <c r="EQ138" s="52"/>
      <c r="ER138" s="52"/>
      <c r="ES138" s="52"/>
      <c r="ET138" s="52"/>
      <c r="EU138" s="52"/>
      <c r="EV138" s="52"/>
      <c r="EW138" s="52"/>
      <c r="EX138" s="52"/>
      <c r="EY138" s="52"/>
      <c r="EZ138" s="52"/>
      <c r="FA138" s="52"/>
      <c r="FB138" s="52"/>
      <c r="FC138" s="52"/>
      <c r="FD138" s="52"/>
    </row>
    <row r="139" spans="2:160">
      <c r="B139" s="65" t="s">
        <v>278</v>
      </c>
      <c r="C139" s="54">
        <f ca="1">SUM(C29:C124)</f>
        <v>520</v>
      </c>
      <c r="D139" s="8">
        <f ca="1">SUM(D29:D138)</f>
        <v>16507</v>
      </c>
      <c r="E139" s="54">
        <f t="shared" ref="E139:AJ139" ca="1" si="483">SUM(E29:E124)</f>
        <v>0</v>
      </c>
      <c r="F139" s="54">
        <f t="shared" si="483"/>
        <v>0</v>
      </c>
      <c r="G139" s="54">
        <f t="shared" si="483"/>
        <v>0</v>
      </c>
      <c r="H139" s="54">
        <f t="shared" si="483"/>
        <v>0</v>
      </c>
      <c r="I139" s="54">
        <f t="shared" si="483"/>
        <v>0</v>
      </c>
      <c r="J139" s="54">
        <f t="shared" si="483"/>
        <v>0</v>
      </c>
      <c r="K139" s="54">
        <f t="shared" si="483"/>
        <v>0</v>
      </c>
      <c r="L139" s="54">
        <f t="shared" si="483"/>
        <v>0</v>
      </c>
      <c r="M139" s="54">
        <f t="shared" si="483"/>
        <v>0</v>
      </c>
      <c r="N139" s="54">
        <f t="shared" si="483"/>
        <v>0</v>
      </c>
      <c r="O139" s="54">
        <f t="shared" si="483"/>
        <v>0</v>
      </c>
      <c r="P139" s="54">
        <f t="shared" si="483"/>
        <v>0</v>
      </c>
      <c r="Q139" s="54">
        <f t="shared" si="483"/>
        <v>0</v>
      </c>
      <c r="R139" s="54">
        <f t="shared" si="483"/>
        <v>0</v>
      </c>
      <c r="S139" s="54">
        <f t="shared" si="483"/>
        <v>0</v>
      </c>
      <c r="T139" s="54">
        <f t="shared" si="483"/>
        <v>0</v>
      </c>
      <c r="U139" s="54">
        <f t="shared" si="483"/>
        <v>0</v>
      </c>
      <c r="V139" s="54">
        <f t="shared" si="483"/>
        <v>0</v>
      </c>
      <c r="W139" s="54">
        <f t="shared" si="483"/>
        <v>0</v>
      </c>
      <c r="X139" s="54">
        <f t="shared" si="483"/>
        <v>0</v>
      </c>
      <c r="Y139" s="54">
        <f t="shared" si="483"/>
        <v>0</v>
      </c>
      <c r="Z139" s="54">
        <f t="shared" si="483"/>
        <v>0</v>
      </c>
      <c r="AA139" s="54">
        <f t="shared" si="483"/>
        <v>0</v>
      </c>
      <c r="AB139" s="54">
        <f t="shared" si="483"/>
        <v>0</v>
      </c>
      <c r="AC139" s="54">
        <f t="shared" si="483"/>
        <v>0</v>
      </c>
      <c r="AD139" s="54">
        <f t="shared" si="483"/>
        <v>0</v>
      </c>
      <c r="AE139" s="54">
        <f t="shared" si="483"/>
        <v>0</v>
      </c>
      <c r="AF139" s="54">
        <f t="shared" si="483"/>
        <v>0</v>
      </c>
      <c r="AG139" s="54">
        <f t="shared" si="483"/>
        <v>0</v>
      </c>
      <c r="AH139" s="54">
        <f t="shared" si="483"/>
        <v>0</v>
      </c>
      <c r="AI139" s="54">
        <f t="shared" si="483"/>
        <v>0</v>
      </c>
      <c r="AJ139" s="54">
        <f t="shared" si="483"/>
        <v>0</v>
      </c>
      <c r="AK139" s="54">
        <f t="shared" ref="AK139:BP139" si="484">SUM(AK29:AK124)</f>
        <v>0</v>
      </c>
      <c r="AL139" s="54">
        <f t="shared" si="484"/>
        <v>0</v>
      </c>
      <c r="AM139" s="54">
        <f t="shared" si="484"/>
        <v>0</v>
      </c>
      <c r="AN139" s="54">
        <f t="shared" si="484"/>
        <v>0</v>
      </c>
      <c r="AO139" s="54">
        <f t="shared" si="484"/>
        <v>0</v>
      </c>
      <c r="AP139" s="54">
        <f t="shared" si="484"/>
        <v>0</v>
      </c>
      <c r="AQ139" s="54">
        <f t="shared" si="484"/>
        <v>0</v>
      </c>
      <c r="AR139" s="54">
        <f t="shared" si="484"/>
        <v>0</v>
      </c>
      <c r="AS139" s="54">
        <f t="shared" si="484"/>
        <v>0</v>
      </c>
      <c r="AT139" s="54">
        <f t="shared" si="484"/>
        <v>0</v>
      </c>
      <c r="AU139" s="54">
        <f t="shared" si="484"/>
        <v>0</v>
      </c>
      <c r="AV139" s="54">
        <f t="shared" si="484"/>
        <v>0</v>
      </c>
      <c r="AW139" s="54">
        <f t="shared" si="484"/>
        <v>0</v>
      </c>
      <c r="AX139" s="54">
        <f t="shared" si="484"/>
        <v>0</v>
      </c>
      <c r="AY139" s="54">
        <f t="shared" si="484"/>
        <v>0</v>
      </c>
      <c r="AZ139" s="54">
        <f t="shared" si="484"/>
        <v>0</v>
      </c>
      <c r="BA139" s="54">
        <f t="shared" si="484"/>
        <v>0</v>
      </c>
      <c r="BB139" s="54">
        <f t="shared" si="484"/>
        <v>0</v>
      </c>
      <c r="BC139" s="54">
        <f t="shared" si="484"/>
        <v>0</v>
      </c>
      <c r="BD139" s="54">
        <f t="shared" si="484"/>
        <v>0</v>
      </c>
      <c r="BE139" s="54">
        <f t="shared" si="484"/>
        <v>0</v>
      </c>
      <c r="BF139" s="54">
        <f t="shared" si="484"/>
        <v>0</v>
      </c>
      <c r="BG139" s="54">
        <f t="shared" si="484"/>
        <v>0</v>
      </c>
      <c r="BH139" s="54">
        <f t="shared" si="484"/>
        <v>0</v>
      </c>
      <c r="BI139" s="54">
        <f t="shared" si="484"/>
        <v>0</v>
      </c>
      <c r="BJ139" s="54">
        <f t="shared" si="484"/>
        <v>0</v>
      </c>
      <c r="BK139" s="54">
        <f t="shared" si="484"/>
        <v>0</v>
      </c>
      <c r="BL139" s="54">
        <f t="shared" si="484"/>
        <v>0</v>
      </c>
      <c r="BM139" s="54">
        <f t="shared" si="484"/>
        <v>0</v>
      </c>
      <c r="BN139" s="54">
        <f t="shared" si="484"/>
        <v>0</v>
      </c>
      <c r="BO139" s="54">
        <f t="shared" si="484"/>
        <v>0</v>
      </c>
      <c r="BP139" s="54">
        <f t="shared" si="484"/>
        <v>0</v>
      </c>
      <c r="BQ139" s="54">
        <f t="shared" ref="BQ139:CV139" si="485">SUM(BQ29:BQ124)</f>
        <v>0</v>
      </c>
      <c r="BR139" s="54">
        <f t="shared" si="485"/>
        <v>0</v>
      </c>
      <c r="BS139" s="54">
        <f t="shared" si="485"/>
        <v>0</v>
      </c>
      <c r="BT139" s="54">
        <f t="shared" si="485"/>
        <v>0</v>
      </c>
      <c r="BU139" s="54">
        <f t="shared" si="485"/>
        <v>0</v>
      </c>
      <c r="BV139" s="54">
        <f t="shared" si="485"/>
        <v>0</v>
      </c>
      <c r="BW139" s="54">
        <f t="shared" si="485"/>
        <v>0</v>
      </c>
      <c r="BX139" s="54">
        <f t="shared" si="485"/>
        <v>0</v>
      </c>
      <c r="BY139" s="54">
        <f t="shared" si="485"/>
        <v>0</v>
      </c>
      <c r="BZ139" s="54">
        <f t="shared" si="485"/>
        <v>0</v>
      </c>
      <c r="CA139" s="54">
        <f t="shared" si="485"/>
        <v>0</v>
      </c>
      <c r="CB139" s="54">
        <f t="shared" si="485"/>
        <v>0</v>
      </c>
      <c r="CC139" s="54">
        <f t="shared" si="485"/>
        <v>0</v>
      </c>
      <c r="CD139" s="54">
        <f t="shared" si="485"/>
        <v>0</v>
      </c>
      <c r="CE139" s="54">
        <f t="shared" si="485"/>
        <v>0</v>
      </c>
      <c r="CF139" s="54">
        <f t="shared" si="485"/>
        <v>0</v>
      </c>
      <c r="CG139" s="54">
        <f t="shared" si="485"/>
        <v>0</v>
      </c>
      <c r="CH139" s="54">
        <f t="shared" si="485"/>
        <v>0</v>
      </c>
      <c r="CI139" s="54">
        <f t="shared" si="485"/>
        <v>0</v>
      </c>
      <c r="CJ139" s="54">
        <f t="shared" si="485"/>
        <v>0</v>
      </c>
      <c r="CK139" s="54">
        <f t="shared" si="485"/>
        <v>0</v>
      </c>
      <c r="CL139" s="54">
        <f t="shared" si="485"/>
        <v>0</v>
      </c>
      <c r="CM139" s="54">
        <f t="shared" si="485"/>
        <v>0</v>
      </c>
      <c r="CN139" s="54">
        <f t="shared" si="485"/>
        <v>0</v>
      </c>
      <c r="CO139" s="54">
        <f t="shared" si="485"/>
        <v>0</v>
      </c>
      <c r="CP139" s="54">
        <f t="shared" si="485"/>
        <v>0</v>
      </c>
      <c r="CQ139" s="54">
        <f t="shared" si="485"/>
        <v>0</v>
      </c>
      <c r="CR139" s="54">
        <f t="shared" si="485"/>
        <v>0</v>
      </c>
      <c r="CS139" s="54">
        <f t="shared" si="485"/>
        <v>0</v>
      </c>
      <c r="CT139" s="54">
        <f t="shared" si="485"/>
        <v>0</v>
      </c>
      <c r="CU139" s="54">
        <f t="shared" si="485"/>
        <v>0</v>
      </c>
      <c r="CV139" s="54">
        <f t="shared" si="485"/>
        <v>0</v>
      </c>
      <c r="CW139" s="54">
        <f t="shared" ref="CW139:EB139" si="486">SUM(CW29:CW124)</f>
        <v>0</v>
      </c>
      <c r="CX139" s="54">
        <f t="shared" si="486"/>
        <v>0</v>
      </c>
      <c r="CY139" s="54">
        <f t="shared" si="486"/>
        <v>0</v>
      </c>
      <c r="CZ139" s="54">
        <f t="shared" si="486"/>
        <v>0</v>
      </c>
      <c r="DA139" s="54">
        <f t="shared" si="486"/>
        <v>0</v>
      </c>
      <c r="DB139" s="54">
        <f t="shared" si="486"/>
        <v>0</v>
      </c>
      <c r="DC139" s="54">
        <f t="shared" si="486"/>
        <v>0</v>
      </c>
      <c r="DD139" s="54">
        <f t="shared" si="486"/>
        <v>0</v>
      </c>
      <c r="DE139" s="54">
        <f t="shared" si="486"/>
        <v>0</v>
      </c>
      <c r="DF139" s="54">
        <f t="shared" si="486"/>
        <v>0</v>
      </c>
      <c r="DG139" s="54">
        <f t="shared" si="486"/>
        <v>0</v>
      </c>
      <c r="DH139" s="54">
        <f t="shared" si="486"/>
        <v>0</v>
      </c>
      <c r="DI139" s="54">
        <f t="shared" si="486"/>
        <v>0</v>
      </c>
      <c r="DJ139" s="54">
        <f t="shared" si="486"/>
        <v>0</v>
      </c>
      <c r="DK139" s="54">
        <f t="shared" si="486"/>
        <v>0</v>
      </c>
      <c r="DL139" s="54">
        <f t="shared" si="486"/>
        <v>0</v>
      </c>
      <c r="DM139" s="54">
        <f t="shared" si="486"/>
        <v>0</v>
      </c>
      <c r="DN139" s="54">
        <f t="shared" si="486"/>
        <v>0</v>
      </c>
      <c r="DO139" s="54">
        <f t="shared" si="486"/>
        <v>0</v>
      </c>
      <c r="DP139" s="54">
        <f t="shared" si="486"/>
        <v>0</v>
      </c>
      <c r="DQ139" s="54">
        <f t="shared" si="486"/>
        <v>0</v>
      </c>
      <c r="DR139" s="54">
        <f t="shared" si="486"/>
        <v>0</v>
      </c>
      <c r="DS139" s="54">
        <f t="shared" si="486"/>
        <v>0</v>
      </c>
      <c r="DT139" s="54">
        <f t="shared" si="486"/>
        <v>0</v>
      </c>
      <c r="DU139" s="54">
        <f t="shared" si="486"/>
        <v>0</v>
      </c>
      <c r="DV139" s="54">
        <f t="shared" si="486"/>
        <v>0</v>
      </c>
      <c r="DW139" s="54">
        <f t="shared" si="486"/>
        <v>0</v>
      </c>
      <c r="DX139" s="54">
        <f t="shared" si="486"/>
        <v>0</v>
      </c>
      <c r="DY139" s="54">
        <f t="shared" si="486"/>
        <v>0</v>
      </c>
      <c r="DZ139" s="54">
        <f t="shared" si="486"/>
        <v>0</v>
      </c>
      <c r="EA139" s="54">
        <f t="shared" si="486"/>
        <v>0</v>
      </c>
      <c r="EB139" s="54">
        <f t="shared" si="486"/>
        <v>0</v>
      </c>
      <c r="EC139" s="54">
        <f t="shared" ref="EC139:FD139" si="487">SUM(EC29:EC124)</f>
        <v>0</v>
      </c>
      <c r="ED139" s="54">
        <f t="shared" si="487"/>
        <v>0</v>
      </c>
      <c r="EE139" s="54">
        <f t="shared" si="487"/>
        <v>0</v>
      </c>
      <c r="EF139" s="54">
        <f t="shared" si="487"/>
        <v>0</v>
      </c>
      <c r="EG139" s="54">
        <f t="shared" si="487"/>
        <v>0</v>
      </c>
      <c r="EH139" s="54">
        <f t="shared" si="487"/>
        <v>0</v>
      </c>
      <c r="EI139" s="54">
        <f t="shared" si="487"/>
        <v>0</v>
      </c>
      <c r="EJ139" s="54">
        <f t="shared" si="487"/>
        <v>0</v>
      </c>
      <c r="EK139" s="54">
        <f t="shared" si="487"/>
        <v>0</v>
      </c>
      <c r="EL139" s="54">
        <f t="shared" si="487"/>
        <v>0</v>
      </c>
      <c r="EM139" s="54">
        <f t="shared" si="487"/>
        <v>0</v>
      </c>
      <c r="EN139" s="54">
        <f t="shared" si="487"/>
        <v>0</v>
      </c>
      <c r="EO139" s="54">
        <f t="shared" si="487"/>
        <v>0</v>
      </c>
      <c r="EP139" s="54">
        <f t="shared" si="487"/>
        <v>0</v>
      </c>
      <c r="EQ139" s="54">
        <f t="shared" si="487"/>
        <v>0</v>
      </c>
      <c r="ER139" s="54">
        <f t="shared" si="487"/>
        <v>0</v>
      </c>
      <c r="ES139" s="54">
        <f t="shared" si="487"/>
        <v>0</v>
      </c>
      <c r="ET139" s="54">
        <f t="shared" si="487"/>
        <v>0</v>
      </c>
      <c r="EU139" s="54">
        <f t="shared" si="487"/>
        <v>0</v>
      </c>
      <c r="EV139" s="54">
        <f t="shared" si="487"/>
        <v>0</v>
      </c>
      <c r="EW139" s="54">
        <f t="shared" si="487"/>
        <v>0</v>
      </c>
      <c r="EX139" s="54">
        <f t="shared" si="487"/>
        <v>0</v>
      </c>
      <c r="EY139" s="54">
        <f t="shared" si="487"/>
        <v>0</v>
      </c>
      <c r="EZ139" s="54">
        <f t="shared" si="487"/>
        <v>0</v>
      </c>
      <c r="FA139" s="54">
        <f t="shared" si="487"/>
        <v>0</v>
      </c>
      <c r="FB139" s="54">
        <f t="shared" si="487"/>
        <v>0</v>
      </c>
      <c r="FC139" s="54">
        <f t="shared" si="487"/>
        <v>0</v>
      </c>
      <c r="FD139" s="54">
        <f t="shared" si="487"/>
        <v>0</v>
      </c>
    </row>
  </sheetData>
  <sheetProtection algorithmName="SHA-512" hashValue="UFLIz5nmKUQi8XIjK4oGDswABIHRGf8hYcixk2h6YYW/lidJiq068L5WUjQpHZaPOf6hA2WcH8w4GEE2IsuXaA==" saltValue="t8ch0pyXOpVsDO5fZEGVfA==" spinCount="100000" sheet="1" objects="1" scenarios="1"/>
  <mergeCells count="16">
    <mergeCell ref="C3:D3"/>
    <mergeCell ref="C4:D4"/>
    <mergeCell ref="F11:G11"/>
    <mergeCell ref="F12:G12"/>
    <mergeCell ref="F13:G13"/>
    <mergeCell ref="F14:G14"/>
    <mergeCell ref="F15:G15"/>
    <mergeCell ref="F16:G16"/>
    <mergeCell ref="F17:G17"/>
    <mergeCell ref="F22:G22"/>
    <mergeCell ref="F21:G21"/>
    <mergeCell ref="F23:G23"/>
    <mergeCell ref="F24:G24"/>
    <mergeCell ref="F25:G25"/>
    <mergeCell ref="F18:G18"/>
    <mergeCell ref="F19:G20"/>
  </mergeCells>
  <conditionalFormatting sqref="E136:FD139 E98:E135 E27:FD51 F52:FD135">
    <cfRule type="expression" dxfId="316" priority="159">
      <formula>E$28="FALSE"</formula>
    </cfRule>
  </conditionalFormatting>
  <conditionalFormatting sqref="H26:I26">
    <cfRule type="expression" priority="211">
      <formula>#REF!+#REF!+#REF!+#REF!+#REF!</formula>
    </cfRule>
  </conditionalFormatting>
  <conditionalFormatting sqref="E52:E97">
    <cfRule type="expression" dxfId="315" priority="1">
      <formula>E$28="FALSE"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164" operator="lessThan" id="{24049729-4B19-4B29-9211-A35045714919}">
            <xm:f>Baseline!$E$24</xm:f>
            <x14:dxf>
              <font>
                <color rgb="FF9C0006"/>
              </font>
              <fill>
                <patternFill>
                  <bgColor rgb="FFFFC7CE"/>
                </patternFill>
              </fill>
            </x14:dxf>
          </x14:cfRule>
          <x14:cfRule type="cellIs" priority="165" operator="greaterThan" id="{FD0B558C-D005-4FB7-9D4F-5AA20EBD5877}">
            <xm:f>Baseline!$E$24</xm:f>
            <x14:dxf>
              <font>
                <color rgb="FF9C0006"/>
              </font>
              <fill>
                <patternFill>
                  <bgColor rgb="FFFFC7CE"/>
                </patternFill>
              </fill>
            </x14:dxf>
          </x14:cfRule>
          <xm:sqref>D25</xm:sqref>
        </x14:conditionalFormatting>
        <x14:conditionalFormatting xmlns:xm="http://schemas.microsoft.com/office/excel/2006/main">
          <x14:cfRule type="expression" priority="397" id="{2E038C74-D7B9-4373-A27D-178188BD295C}">
            <xm:f>Baseline!$D$6="Phase Based"</xm:f>
            <x14:dxf>
              <font>
                <color theme="0"/>
              </font>
              <fill>
                <patternFill>
                  <bgColor theme="0"/>
                </patternFill>
              </fill>
              <border>
                <left/>
                <right/>
                <top/>
                <bottom/>
              </border>
            </x14:dxf>
          </x14:cfRule>
          <xm:sqref>H11:I25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B2:F34"/>
  <sheetViews>
    <sheetView showGridLines="0" workbookViewId="0">
      <selection activeCell="I23" sqref="I23"/>
    </sheetView>
  </sheetViews>
  <sheetFormatPr defaultColWidth="8.85546875" defaultRowHeight="15"/>
  <cols>
    <col min="2" max="17" width="25.42578125" customWidth="1"/>
  </cols>
  <sheetData>
    <row r="2" spans="2:6">
      <c r="B2" s="7" t="s">
        <v>288</v>
      </c>
      <c r="C2" s="7"/>
      <c r="D2" s="7"/>
    </row>
    <row r="3" spans="2:6">
      <c r="B3" s="4" t="s">
        <v>241</v>
      </c>
      <c r="C3" s="324" t="str">
        <f>IF(ISBLANK(Baseline!D3),"",Baseline!D3)</f>
        <v>VaultSpeed</v>
      </c>
      <c r="D3" s="325"/>
    </row>
    <row r="4" spans="2:6">
      <c r="B4" s="4" t="s">
        <v>245</v>
      </c>
      <c r="C4" s="324" t="str">
        <f>IF(ISBLANK(Baseline!D4),"",Baseline!D4)</f>
        <v>Intune Deployment</v>
      </c>
      <c r="D4" s="325"/>
    </row>
    <row r="5" spans="2:6">
      <c r="B5" s="4" t="s">
        <v>249</v>
      </c>
      <c r="C5" s="324" t="str">
        <f>IF(ISBLANK(Baseline!D5),"",Baseline!D5)</f>
        <v/>
      </c>
      <c r="D5" s="325"/>
    </row>
    <row r="7" spans="2:6">
      <c r="B7" s="66" t="s">
        <v>289</v>
      </c>
      <c r="C7" s="66"/>
      <c r="D7" s="66"/>
      <c r="E7" s="66"/>
      <c r="F7" s="66"/>
    </row>
    <row r="8" spans="2:6">
      <c r="B8" s="4" t="s">
        <v>290</v>
      </c>
      <c r="C8" s="4" t="s">
        <v>291</v>
      </c>
      <c r="D8" s="4" t="s">
        <v>292</v>
      </c>
      <c r="E8" s="4" t="s">
        <v>293</v>
      </c>
      <c r="F8" s="4" t="s">
        <v>258</v>
      </c>
    </row>
    <row r="9" spans="2:6">
      <c r="B9" s="9" t="s">
        <v>294</v>
      </c>
      <c r="C9" s="6">
        <f>Baseline!D24</f>
        <v>28000</v>
      </c>
      <c r="D9" s="6">
        <f>Baseline!E24</f>
        <v>16507</v>
      </c>
      <c r="E9" s="6">
        <f>Baseline!F24</f>
        <v>11493</v>
      </c>
      <c r="F9" s="46">
        <f>Baseline!G24</f>
        <v>0.41046428571428573</v>
      </c>
    </row>
    <row r="10" spans="2:6">
      <c r="B10" s="9" t="s">
        <v>295</v>
      </c>
      <c r="C10" s="67">
        <v>0</v>
      </c>
      <c r="D10" s="67">
        <v>0</v>
      </c>
      <c r="E10" s="6">
        <f>C10-D10</f>
        <v>0</v>
      </c>
      <c r="F10" s="46" t="str">
        <f>IFERROR(E10/C10,"TBD")</f>
        <v>TBD</v>
      </c>
    </row>
    <row r="11" spans="2:6">
      <c r="B11" s="9" t="s">
        <v>296</v>
      </c>
      <c r="C11" s="6">
        <f>C9+C10</f>
        <v>28000</v>
      </c>
      <c r="D11" s="6">
        <f>D9+D10</f>
        <v>16507</v>
      </c>
      <c r="E11" s="6">
        <f>C11-D11</f>
        <v>11493</v>
      </c>
      <c r="F11" s="46">
        <f>IFERROR(E11/C11,"TBD")</f>
        <v>0.41046428571428573</v>
      </c>
    </row>
    <row r="13" spans="2:6">
      <c r="B13" s="66" t="s">
        <v>297</v>
      </c>
      <c r="C13" s="66"/>
      <c r="D13" s="66"/>
      <c r="E13" s="66"/>
      <c r="F13" s="66"/>
    </row>
    <row r="14" spans="2:6">
      <c r="B14" s="4"/>
      <c r="C14" s="4"/>
      <c r="D14" s="4"/>
      <c r="E14" s="4"/>
      <c r="F14" s="4"/>
    </row>
    <row r="15" spans="2:6">
      <c r="B15" s="39"/>
      <c r="C15" s="39"/>
      <c r="D15" s="39"/>
      <c r="E15" s="39"/>
      <c r="F15" s="39"/>
    </row>
    <row r="16" spans="2:6">
      <c r="B16" s="39"/>
      <c r="C16" s="39"/>
      <c r="D16" s="39"/>
      <c r="E16" s="39"/>
      <c r="F16" s="39"/>
    </row>
    <row r="17" spans="2:6">
      <c r="B17" s="39"/>
      <c r="C17" s="39"/>
      <c r="D17" s="39"/>
      <c r="E17" s="39"/>
      <c r="F17" s="39"/>
    </row>
    <row r="18" spans="2:6">
      <c r="B18" s="39"/>
      <c r="C18" s="39"/>
      <c r="D18" s="39"/>
      <c r="E18" s="39"/>
      <c r="F18" s="39"/>
    </row>
    <row r="19" spans="2:6">
      <c r="B19" s="39"/>
      <c r="C19" s="39"/>
      <c r="D19" s="39"/>
      <c r="E19" s="39"/>
      <c r="F19" s="39"/>
    </row>
    <row r="20" spans="2:6">
      <c r="B20" s="39"/>
      <c r="C20" s="39"/>
      <c r="D20" s="39"/>
      <c r="E20" s="39"/>
      <c r="F20" s="39"/>
    </row>
    <row r="21" spans="2:6">
      <c r="B21" s="39"/>
      <c r="C21" s="39"/>
      <c r="D21" s="39"/>
      <c r="E21" s="39"/>
      <c r="F21" s="39"/>
    </row>
    <row r="22" spans="2:6">
      <c r="B22" s="39"/>
      <c r="C22" s="39"/>
      <c r="D22" s="39"/>
      <c r="E22" s="39"/>
      <c r="F22" s="39"/>
    </row>
    <row r="23" spans="2:6">
      <c r="B23" s="39"/>
      <c r="C23" s="39"/>
      <c r="D23" s="39"/>
      <c r="E23" s="39"/>
      <c r="F23" s="39"/>
    </row>
    <row r="24" spans="2:6">
      <c r="B24" s="39"/>
      <c r="C24" s="39"/>
      <c r="D24" s="39"/>
      <c r="E24" s="39"/>
      <c r="F24" s="39"/>
    </row>
    <row r="25" spans="2:6">
      <c r="B25" s="39"/>
      <c r="C25" s="39"/>
      <c r="D25" s="39"/>
      <c r="E25" s="39"/>
      <c r="F25" s="39"/>
    </row>
    <row r="26" spans="2:6">
      <c r="B26" s="39"/>
      <c r="C26" s="39"/>
      <c r="D26" s="39"/>
      <c r="E26" s="39"/>
      <c r="F26" s="39"/>
    </row>
    <row r="27" spans="2:6">
      <c r="B27" s="39"/>
      <c r="C27" s="39"/>
      <c r="D27" s="39"/>
      <c r="E27" s="39"/>
      <c r="F27" s="39"/>
    </row>
    <row r="28" spans="2:6">
      <c r="B28" s="39"/>
      <c r="C28" s="39"/>
      <c r="D28" s="39"/>
      <c r="E28" s="39"/>
      <c r="F28" s="39"/>
    </row>
    <row r="29" spans="2:6">
      <c r="B29" s="39"/>
      <c r="C29" s="39"/>
      <c r="D29" s="39"/>
      <c r="E29" s="39"/>
      <c r="F29" s="39"/>
    </row>
    <row r="30" spans="2:6">
      <c r="B30" s="39"/>
      <c r="C30" s="39"/>
      <c r="D30" s="39"/>
      <c r="E30" s="39"/>
      <c r="F30" s="39"/>
    </row>
    <row r="31" spans="2:6">
      <c r="B31" s="39"/>
      <c r="C31" s="39"/>
      <c r="D31" s="39"/>
      <c r="E31" s="39"/>
      <c r="F31" s="39"/>
    </row>
    <row r="32" spans="2:6">
      <c r="B32" s="39"/>
      <c r="C32" s="39"/>
      <c r="D32" s="39"/>
      <c r="E32" s="39"/>
      <c r="F32" s="39"/>
    </row>
    <row r="33" spans="2:6">
      <c r="B33" s="39"/>
      <c r="C33" s="39"/>
      <c r="D33" s="39"/>
      <c r="E33" s="39"/>
      <c r="F33" s="39"/>
    </row>
    <row r="34" spans="2:6">
      <c r="B34" s="39"/>
      <c r="C34" s="39"/>
      <c r="D34" s="39"/>
      <c r="E34" s="39"/>
      <c r="F34" s="39"/>
    </row>
  </sheetData>
  <sheetProtection algorithmName="SHA-512" hashValue="FbufXzT66+Fwqw+wgNrbcssuE37Khl1h6ECfin+Fsl5qeJkCT1ekqEO2WTMkheb5dbBDLKwDmOJrbxuZeBjb6w==" saltValue="MnaSwUUfUYjJUpc5HKttZw==" spinCount="100000" sheet="1" objects="1" scenarios="1"/>
  <mergeCells count="3">
    <mergeCell ref="C4:D4"/>
    <mergeCell ref="C5:D5"/>
    <mergeCell ref="C3:D3"/>
  </mergeCells>
  <conditionalFormatting sqref="F9">
    <cfRule type="cellIs" dxfId="311" priority="3" operator="lessThan">
      <formula>0.2</formula>
    </cfRule>
  </conditionalFormatting>
  <pageMargins left="0.7" right="0.7" top="0.75" bottom="0.75" header="0.3" footer="0.3"/>
  <pageSetup orientation="portrait" horizontalDpi="4294967293" verticalDpi="0" r:id="rId1"/>
  <ignoredErrors>
    <ignoredError sqref="C5 C3 C4" unlocked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2:M97"/>
  <sheetViews>
    <sheetView showGridLines="0" zoomScale="130" zoomScaleNormal="130" workbookViewId="0">
      <selection activeCell="D33" sqref="D33:G34"/>
    </sheetView>
  </sheetViews>
  <sheetFormatPr defaultColWidth="8.85546875" defaultRowHeight="15"/>
  <cols>
    <col min="1" max="1" width="3.42578125" style="33" customWidth="1"/>
    <col min="2" max="2" width="19.42578125" style="33" customWidth="1"/>
    <col min="3" max="3" width="6.42578125" style="33" customWidth="1"/>
    <col min="4" max="7" width="25.42578125" style="33" customWidth="1"/>
    <col min="8" max="8" width="3.42578125" style="33" customWidth="1"/>
    <col min="9" max="9" width="29" style="33" customWidth="1"/>
    <col min="10" max="10" width="25.42578125" style="33" customWidth="1"/>
    <col min="11" max="11" width="28.42578125" style="33" bestFit="1" customWidth="1"/>
    <col min="12" max="12" width="25.42578125" style="33" customWidth="1"/>
    <col min="13" max="13" width="5.42578125" style="33" customWidth="1"/>
    <col min="14" max="16384" width="8.85546875" style="33"/>
  </cols>
  <sheetData>
    <row r="2" spans="2:13">
      <c r="B2" s="7" t="s">
        <v>288</v>
      </c>
      <c r="C2" s="7"/>
      <c r="D2" s="7"/>
      <c r="E2" s="7"/>
      <c r="F2" s="47"/>
      <c r="G2" s="226" t="str">
        <f>"v."&amp;'Version Control'!$C$3</f>
        <v>v.1.20</v>
      </c>
      <c r="I2" s="7" t="s">
        <v>298</v>
      </c>
      <c r="J2" s="7"/>
      <c r="K2" s="7" t="s">
        <v>299</v>
      </c>
      <c r="L2" s="166"/>
    </row>
    <row r="3" spans="2:13">
      <c r="B3" s="331" t="s">
        <v>241</v>
      </c>
      <c r="C3" s="332"/>
      <c r="D3" s="339" t="s">
        <v>300</v>
      </c>
      <c r="E3" s="339"/>
      <c r="F3" s="4" t="s">
        <v>301</v>
      </c>
      <c r="G3" s="35" t="s">
        <v>302</v>
      </c>
      <c r="H3" s="36"/>
      <c r="I3" s="4" t="s">
        <v>303</v>
      </c>
      <c r="J3" s="103">
        <f>G24</f>
        <v>0.41046428571428573</v>
      </c>
      <c r="K3" s="4" t="s">
        <v>304</v>
      </c>
      <c r="L3" s="64"/>
    </row>
    <row r="4" spans="2:13">
      <c r="B4" s="331" t="s">
        <v>245</v>
      </c>
      <c r="C4" s="332"/>
      <c r="D4" s="339" t="s">
        <v>305</v>
      </c>
      <c r="E4" s="339"/>
      <c r="F4" s="48" t="str">
        <f>IF(G3="Fixed Project Price","Total Project Revenue:",IF(G3="Fixed Unit Price","Unit Sell Price",""))</f>
        <v>Total Project Revenue:</v>
      </c>
      <c r="G4" s="37">
        <v>28000</v>
      </c>
      <c r="H4" s="36"/>
      <c r="I4" s="4" t="s">
        <v>306</v>
      </c>
      <c r="J4" s="103">
        <f ca="1">G27</f>
        <v>0.37715551785714285</v>
      </c>
      <c r="K4" s="4" t="s">
        <v>307</v>
      </c>
      <c r="L4" s="64"/>
    </row>
    <row r="5" spans="2:13">
      <c r="B5" s="331" t="s">
        <v>249</v>
      </c>
      <c r="C5" s="332"/>
      <c r="D5" s="340"/>
      <c r="E5" s="341"/>
      <c r="F5" s="4" t="s">
        <v>308</v>
      </c>
      <c r="G5" s="35">
        <v>0.35</v>
      </c>
      <c r="H5" s="36"/>
      <c r="I5" s="4" t="s">
        <v>309</v>
      </c>
      <c r="J5" s="103">
        <f ca="1">Overview!F9</f>
        <v>8.6024110983219243E-2</v>
      </c>
      <c r="K5" s="7" t="s">
        <v>310</v>
      </c>
      <c r="L5" s="162"/>
      <c r="M5" s="38"/>
    </row>
    <row r="6" spans="2:13">
      <c r="B6" s="169" t="s">
        <v>311</v>
      </c>
      <c r="C6" s="155"/>
      <c r="D6" s="39" t="s">
        <v>312</v>
      </c>
      <c r="E6" s="9"/>
      <c r="F6" s="4" t="s">
        <v>313</v>
      </c>
      <c r="G6" s="35">
        <v>0.5</v>
      </c>
      <c r="H6" s="36"/>
      <c r="I6" s="4" t="s">
        <v>314</v>
      </c>
      <c r="J6" s="104">
        <f ca="1">IFERROR((Overview!C14)/Overview!C25,"TBD")</f>
        <v>0.21450151057401812</v>
      </c>
      <c r="K6" s="4" t="s">
        <v>315</v>
      </c>
      <c r="L6" s="138" t="s">
        <v>316</v>
      </c>
    </row>
    <row r="7" spans="2:13">
      <c r="B7" s="331" t="s">
        <v>317</v>
      </c>
      <c r="C7" s="332"/>
      <c r="D7" s="35" t="str">
        <f>IF(D6="ZBaaS","Month(s)","Project")</f>
        <v>Project</v>
      </c>
      <c r="E7" s="176" t="str">
        <f>IF(D6='Data Tables'!N3,"Quantity of Users:","")</f>
        <v/>
      </c>
      <c r="F7" s="4" t="s">
        <v>318</v>
      </c>
      <c r="G7" s="35">
        <v>0.6</v>
      </c>
      <c r="H7" s="36"/>
      <c r="I7" s="4" t="s">
        <v>319</v>
      </c>
      <c r="J7" s="104">
        <f>IF(B14="Startup",IFERROR(E14/E24,"TBD"),IF(AND(B14="Startup",E14&lt;=0),"TBD",""))</f>
        <v>0</v>
      </c>
      <c r="K7" s="4" t="s">
        <v>320</v>
      </c>
      <c r="L7" s="139" t="s">
        <v>321</v>
      </c>
    </row>
    <row r="8" spans="2:13">
      <c r="B8" s="331" t="s">
        <v>322</v>
      </c>
      <c r="C8" s="332"/>
      <c r="D8" s="39">
        <f>IF(D6='Data Tables'!N3,"Enter QTY of Months",1)</f>
        <v>1</v>
      </c>
      <c r="E8" s="177" t="str">
        <f>IF(D6='Data Tables'!N3,"Enter QTY of Users","")</f>
        <v/>
      </c>
      <c r="F8" s="4" t="s">
        <v>323</v>
      </c>
      <c r="G8" s="35">
        <v>0.3</v>
      </c>
      <c r="H8" s="36"/>
      <c r="I8" s="9"/>
      <c r="J8" s="9"/>
      <c r="K8" s="4" t="s">
        <v>324</v>
      </c>
      <c r="L8" s="214" t="e">
        <f>IF(D6="Phase Based",L7+((Startup!E3+Pilot!E3+PMO!E3+'Design &amp; Fulfillment'!E3+Workplace!E3+Integration!E3+Logistics!E3+'Service Desk'!E3+'Pro Services'!E3)*7)-1,L7+(L6*7)-1)</f>
        <v>#VALUE!</v>
      </c>
    </row>
    <row r="9" spans="2:13">
      <c r="B9" s="342" t="str">
        <f>IF(D6="ZBaaS","** For ZBaaS Calculators, only enter the quantity of Months and Users. No adjustments to level of effort on other tabs are required. **","")</f>
        <v/>
      </c>
      <c r="C9" s="343"/>
      <c r="D9" s="343"/>
      <c r="E9" s="344"/>
      <c r="F9" s="4" t="s">
        <v>325</v>
      </c>
      <c r="G9" s="35">
        <v>0.15</v>
      </c>
      <c r="H9" s="36"/>
    </row>
    <row r="10" spans="2:13">
      <c r="B10" s="358"/>
      <c r="C10" s="359"/>
      <c r="D10" s="359"/>
      <c r="E10" s="360"/>
      <c r="F10" s="4" t="s">
        <v>326</v>
      </c>
      <c r="G10" s="35">
        <v>0.15</v>
      </c>
      <c r="I10" s="32" t="s">
        <v>327</v>
      </c>
      <c r="J10" s="32"/>
      <c r="K10" s="32"/>
      <c r="L10" s="32"/>
    </row>
    <row r="11" spans="2:13">
      <c r="B11" s="36"/>
      <c r="C11" s="36"/>
      <c r="D11" s="36"/>
      <c r="F11" s="40"/>
      <c r="G11" s="41"/>
      <c r="I11" s="348"/>
      <c r="J11" s="349"/>
      <c r="K11" s="349"/>
      <c r="L11" s="350"/>
    </row>
    <row r="12" spans="2:13">
      <c r="B12" s="7" t="s">
        <v>328</v>
      </c>
      <c r="C12" s="7"/>
      <c r="D12" s="7"/>
      <c r="E12" s="7"/>
      <c r="F12" s="7"/>
      <c r="G12" s="7"/>
      <c r="I12" s="351"/>
      <c r="J12" s="352"/>
      <c r="K12" s="352"/>
      <c r="L12" s="353"/>
    </row>
    <row r="13" spans="2:13">
      <c r="B13" s="331" t="s">
        <v>329</v>
      </c>
      <c r="C13" s="332"/>
      <c r="D13" s="4" t="s">
        <v>330</v>
      </c>
      <c r="E13" s="4" t="s">
        <v>331</v>
      </c>
      <c r="F13" s="4" t="s">
        <v>332</v>
      </c>
      <c r="G13" s="4" t="s">
        <v>333</v>
      </c>
      <c r="I13" s="351"/>
      <c r="J13" s="352"/>
      <c r="K13" s="352"/>
      <c r="L13" s="353"/>
    </row>
    <row r="14" spans="2:13">
      <c r="B14" s="361" t="str">
        <f>Startup!C2</f>
        <v>Startup</v>
      </c>
      <c r="C14" s="362"/>
      <c r="D14" s="160">
        <f>IFERROR(IF($G$3="Fixed Project Price",E14/SUM($E$14:$E$22)*$G$4,IF($G$3="Fixed Unit Price",E14/SUM($E$14:E22)*$D$24,Startup!P64)),"TBD")</f>
        <v>0</v>
      </c>
      <c r="E14" s="160">
        <f>Startup!M64</f>
        <v>0</v>
      </c>
      <c r="F14" s="160">
        <f t="shared" ref="F14:F22" si="0">IFERROR(D14-E14,"TBD")</f>
        <v>0</v>
      </c>
      <c r="G14" s="45" t="str">
        <f t="shared" ref="G14:G22" si="1">IFERROR(F14/D14,"TBD")</f>
        <v>TBD</v>
      </c>
      <c r="I14" s="351"/>
      <c r="J14" s="352"/>
      <c r="K14" s="352"/>
      <c r="L14" s="353"/>
    </row>
    <row r="15" spans="2:13">
      <c r="B15" s="361" t="str">
        <f>Pilot!C2</f>
        <v>Pilot</v>
      </c>
      <c r="C15" s="362"/>
      <c r="D15" s="160">
        <f>IFERROR(IF($G$3="Fixed Project Price",E15/SUM($E$14:$E$22)*$G$4,IF($G$3="Fixed Unit Price",E15/SUM($E$14:E22)*$D$24,Pilot!P64)),"TBD")</f>
        <v>0</v>
      </c>
      <c r="E15" s="160">
        <f>Pilot!M64</f>
        <v>0</v>
      </c>
      <c r="F15" s="160">
        <f t="shared" si="0"/>
        <v>0</v>
      </c>
      <c r="G15" s="45" t="str">
        <f t="shared" si="1"/>
        <v>TBD</v>
      </c>
      <c r="I15" s="351"/>
      <c r="J15" s="352"/>
      <c r="K15" s="352"/>
      <c r="L15" s="353"/>
    </row>
    <row r="16" spans="2:13">
      <c r="B16" s="361" t="str">
        <f>PMO!C2</f>
        <v>PMO</v>
      </c>
      <c r="C16" s="362"/>
      <c r="D16" s="160">
        <f>IFERROR(IF($G$3="Fixed Project Price",E16/SUM($E$14:$E$22)*$G$4,IF($G$3="Fixed Unit Price",E16/SUM($E14:E$22)*$D$24,PMO!P64)),"TBD")</f>
        <v>0</v>
      </c>
      <c r="E16" s="160">
        <f>PMO!M64</f>
        <v>0</v>
      </c>
      <c r="F16" s="160">
        <f t="shared" si="0"/>
        <v>0</v>
      </c>
      <c r="G16" s="45" t="str">
        <f t="shared" si="1"/>
        <v>TBD</v>
      </c>
      <c r="I16" s="351"/>
      <c r="J16" s="352"/>
      <c r="K16" s="352"/>
      <c r="L16" s="353"/>
    </row>
    <row r="17" spans="2:12">
      <c r="B17" s="361" t="str">
        <f>'Design &amp; Fulfillment'!C2</f>
        <v>Design &amp; Fulfillment</v>
      </c>
      <c r="C17" s="362"/>
      <c r="D17" s="160">
        <f>IFERROR(IF($G$3="Fixed Project Price",E17/SUM($E$14:$E$22)*$G$4,IF($G$3="Fixed Unit Price",E17/SUM($E$14:E22)*$D$24,'Design &amp; Fulfillment'!P64)),"TBD")</f>
        <v>0</v>
      </c>
      <c r="E17" s="160">
        <f>'Design &amp; Fulfillment'!M64</f>
        <v>0</v>
      </c>
      <c r="F17" s="160">
        <f t="shared" si="0"/>
        <v>0</v>
      </c>
      <c r="G17" s="45" t="str">
        <f t="shared" si="1"/>
        <v>TBD</v>
      </c>
      <c r="I17" s="351"/>
      <c r="J17" s="352"/>
      <c r="K17" s="352"/>
      <c r="L17" s="353"/>
    </row>
    <row r="18" spans="2:12" ht="15" customHeight="1">
      <c r="B18" s="361" t="str">
        <f>Workplace!C2</f>
        <v>Workplace</v>
      </c>
      <c r="C18" s="362"/>
      <c r="D18" s="160">
        <f>IFERROR(IF($G$3="Fixed Project Price",E18/SUM($E$14:$E$22)*$G$4,IF($G$3="Fixed Unit Price",E18/SUM($E$14:E22)*$D$24,Workplace!P64)),"TBD")</f>
        <v>0</v>
      </c>
      <c r="E18" s="160">
        <f>Workplace!M64</f>
        <v>0</v>
      </c>
      <c r="F18" s="160">
        <f t="shared" si="0"/>
        <v>0</v>
      </c>
      <c r="G18" s="45" t="str">
        <f t="shared" si="1"/>
        <v>TBD</v>
      </c>
      <c r="I18" s="354"/>
      <c r="J18" s="355"/>
      <c r="K18" s="355"/>
      <c r="L18" s="356"/>
    </row>
    <row r="19" spans="2:12">
      <c r="B19" s="361" t="str">
        <f>Integration!C2</f>
        <v>Integration</v>
      </c>
      <c r="C19" s="362"/>
      <c r="D19" s="160">
        <f>IFERROR(IF($G$3="Fixed Project Price",E19/SUM($E$14:$E$22)*$G$4,IF($G$3="Fixed Unit Price",E19/SUM($E$14:E22)*$D$24,Integration!P64)),"TBD")</f>
        <v>0</v>
      </c>
      <c r="E19" s="160">
        <f>Integration!M64</f>
        <v>0</v>
      </c>
      <c r="F19" s="160">
        <f t="shared" si="0"/>
        <v>0</v>
      </c>
      <c r="G19" s="45" t="str">
        <f t="shared" si="1"/>
        <v>TBD</v>
      </c>
    </row>
    <row r="20" spans="2:12">
      <c r="B20" s="361" t="str">
        <f>Logistics!C2</f>
        <v>Logistics</v>
      </c>
      <c r="C20" s="362"/>
      <c r="D20" s="160">
        <f>IFERROR(IF($G$3="Fixed Project Price",E20/SUM($E$14:$E$22)*$G$4,IF($G$3="Fixed Unit Price",E20/SUM($E$14:E22)*$D$24,Logistics!P64)),"TBD")</f>
        <v>0</v>
      </c>
      <c r="E20" s="160">
        <f>Logistics!M64</f>
        <v>0</v>
      </c>
      <c r="F20" s="160">
        <f t="shared" si="0"/>
        <v>0</v>
      </c>
      <c r="G20" s="45" t="str">
        <f t="shared" si="1"/>
        <v>TBD</v>
      </c>
      <c r="I20" s="7" t="s">
        <v>334</v>
      </c>
      <c r="J20" s="7"/>
      <c r="K20" s="7"/>
      <c r="L20" s="7"/>
    </row>
    <row r="21" spans="2:12">
      <c r="B21" s="361" t="str">
        <f>'Service Desk'!C2</f>
        <v>Service Desk</v>
      </c>
      <c r="C21" s="362"/>
      <c r="D21" s="160">
        <f>IFERROR(IF($G$3="Fixed Project Price",E21/SUM($E$14:$E$22)*$G$4,IF($G$3="Fixed Unit Price",E21/SUM($E$14:E22)*$D$24,'Service Desk'!P64)),"TBD")</f>
        <v>0</v>
      </c>
      <c r="E21" s="160">
        <f>'Service Desk'!M64</f>
        <v>0</v>
      </c>
      <c r="F21" s="160">
        <f t="shared" si="0"/>
        <v>0</v>
      </c>
      <c r="G21" s="45" t="str">
        <f t="shared" si="1"/>
        <v>TBD</v>
      </c>
      <c r="I21" s="4" t="s">
        <v>335</v>
      </c>
      <c r="J21" s="4" t="s">
        <v>336</v>
      </c>
      <c r="K21" s="4" t="s">
        <v>335</v>
      </c>
      <c r="L21" s="4" t="s">
        <v>336</v>
      </c>
    </row>
    <row r="22" spans="2:12">
      <c r="B22" s="361" t="str">
        <f>'Pro Services'!C2</f>
        <v>Pro Services</v>
      </c>
      <c r="C22" s="362"/>
      <c r="D22" s="160">
        <f>IFERROR(IF($G$3="Fixed Project Price",E22/SUM($E$14:$E$22)*$G$4,IF($G$3="Fixed Unit Price",E22/SUM($E$14:E22)*$D$24,'Pro Services'!P64)),"TBD")</f>
        <v>28000</v>
      </c>
      <c r="E22" s="160">
        <f>'Pro Services'!M64</f>
        <v>16507</v>
      </c>
      <c r="F22" s="160">
        <f t="shared" si="0"/>
        <v>11493</v>
      </c>
      <c r="G22" s="45">
        <f t="shared" si="1"/>
        <v>0.41046428571428573</v>
      </c>
      <c r="I22" s="42" t="s">
        <v>337</v>
      </c>
      <c r="J22" s="42"/>
      <c r="K22" s="42" t="s">
        <v>338</v>
      </c>
      <c r="L22" s="42"/>
    </row>
    <row r="23" spans="2:12">
      <c r="B23" s="154" t="s">
        <v>339</v>
      </c>
      <c r="C23" s="140" t="s">
        <v>223</v>
      </c>
      <c r="D23" s="160" t="str">
        <f>IF($C$23="Yes",SUM($D$14:$D$22)*1.03-SUM($D$14:$D$22),"N/A")</f>
        <v>N/A</v>
      </c>
      <c r="E23" s="160" t="str">
        <f>IF($C$23="Yes",SUM($D$14:$D$22)*1.03-SUM($D$14:$D$22),"N/A")</f>
        <v>N/A</v>
      </c>
      <c r="F23" s="160" t="s">
        <v>274</v>
      </c>
      <c r="G23" s="45" t="s">
        <v>274</v>
      </c>
      <c r="I23" s="42" t="s">
        <v>340</v>
      </c>
      <c r="J23" s="42"/>
      <c r="K23" s="42" t="s">
        <v>191</v>
      </c>
      <c r="L23" s="42"/>
    </row>
    <row r="24" spans="2:12">
      <c r="B24" s="364" t="s">
        <v>332</v>
      </c>
      <c r="C24" s="365"/>
      <c r="D24" s="69">
        <f>IF(AND(G3="Fixed Project Price",C23="Yes"),G4+D23,IF(AND(G3="Fixed Unit Price",C23="Yes"),D30*D8+D23,IF(G3="Fixed Project Price",G4,IF(G3="Fixed Unit Price",D30*D8,SUM(D14:D23)))))</f>
        <v>28000</v>
      </c>
      <c r="E24" s="69">
        <f>SUM(E14:E23)</f>
        <v>16507</v>
      </c>
      <c r="F24" s="69">
        <f>D24-E24</f>
        <v>11493</v>
      </c>
      <c r="G24" s="75">
        <f>IFERROR(F24/D24,"TBD")</f>
        <v>0.41046428571428573</v>
      </c>
      <c r="I24" s="42" t="s">
        <v>341</v>
      </c>
      <c r="J24" s="42"/>
      <c r="K24" s="42" t="s">
        <v>195</v>
      </c>
      <c r="L24" s="42"/>
    </row>
    <row r="25" spans="2:12">
      <c r="B25" s="361" t="s">
        <v>342</v>
      </c>
      <c r="C25" s="362"/>
      <c r="D25" s="160">
        <v>0</v>
      </c>
      <c r="E25" s="160">
        <f ca="1">IFERROR(SUM(Overview!H3,Overview!H5:H8)*0.0565,"TBD")</f>
        <v>932.64549999999997</v>
      </c>
      <c r="F25" s="160">
        <f ca="1">IFERROR(D25-E25,"TBD")</f>
        <v>-932.64549999999997</v>
      </c>
      <c r="G25" s="45" t="s">
        <v>274</v>
      </c>
      <c r="I25" s="42" t="s">
        <v>343</v>
      </c>
      <c r="J25" s="42"/>
      <c r="K25" s="42" t="s">
        <v>344</v>
      </c>
      <c r="L25" s="42"/>
    </row>
    <row r="26" spans="2:12">
      <c r="B26" s="361" t="s">
        <v>345</v>
      </c>
      <c r="C26" s="362"/>
      <c r="D26" s="160">
        <v>0</v>
      </c>
      <c r="E26" s="97">
        <v>0</v>
      </c>
      <c r="F26" s="164">
        <f>IFERROR(D26-E26,"TBD")</f>
        <v>0</v>
      </c>
      <c r="G26" s="167" t="s">
        <v>274</v>
      </c>
    </row>
    <row r="27" spans="2:12">
      <c r="B27" s="364" t="s">
        <v>346</v>
      </c>
      <c r="C27" s="365"/>
      <c r="D27" s="69">
        <f>D24+D25</f>
        <v>28000</v>
      </c>
      <c r="E27" s="69">
        <f ca="1">IFERROR(E24+E25+E26,"TBD")</f>
        <v>17439.645499999999</v>
      </c>
      <c r="F27" s="69">
        <f ca="1">IFERROR(F24+F25+F26,"TBD")</f>
        <v>10560.354499999999</v>
      </c>
      <c r="G27" s="76">
        <f ca="1">IFERROR(F27/D27,"TBD")</f>
        <v>0.37715551785714285</v>
      </c>
      <c r="I27" s="32" t="s">
        <v>347</v>
      </c>
      <c r="J27" s="32"/>
      <c r="K27" s="32"/>
      <c r="L27" s="32"/>
    </row>
    <row r="28" spans="2:12">
      <c r="B28" s="361" t="s">
        <v>348</v>
      </c>
      <c r="C28" s="362"/>
      <c r="D28" s="160">
        <v>0</v>
      </c>
      <c r="E28" s="160">
        <f>E24*0.0857</f>
        <v>1414.6498999999999</v>
      </c>
      <c r="F28" s="160">
        <f>D28-E28</f>
        <v>-1414.6498999999999</v>
      </c>
      <c r="G28" s="45" t="s">
        <v>274</v>
      </c>
      <c r="I28" s="336"/>
      <c r="J28" s="337"/>
      <c r="K28" s="337"/>
      <c r="L28" s="338"/>
    </row>
    <row r="29" spans="2:12">
      <c r="B29" s="364" t="s">
        <v>349</v>
      </c>
      <c r="C29" s="365"/>
      <c r="D29" s="70">
        <f>D24</f>
        <v>28000</v>
      </c>
      <c r="E29" s="70">
        <f ca="1">IFERROR(E27+E28,"TBD")</f>
        <v>18854.295399999999</v>
      </c>
      <c r="F29" s="70">
        <f ca="1">IFERROR(F27+F28,"TBD")</f>
        <v>9145.7045999999991</v>
      </c>
      <c r="G29" s="76">
        <f ca="1">IFERROR(F29/D29,"TBD")</f>
        <v>0.32663230714285713</v>
      </c>
      <c r="I29" s="336"/>
      <c r="J29" s="337"/>
      <c r="K29" s="337"/>
      <c r="L29" s="338"/>
    </row>
    <row r="30" spans="2:12">
      <c r="B30" s="324" t="s">
        <v>350</v>
      </c>
      <c r="C30" s="366"/>
      <c r="D30" s="160">
        <f>IF(G3="Fixed Unit Price",G4,D24/D8)</f>
        <v>28000</v>
      </c>
      <c r="E30" s="160">
        <f>IFERROR(E24/D8,"TBD")</f>
        <v>16507</v>
      </c>
      <c r="F30" s="160">
        <f>IFERROR(D30-E30,"TBD")</f>
        <v>11493</v>
      </c>
      <c r="G30" s="46"/>
      <c r="I30" s="336"/>
      <c r="J30" s="337"/>
      <c r="K30" s="337"/>
      <c r="L30" s="338"/>
    </row>
    <row r="31" spans="2:12">
      <c r="I31" s="336"/>
      <c r="J31" s="337"/>
      <c r="K31" s="337"/>
      <c r="L31" s="338"/>
    </row>
    <row r="32" spans="2:12" ht="15" customHeight="1">
      <c r="B32" s="32" t="s">
        <v>351</v>
      </c>
      <c r="C32" s="32"/>
      <c r="D32" s="32"/>
      <c r="E32" s="32"/>
      <c r="F32" s="32"/>
      <c r="G32" s="32"/>
      <c r="I32" s="336"/>
      <c r="J32" s="337"/>
      <c r="K32" s="337"/>
      <c r="L32" s="338"/>
    </row>
    <row r="33" spans="2:12">
      <c r="B33" s="367" t="s">
        <v>352</v>
      </c>
      <c r="C33" s="368"/>
      <c r="D33" s="342" t="s">
        <v>353</v>
      </c>
      <c r="E33" s="343"/>
      <c r="F33" s="343"/>
      <c r="G33" s="344"/>
      <c r="I33" s="336"/>
      <c r="J33" s="337"/>
      <c r="K33" s="337"/>
      <c r="L33" s="338"/>
    </row>
    <row r="34" spans="2:12">
      <c r="B34" s="369"/>
      <c r="C34" s="370"/>
      <c r="D34" s="345"/>
      <c r="E34" s="346"/>
      <c r="F34" s="346"/>
      <c r="G34" s="347"/>
      <c r="I34" s="336"/>
      <c r="J34" s="337"/>
      <c r="K34" s="337"/>
      <c r="L34" s="338"/>
    </row>
    <row r="35" spans="2:12">
      <c r="B35" s="363" t="str">
        <f>Startup!L42</f>
        <v>Startup Assumptions:</v>
      </c>
      <c r="C35" s="363"/>
      <c r="D35" s="333" t="str">
        <f>IF(Startup!L43=0,"",Startup!L43)</f>
        <v/>
      </c>
      <c r="E35" s="334"/>
      <c r="F35" s="334"/>
      <c r="G35" s="335"/>
      <c r="I35" s="336"/>
      <c r="J35" s="337"/>
      <c r="K35" s="337"/>
      <c r="L35" s="338"/>
    </row>
    <row r="36" spans="2:12">
      <c r="B36" s="363"/>
      <c r="C36" s="363"/>
      <c r="D36" s="333" t="str">
        <f>IF(Startup!L44=0,"",Startup!L44)</f>
        <v/>
      </c>
      <c r="E36" s="334"/>
      <c r="F36" s="334"/>
      <c r="G36" s="335"/>
    </row>
    <row r="37" spans="2:12">
      <c r="B37" s="363"/>
      <c r="C37" s="363"/>
      <c r="D37" s="333" t="str">
        <f>IF(Startup!L45=0,"",Startup!L45)</f>
        <v/>
      </c>
      <c r="E37" s="334"/>
      <c r="F37" s="334"/>
      <c r="G37" s="335"/>
      <c r="I37" s="32" t="s">
        <v>354</v>
      </c>
      <c r="J37" s="32"/>
      <c r="K37" s="32"/>
      <c r="L37" s="32"/>
    </row>
    <row r="38" spans="2:12">
      <c r="B38" s="363"/>
      <c r="C38" s="363"/>
      <c r="D38" s="333" t="str">
        <f>IF(Startup!L47=0,"",Startup!L47)</f>
        <v/>
      </c>
      <c r="E38" s="334"/>
      <c r="F38" s="334"/>
      <c r="G38" s="335"/>
      <c r="I38" s="328"/>
      <c r="J38" s="329"/>
      <c r="K38" s="329"/>
      <c r="L38" s="330"/>
    </row>
    <row r="39" spans="2:12">
      <c r="B39" s="363"/>
      <c r="C39" s="363"/>
      <c r="D39" s="333" t="str">
        <f>IF(Startup!L48=0,"",Startup!L48)</f>
        <v/>
      </c>
      <c r="E39" s="334"/>
      <c r="F39" s="334"/>
      <c r="G39" s="335"/>
      <c r="I39" s="328"/>
      <c r="J39" s="329"/>
      <c r="K39" s="329"/>
      <c r="L39" s="330"/>
    </row>
    <row r="40" spans="2:12">
      <c r="B40" s="363"/>
      <c r="C40" s="363"/>
      <c r="D40" s="333" t="str">
        <f>IF(Startup!L49=0,"",Startup!L49)</f>
        <v/>
      </c>
      <c r="E40" s="334"/>
      <c r="F40" s="334"/>
      <c r="G40" s="335"/>
      <c r="I40" s="156"/>
      <c r="J40" s="157"/>
      <c r="K40" s="157"/>
      <c r="L40" s="158"/>
    </row>
    <row r="41" spans="2:12">
      <c r="B41" s="363"/>
      <c r="C41" s="363"/>
      <c r="D41" s="333" t="str">
        <f>IF(Startup!L50=0,"",Startup!L50)</f>
        <v/>
      </c>
      <c r="E41" s="334"/>
      <c r="F41" s="334"/>
      <c r="G41" s="335"/>
      <c r="I41" s="156"/>
      <c r="J41" s="157"/>
      <c r="K41" s="157"/>
      <c r="L41" s="158"/>
    </row>
    <row r="42" spans="2:12">
      <c r="B42" s="363" t="str">
        <f>Pilot!L42</f>
        <v>Pilot Assumptions:</v>
      </c>
      <c r="C42" s="363"/>
      <c r="D42" s="333" t="str">
        <f>IF(Pilot!L43=0,"",Pilot!L43)</f>
        <v/>
      </c>
      <c r="E42" s="334"/>
      <c r="F42" s="334"/>
      <c r="G42" s="335"/>
      <c r="I42" s="156"/>
      <c r="J42" s="157"/>
      <c r="K42" s="157"/>
      <c r="L42" s="158"/>
    </row>
    <row r="43" spans="2:12">
      <c r="B43" s="363"/>
      <c r="C43" s="363"/>
      <c r="D43" s="333" t="str">
        <f>IF(Pilot!L44=0,"",Pilot!L44)</f>
        <v/>
      </c>
      <c r="E43" s="334"/>
      <c r="F43" s="334"/>
      <c r="G43" s="335"/>
      <c r="I43" s="328"/>
      <c r="J43" s="329"/>
      <c r="K43" s="329"/>
      <c r="L43" s="330"/>
    </row>
    <row r="44" spans="2:12">
      <c r="B44" s="363"/>
      <c r="C44" s="363"/>
      <c r="D44" s="333" t="str">
        <f>IF(Pilot!L45=0,"",Pilot!L45)</f>
        <v/>
      </c>
      <c r="E44" s="334"/>
      <c r="F44" s="334"/>
      <c r="G44" s="335"/>
      <c r="I44" s="328"/>
      <c r="J44" s="329"/>
      <c r="K44" s="329"/>
      <c r="L44" s="330"/>
    </row>
    <row r="45" spans="2:12">
      <c r="B45" s="363"/>
      <c r="C45" s="363"/>
      <c r="D45" s="333" t="str">
        <f>IF(Pilot!L46=0,"",Pilot!L46)</f>
        <v/>
      </c>
      <c r="E45" s="334"/>
      <c r="F45" s="334"/>
      <c r="G45" s="335"/>
      <c r="I45" s="328"/>
      <c r="J45" s="329"/>
      <c r="K45" s="329"/>
      <c r="L45" s="330"/>
    </row>
    <row r="46" spans="2:12">
      <c r="B46" s="363"/>
      <c r="C46" s="363"/>
      <c r="D46" s="333" t="str">
        <f>IF(Pilot!L47=0,"",Pilot!L47)</f>
        <v/>
      </c>
      <c r="E46" s="334"/>
      <c r="F46" s="334"/>
      <c r="G46" s="335"/>
    </row>
    <row r="47" spans="2:12">
      <c r="B47" s="363"/>
      <c r="C47" s="363"/>
      <c r="D47" s="333" t="str">
        <f>IF(Pilot!L48=0,"",Pilot!L48)</f>
        <v/>
      </c>
      <c r="E47" s="334"/>
      <c r="F47" s="334"/>
      <c r="G47" s="335"/>
      <c r="I47" s="32" t="s">
        <v>355</v>
      </c>
      <c r="J47" s="32"/>
      <c r="K47" s="32"/>
      <c r="L47" s="32"/>
    </row>
    <row r="48" spans="2:12">
      <c r="B48" s="363"/>
      <c r="C48" s="363"/>
      <c r="D48" s="333" t="str">
        <f>IF(Pilot!L49=0,"",Pilot!L49)</f>
        <v/>
      </c>
      <c r="E48" s="334"/>
      <c r="F48" s="334"/>
      <c r="G48" s="335"/>
      <c r="I48" s="34" t="s">
        <v>356</v>
      </c>
      <c r="J48" s="34" t="s">
        <v>357</v>
      </c>
      <c r="K48" s="34" t="s">
        <v>356</v>
      </c>
      <c r="L48" s="34" t="s">
        <v>357</v>
      </c>
    </row>
    <row r="49" spans="2:12">
      <c r="B49" s="371" t="str">
        <f>PMO!L42</f>
        <v>PMO Assumptions:</v>
      </c>
      <c r="C49" s="371"/>
      <c r="D49" s="333" t="str">
        <f>IF(PMO!L43=0,"",PMO!L43)</f>
        <v/>
      </c>
      <c r="E49" s="334"/>
      <c r="F49" s="334"/>
      <c r="G49" s="335"/>
      <c r="I49" s="326" t="s">
        <v>358</v>
      </c>
      <c r="J49" s="43" t="s">
        <v>359</v>
      </c>
      <c r="K49" s="44"/>
      <c r="L49" s="44"/>
    </row>
    <row r="50" spans="2:12">
      <c r="B50" s="371"/>
      <c r="C50" s="371"/>
      <c r="D50" s="333" t="str">
        <f>IF(PMO!L44=0,"",PMO!L44)</f>
        <v/>
      </c>
      <c r="E50" s="334"/>
      <c r="F50" s="334"/>
      <c r="G50" s="335"/>
      <c r="I50" s="357"/>
      <c r="J50" s="43" t="s">
        <v>360</v>
      </c>
      <c r="K50" s="44"/>
      <c r="L50" s="44"/>
    </row>
    <row r="51" spans="2:12">
      <c r="B51" s="371"/>
      <c r="C51" s="371"/>
      <c r="D51" s="333" t="str">
        <f>IF(PMO!L45=0,"",PMO!L45)</f>
        <v/>
      </c>
      <c r="E51" s="334"/>
      <c r="F51" s="334"/>
      <c r="G51" s="335"/>
      <c r="I51" s="357"/>
      <c r="J51" s="43" t="s">
        <v>361</v>
      </c>
      <c r="K51" s="44"/>
      <c r="L51" s="44"/>
    </row>
    <row r="52" spans="2:12">
      <c r="B52" s="371"/>
      <c r="C52" s="371"/>
      <c r="D52" s="333" t="str">
        <f>IF(PMO!L46=0,"",PMO!L46)</f>
        <v/>
      </c>
      <c r="E52" s="334"/>
      <c r="F52" s="334"/>
      <c r="G52" s="335"/>
      <c r="I52" s="357"/>
      <c r="J52" s="43" t="s">
        <v>362</v>
      </c>
      <c r="K52" s="44"/>
      <c r="L52" s="44"/>
    </row>
    <row r="53" spans="2:12">
      <c r="B53" s="371"/>
      <c r="C53" s="371"/>
      <c r="D53" s="333" t="str">
        <f>IF(PMO!L47=0,"",PMO!L47)</f>
        <v/>
      </c>
      <c r="E53" s="334"/>
      <c r="F53" s="334"/>
      <c r="G53" s="335"/>
      <c r="I53" s="357"/>
      <c r="J53" s="43" t="s">
        <v>363</v>
      </c>
      <c r="K53" s="44"/>
      <c r="L53" s="44"/>
    </row>
    <row r="54" spans="2:12" ht="15" customHeight="1">
      <c r="B54" s="371"/>
      <c r="C54" s="371"/>
      <c r="D54" s="333" t="str">
        <f>IF(PMO!L48=0,"",PMO!L48)</f>
        <v/>
      </c>
      <c r="E54" s="334"/>
      <c r="F54" s="334"/>
      <c r="G54" s="335"/>
      <c r="I54" s="357"/>
      <c r="J54" s="43" t="s">
        <v>364</v>
      </c>
      <c r="K54" s="44"/>
      <c r="L54" s="44"/>
    </row>
    <row r="55" spans="2:12">
      <c r="B55" s="371"/>
      <c r="C55" s="371"/>
      <c r="D55" s="333" t="str">
        <f>IF(PMO!L49=0,"",PMO!L49)</f>
        <v/>
      </c>
      <c r="E55" s="334"/>
      <c r="F55" s="334"/>
      <c r="G55" s="335"/>
      <c r="I55" s="357"/>
      <c r="J55" s="43" t="s">
        <v>365</v>
      </c>
      <c r="K55" s="44"/>
      <c r="L55" s="44"/>
    </row>
    <row r="56" spans="2:12">
      <c r="B56" s="363" t="str">
        <f>'Design &amp; Fulfillment'!L42</f>
        <v>Design &amp; Fulfillment Assumptions:</v>
      </c>
      <c r="C56" s="363"/>
      <c r="D56" s="333" t="str">
        <f>IF('Design &amp; Fulfillment'!L43=0,"",'Design &amp; Fulfillment'!L43)</f>
        <v/>
      </c>
      <c r="E56" s="334"/>
      <c r="F56" s="334"/>
      <c r="G56" s="335"/>
      <c r="I56" s="327"/>
      <c r="J56" s="43" t="s">
        <v>366</v>
      </c>
      <c r="K56" s="44"/>
      <c r="L56" s="44"/>
    </row>
    <row r="57" spans="2:12">
      <c r="B57" s="363"/>
      <c r="C57" s="363"/>
      <c r="D57" s="333" t="str">
        <f>IF('Design &amp; Fulfillment'!L44=0,"",'Design &amp; Fulfillment'!L44)</f>
        <v/>
      </c>
      <c r="E57" s="334"/>
      <c r="F57" s="334"/>
      <c r="G57" s="335"/>
      <c r="I57" s="326" t="s">
        <v>367</v>
      </c>
      <c r="J57" s="43" t="s">
        <v>368</v>
      </c>
      <c r="K57" s="44"/>
      <c r="L57" s="44"/>
    </row>
    <row r="58" spans="2:12">
      <c r="B58" s="363"/>
      <c r="C58" s="363"/>
      <c r="D58" s="333" t="str">
        <f>IF('Design &amp; Fulfillment'!L45=0,"",'Design &amp; Fulfillment'!L45)</f>
        <v/>
      </c>
      <c r="E58" s="334"/>
      <c r="F58" s="334"/>
      <c r="G58" s="335"/>
      <c r="I58" s="327"/>
      <c r="J58" s="43" t="s">
        <v>369</v>
      </c>
      <c r="K58" s="44"/>
      <c r="L58" s="44"/>
    </row>
    <row r="59" spans="2:12">
      <c r="B59" s="363"/>
      <c r="C59" s="363"/>
      <c r="D59" s="333" t="str">
        <f>IF('Design &amp; Fulfillment'!L46=0,"",'Design &amp; Fulfillment'!L46)</f>
        <v/>
      </c>
      <c r="E59" s="334"/>
      <c r="F59" s="334"/>
      <c r="G59" s="335"/>
    </row>
    <row r="60" spans="2:12">
      <c r="B60" s="363"/>
      <c r="C60" s="363"/>
      <c r="D60" s="333" t="str">
        <f>IF('Design &amp; Fulfillment'!L47=0,"",'Design &amp; Fulfillment'!L47)</f>
        <v/>
      </c>
      <c r="E60" s="334"/>
      <c r="F60" s="334"/>
      <c r="G60" s="335"/>
    </row>
    <row r="61" spans="2:12" ht="15" customHeight="1">
      <c r="B61" s="363"/>
      <c r="C61" s="363"/>
      <c r="D61" s="333" t="str">
        <f>IF('Design &amp; Fulfillment'!L48=0,"",'Design &amp; Fulfillment'!L48)</f>
        <v/>
      </c>
      <c r="E61" s="334"/>
      <c r="F61" s="334"/>
      <c r="G61" s="335"/>
    </row>
    <row r="62" spans="2:12">
      <c r="B62" s="363"/>
      <c r="C62" s="363"/>
      <c r="D62" s="333" t="str">
        <f>IF('Design &amp; Fulfillment'!L49=0,"",'Design &amp; Fulfillment'!L49)</f>
        <v/>
      </c>
      <c r="E62" s="334"/>
      <c r="F62" s="334"/>
      <c r="G62" s="335"/>
    </row>
    <row r="63" spans="2:12">
      <c r="B63" s="363" t="str">
        <f>Workplace!L42</f>
        <v>Workplace Assumptions:</v>
      </c>
      <c r="C63" s="363"/>
      <c r="D63" s="333" t="str">
        <f>IF(Workplace!L43=0,"",Workplace!L43)</f>
        <v/>
      </c>
      <c r="E63" s="334"/>
      <c r="F63" s="334"/>
      <c r="G63" s="335"/>
    </row>
    <row r="64" spans="2:12">
      <c r="B64" s="363"/>
      <c r="C64" s="363"/>
      <c r="D64" s="333" t="str">
        <f>IF(Workplace!L44=0,"",Workplace!L44)</f>
        <v/>
      </c>
      <c r="E64" s="334"/>
      <c r="F64" s="334"/>
      <c r="G64" s="335"/>
    </row>
    <row r="65" spans="2:7">
      <c r="B65" s="363"/>
      <c r="C65" s="363"/>
      <c r="D65" s="333" t="str">
        <f>IF(Workplace!L45=0,"",Workplace!L45)</f>
        <v/>
      </c>
      <c r="E65" s="334"/>
      <c r="F65" s="334"/>
      <c r="G65" s="335"/>
    </row>
    <row r="66" spans="2:7">
      <c r="B66" s="363"/>
      <c r="C66" s="363"/>
      <c r="D66" s="333" t="str">
        <f>IF(Workplace!L46=0,"",Workplace!L46)</f>
        <v/>
      </c>
      <c r="E66" s="334"/>
      <c r="F66" s="334"/>
      <c r="G66" s="335"/>
    </row>
    <row r="67" spans="2:7">
      <c r="B67" s="363"/>
      <c r="C67" s="363"/>
      <c r="D67" s="333" t="str">
        <f>IF(Workplace!L47=0,"",Workplace!L47)</f>
        <v/>
      </c>
      <c r="E67" s="334"/>
      <c r="F67" s="334"/>
      <c r="G67" s="335"/>
    </row>
    <row r="68" spans="2:7" ht="15" customHeight="1">
      <c r="B68" s="363"/>
      <c r="C68" s="363"/>
      <c r="D68" s="333" t="str">
        <f>IF(Workplace!L48=0,"",Workplace!L48)</f>
        <v/>
      </c>
      <c r="E68" s="334"/>
      <c r="F68" s="334"/>
      <c r="G68" s="335"/>
    </row>
    <row r="69" spans="2:7">
      <c r="B69" s="363"/>
      <c r="C69" s="363"/>
      <c r="D69" s="333" t="str">
        <f>IF(Workplace!L49=0,"",Workplace!L49)</f>
        <v/>
      </c>
      <c r="E69" s="334"/>
      <c r="F69" s="334"/>
      <c r="G69" s="335"/>
    </row>
    <row r="70" spans="2:7">
      <c r="B70" s="363" t="str">
        <f>Integration!L42</f>
        <v>Integration Assumptions:</v>
      </c>
      <c r="C70" s="363"/>
      <c r="D70" s="333" t="str">
        <f>IF(Integration!L43=0,"",Integration!L43)</f>
        <v/>
      </c>
      <c r="E70" s="334"/>
      <c r="F70" s="334"/>
      <c r="G70" s="335"/>
    </row>
    <row r="71" spans="2:7">
      <c r="B71" s="363"/>
      <c r="C71" s="363"/>
      <c r="D71" s="333" t="str">
        <f>IF(Integration!L44=0,"",Integration!L44)</f>
        <v/>
      </c>
      <c r="E71" s="334"/>
      <c r="F71" s="334"/>
      <c r="G71" s="335"/>
    </row>
    <row r="72" spans="2:7">
      <c r="B72" s="363"/>
      <c r="C72" s="363"/>
      <c r="D72" s="333" t="str">
        <f>IF(Integration!L45=0,"",Integration!L45)</f>
        <v/>
      </c>
      <c r="E72" s="334"/>
      <c r="F72" s="334"/>
      <c r="G72" s="335"/>
    </row>
    <row r="73" spans="2:7">
      <c r="B73" s="363"/>
      <c r="C73" s="363"/>
      <c r="D73" s="333" t="str">
        <f>IF(Integration!L46=0,"",Integration!L46)</f>
        <v/>
      </c>
      <c r="E73" s="334"/>
      <c r="F73" s="334"/>
      <c r="G73" s="335"/>
    </row>
    <row r="74" spans="2:7">
      <c r="B74" s="363"/>
      <c r="C74" s="363"/>
      <c r="D74" s="333" t="str">
        <f>IF(Integration!L47=0,"",Integration!L47)</f>
        <v/>
      </c>
      <c r="E74" s="334"/>
      <c r="F74" s="334"/>
      <c r="G74" s="335"/>
    </row>
    <row r="75" spans="2:7">
      <c r="B75" s="363"/>
      <c r="C75" s="363"/>
      <c r="D75" s="333" t="str">
        <f>IF(Integration!L48=0,"",Integration!L48)</f>
        <v/>
      </c>
      <c r="E75" s="334"/>
      <c r="F75" s="334"/>
      <c r="G75" s="335"/>
    </row>
    <row r="76" spans="2:7">
      <c r="B76" s="363"/>
      <c r="C76" s="363"/>
      <c r="D76" s="333" t="str">
        <f>IF(Integration!L49=0,"",Integration!L49)</f>
        <v/>
      </c>
      <c r="E76" s="334"/>
      <c r="F76" s="334"/>
      <c r="G76" s="335"/>
    </row>
    <row r="77" spans="2:7">
      <c r="B77" s="363" t="str">
        <f>Logistics!L42</f>
        <v>Logistics Assumptions:</v>
      </c>
      <c r="C77" s="363"/>
      <c r="D77" s="333" t="str">
        <f>IF(Logistics!L43=0,"",Logistics!L43)</f>
        <v/>
      </c>
      <c r="E77" s="334"/>
      <c r="F77" s="334"/>
      <c r="G77" s="335"/>
    </row>
    <row r="78" spans="2:7">
      <c r="B78" s="363"/>
      <c r="C78" s="363"/>
      <c r="D78" s="333" t="str">
        <f>IF(Logistics!L44=0,"",Logistics!L44)</f>
        <v/>
      </c>
      <c r="E78" s="334"/>
      <c r="F78" s="334"/>
      <c r="G78" s="335"/>
    </row>
    <row r="79" spans="2:7">
      <c r="B79" s="363"/>
      <c r="C79" s="363"/>
      <c r="D79" s="333" t="str">
        <f>IF(Logistics!L45=0,"",Logistics!L45)</f>
        <v/>
      </c>
      <c r="E79" s="334"/>
      <c r="F79" s="334"/>
      <c r="G79" s="335"/>
    </row>
    <row r="80" spans="2:7">
      <c r="B80" s="363"/>
      <c r="C80" s="363"/>
      <c r="D80" s="333" t="str">
        <f>IF(Logistics!L46=0,"",Logistics!L46)</f>
        <v/>
      </c>
      <c r="E80" s="334"/>
      <c r="F80" s="334"/>
      <c r="G80" s="335"/>
    </row>
    <row r="81" spans="2:7">
      <c r="B81" s="363"/>
      <c r="C81" s="363"/>
      <c r="D81" s="333" t="str">
        <f>IF(Logistics!L47=0,"",Logistics!L47)</f>
        <v/>
      </c>
      <c r="E81" s="334"/>
      <c r="F81" s="334"/>
      <c r="G81" s="335"/>
    </row>
    <row r="82" spans="2:7" ht="15" customHeight="1">
      <c r="B82" s="363"/>
      <c r="C82" s="363"/>
      <c r="D82" s="333" t="str">
        <f>IF(Logistics!L48=0,"",Logistics!L48)</f>
        <v/>
      </c>
      <c r="E82" s="334"/>
      <c r="F82" s="334"/>
      <c r="G82" s="335"/>
    </row>
    <row r="83" spans="2:7">
      <c r="B83" s="363"/>
      <c r="C83" s="363"/>
      <c r="D83" s="333" t="str">
        <f>IF(Logistics!L49=0,"",Logistics!L49)</f>
        <v/>
      </c>
      <c r="E83" s="334"/>
      <c r="F83" s="334"/>
      <c r="G83" s="335"/>
    </row>
    <row r="84" spans="2:7">
      <c r="B84" s="363" t="str">
        <f>'Service Desk'!L42</f>
        <v>Service Desk Assumptions:</v>
      </c>
      <c r="C84" s="363"/>
      <c r="D84" s="333" t="str">
        <f>IF('Service Desk'!L43=0,"",'Service Desk'!L43)</f>
        <v/>
      </c>
      <c r="E84" s="334"/>
      <c r="F84" s="334"/>
      <c r="G84" s="335"/>
    </row>
    <row r="85" spans="2:7">
      <c r="B85" s="363"/>
      <c r="C85" s="363"/>
      <c r="D85" s="333" t="str">
        <f>IF('Service Desk'!L44=0,"",'Service Desk'!L44)</f>
        <v/>
      </c>
      <c r="E85" s="334"/>
      <c r="F85" s="334"/>
      <c r="G85" s="335"/>
    </row>
    <row r="86" spans="2:7">
      <c r="B86" s="363"/>
      <c r="C86" s="363"/>
      <c r="D86" s="333" t="str">
        <f>IF('Service Desk'!L45=0,"",'Service Desk'!L45)</f>
        <v/>
      </c>
      <c r="E86" s="334"/>
      <c r="F86" s="334"/>
      <c r="G86" s="335"/>
    </row>
    <row r="87" spans="2:7">
      <c r="B87" s="363"/>
      <c r="C87" s="363"/>
      <c r="D87" s="333" t="str">
        <f>IF('Service Desk'!L46=0,"",'Service Desk'!L46)</f>
        <v/>
      </c>
      <c r="E87" s="334"/>
      <c r="F87" s="334"/>
      <c r="G87" s="335"/>
    </row>
    <row r="88" spans="2:7">
      <c r="B88" s="363"/>
      <c r="C88" s="363"/>
      <c r="D88" s="333" t="str">
        <f>IF('Service Desk'!L47=0,"",'Service Desk'!L47)</f>
        <v/>
      </c>
      <c r="E88" s="334"/>
      <c r="F88" s="334"/>
      <c r="G88" s="335"/>
    </row>
    <row r="89" spans="2:7" ht="15" customHeight="1">
      <c r="B89" s="363"/>
      <c r="C89" s="363"/>
      <c r="D89" s="333" t="str">
        <f>IF('Service Desk'!L48=0,"",'Service Desk'!L48)</f>
        <v/>
      </c>
      <c r="E89" s="334"/>
      <c r="F89" s="334"/>
      <c r="G89" s="335"/>
    </row>
    <row r="90" spans="2:7">
      <c r="B90" s="363"/>
      <c r="C90" s="363"/>
      <c r="D90" s="333" t="str">
        <f>IF('Service Desk'!L49=0,"",'Service Desk'!L49)</f>
        <v/>
      </c>
      <c r="E90" s="334"/>
      <c r="F90" s="334"/>
      <c r="G90" s="335"/>
    </row>
    <row r="91" spans="2:7">
      <c r="B91" s="363" t="str">
        <f>'Pro Services'!L42</f>
        <v>Pro Services Assumptions:</v>
      </c>
      <c r="C91" s="363"/>
      <c r="D91" s="333" t="str">
        <f>IF('Pro Services'!L43=0,"",'Pro Services'!L43)</f>
        <v/>
      </c>
      <c r="E91" s="334"/>
      <c r="F91" s="334"/>
      <c r="G91" s="335"/>
    </row>
    <row r="92" spans="2:7">
      <c r="B92" s="363"/>
      <c r="C92" s="363"/>
      <c r="D92" s="333" t="str">
        <f>IF('Pro Services'!L44=0,"",'Pro Services'!L44)</f>
        <v/>
      </c>
      <c r="E92" s="334"/>
      <c r="F92" s="334"/>
      <c r="G92" s="335"/>
    </row>
    <row r="93" spans="2:7">
      <c r="B93" s="363"/>
      <c r="C93" s="363"/>
      <c r="D93" s="333" t="str">
        <f>IF('Pro Services'!L45=0,"",'Pro Services'!L45)</f>
        <v/>
      </c>
      <c r="E93" s="334"/>
      <c r="F93" s="334"/>
      <c r="G93" s="335"/>
    </row>
    <row r="94" spans="2:7">
      <c r="B94" s="363"/>
      <c r="C94" s="363"/>
      <c r="D94" s="333" t="str">
        <f>IF('Pro Services'!L46=0,"",'Pro Services'!L46)</f>
        <v/>
      </c>
      <c r="E94" s="334"/>
      <c r="F94" s="334"/>
      <c r="G94" s="335"/>
    </row>
    <row r="95" spans="2:7">
      <c r="B95" s="363"/>
      <c r="C95" s="363"/>
      <c r="D95" s="333" t="str">
        <f>IF('Pro Services'!L47=0,"",'Pro Services'!L47)</f>
        <v/>
      </c>
      <c r="E95" s="334"/>
      <c r="F95" s="334"/>
      <c r="G95" s="335"/>
    </row>
    <row r="96" spans="2:7">
      <c r="B96" s="363"/>
      <c r="C96" s="363"/>
      <c r="D96" s="333" t="str">
        <f>IF('Pro Services'!L48=0,"",'Pro Services'!L48)</f>
        <v/>
      </c>
      <c r="E96" s="334"/>
      <c r="F96" s="334"/>
      <c r="G96" s="335"/>
    </row>
    <row r="97" spans="2:7">
      <c r="B97" s="363"/>
      <c r="C97" s="363"/>
      <c r="D97" s="333" t="str">
        <f>IF('Pro Services'!L49=0,"",'Pro Services'!L49)</f>
        <v/>
      </c>
      <c r="E97" s="334"/>
      <c r="F97" s="334"/>
      <c r="G97" s="335"/>
    </row>
  </sheetData>
  <sheetProtection algorithmName="SHA-512" hashValue="O83pmLA8lzO9RjDxOsZ+HdudYJS2hmi13XMTZdtEGnlBvEC1NaOisDtBsSSa0B4k65o4xIxESokFeUpLh+5Cmw==" saltValue="+kusGVvTHPzmZbW8JjXo9Q==" spinCount="100000" sheet="1" objects="1" scenarios="1"/>
  <mergeCells count="116">
    <mergeCell ref="B24:C24"/>
    <mergeCell ref="B30:C30"/>
    <mergeCell ref="B33:C34"/>
    <mergeCell ref="B35:C41"/>
    <mergeCell ref="B42:C48"/>
    <mergeCell ref="B49:C55"/>
    <mergeCell ref="B25:C25"/>
    <mergeCell ref="B26:C26"/>
    <mergeCell ref="B27:C27"/>
    <mergeCell ref="B28:C28"/>
    <mergeCell ref="B29:C29"/>
    <mergeCell ref="B20:C20"/>
    <mergeCell ref="B21:C21"/>
    <mergeCell ref="B22:C22"/>
    <mergeCell ref="B13:C13"/>
    <mergeCell ref="B14:C14"/>
    <mergeCell ref="B15:C15"/>
    <mergeCell ref="B16:C16"/>
    <mergeCell ref="B17:C17"/>
    <mergeCell ref="B18:C18"/>
    <mergeCell ref="D91:G91"/>
    <mergeCell ref="D92:G92"/>
    <mergeCell ref="D93:G93"/>
    <mergeCell ref="D94:G94"/>
    <mergeCell ref="D95:G95"/>
    <mergeCell ref="D96:G96"/>
    <mergeCell ref="D97:G97"/>
    <mergeCell ref="B91:C97"/>
    <mergeCell ref="D84:G84"/>
    <mergeCell ref="D85:G85"/>
    <mergeCell ref="D86:G86"/>
    <mergeCell ref="D87:G87"/>
    <mergeCell ref="D88:G88"/>
    <mergeCell ref="D89:G89"/>
    <mergeCell ref="D90:G90"/>
    <mergeCell ref="B84:C90"/>
    <mergeCell ref="D77:G77"/>
    <mergeCell ref="D78:G78"/>
    <mergeCell ref="D79:G79"/>
    <mergeCell ref="D80:G80"/>
    <mergeCell ref="D81:G81"/>
    <mergeCell ref="D82:G82"/>
    <mergeCell ref="D83:G83"/>
    <mergeCell ref="B77:C83"/>
    <mergeCell ref="D70:G70"/>
    <mergeCell ref="D71:G71"/>
    <mergeCell ref="D72:G72"/>
    <mergeCell ref="D73:G73"/>
    <mergeCell ref="D74:G74"/>
    <mergeCell ref="D75:G75"/>
    <mergeCell ref="D76:G76"/>
    <mergeCell ref="B70:C76"/>
    <mergeCell ref="D63:G63"/>
    <mergeCell ref="D64:G64"/>
    <mergeCell ref="D65:G65"/>
    <mergeCell ref="D66:G66"/>
    <mergeCell ref="D67:G67"/>
    <mergeCell ref="D68:G68"/>
    <mergeCell ref="D69:G69"/>
    <mergeCell ref="B63:C69"/>
    <mergeCell ref="D56:G56"/>
    <mergeCell ref="D57:G57"/>
    <mergeCell ref="D58:G58"/>
    <mergeCell ref="D59:G59"/>
    <mergeCell ref="D60:G60"/>
    <mergeCell ref="D61:G61"/>
    <mergeCell ref="D62:G62"/>
    <mergeCell ref="B56:C62"/>
    <mergeCell ref="D52:G52"/>
    <mergeCell ref="D53:G53"/>
    <mergeCell ref="D54:G54"/>
    <mergeCell ref="D55:G55"/>
    <mergeCell ref="D3:E3"/>
    <mergeCell ref="I28:L28"/>
    <mergeCell ref="I29:L29"/>
    <mergeCell ref="I33:L33"/>
    <mergeCell ref="D4:E4"/>
    <mergeCell ref="D5:E5"/>
    <mergeCell ref="D33:G34"/>
    <mergeCell ref="I30:L30"/>
    <mergeCell ref="I31:L31"/>
    <mergeCell ref="I32:L32"/>
    <mergeCell ref="I11:L18"/>
    <mergeCell ref="D42:G42"/>
    <mergeCell ref="D43:G43"/>
    <mergeCell ref="D44:G44"/>
    <mergeCell ref="D45:G45"/>
    <mergeCell ref="D46:G46"/>
    <mergeCell ref="D47:G47"/>
    <mergeCell ref="I49:I56"/>
    <mergeCell ref="B9:E10"/>
    <mergeCell ref="B19:C19"/>
    <mergeCell ref="I57:I58"/>
    <mergeCell ref="I38:L38"/>
    <mergeCell ref="I39:L39"/>
    <mergeCell ref="I43:L43"/>
    <mergeCell ref="I44:L44"/>
    <mergeCell ref="I45:L45"/>
    <mergeCell ref="B3:C3"/>
    <mergeCell ref="B8:C8"/>
    <mergeCell ref="B7:C7"/>
    <mergeCell ref="B5:C5"/>
    <mergeCell ref="B4:C4"/>
    <mergeCell ref="D48:G48"/>
    <mergeCell ref="D41:G41"/>
    <mergeCell ref="D36:G36"/>
    <mergeCell ref="D37:G37"/>
    <mergeCell ref="D38:G38"/>
    <mergeCell ref="D39:G39"/>
    <mergeCell ref="D35:G35"/>
    <mergeCell ref="D40:G40"/>
    <mergeCell ref="I34:L34"/>
    <mergeCell ref="I35:L35"/>
    <mergeCell ref="D49:G49"/>
    <mergeCell ref="D50:G50"/>
    <mergeCell ref="D51:G51"/>
  </mergeCells>
  <conditionalFormatting sqref="F4">
    <cfRule type="expression" dxfId="310" priority="72">
      <formula>$G$3="Fixed Price"</formula>
    </cfRule>
  </conditionalFormatting>
  <conditionalFormatting sqref="G4">
    <cfRule type="expression" dxfId="309" priority="66">
      <formula>$G$3="Fixed Unit Price"</formula>
    </cfRule>
    <cfRule type="expression" dxfId="308" priority="67">
      <formula>$G$3="Fixed Project Price"</formula>
    </cfRule>
    <cfRule type="expression" dxfId="307" priority="70">
      <formula>$G$3="Total Project Price"</formula>
    </cfRule>
  </conditionalFormatting>
  <conditionalFormatting sqref="G9:G10 G5:G7">
    <cfRule type="expression" dxfId="306" priority="63">
      <formula>$G$3="Fixed Unit Price"</formula>
    </cfRule>
    <cfRule type="expression" dxfId="305" priority="65">
      <formula>$G$3="Fixed Project Price"</formula>
    </cfRule>
  </conditionalFormatting>
  <conditionalFormatting sqref="G9">
    <cfRule type="expression" dxfId="304" priority="64">
      <formula>$G$3="Fixed Project Price"</formula>
    </cfRule>
  </conditionalFormatting>
  <conditionalFormatting sqref="F5:F7">
    <cfRule type="expression" dxfId="303" priority="59">
      <formula>$G$3="Fixed Unit Price"</formula>
    </cfRule>
    <cfRule type="expression" dxfId="302" priority="60">
      <formula>$G$3="Fixed Project Price"</formula>
    </cfRule>
  </conditionalFormatting>
  <conditionalFormatting sqref="F9:F10">
    <cfRule type="expression" dxfId="301" priority="57">
      <formula>$G$3="Fixed Unit Price"</formula>
    </cfRule>
    <cfRule type="expression" dxfId="300" priority="58">
      <formula>$G$3="Fixed Project Price"</formula>
    </cfRule>
  </conditionalFormatting>
  <conditionalFormatting sqref="G8">
    <cfRule type="expression" dxfId="299" priority="51">
      <formula>$G$3="Fixed Unit Price"</formula>
    </cfRule>
    <cfRule type="expression" dxfId="298" priority="52">
      <formula>$G$3="Fixed Project Price"</formula>
    </cfRule>
  </conditionalFormatting>
  <conditionalFormatting sqref="F8">
    <cfRule type="expression" dxfId="297" priority="49">
      <formula>$G$3="Fixed Unit Price"</formula>
    </cfRule>
    <cfRule type="expression" dxfId="296" priority="50">
      <formula>$G$3="Fixed Project Price"</formula>
    </cfRule>
  </conditionalFormatting>
  <conditionalFormatting sqref="L8">
    <cfRule type="expression" dxfId="295" priority="47">
      <formula>$L$8&gt;0</formula>
    </cfRule>
  </conditionalFormatting>
  <conditionalFormatting sqref="M5">
    <cfRule type="iconSet" priority="33">
      <iconSet iconSet="4ArrowsGray">
        <cfvo type="percent" val="0"/>
        <cfvo type="percent" val="25"/>
        <cfvo type="percent" val="50"/>
        <cfvo type="percent" val="75"/>
      </iconSet>
    </cfRule>
  </conditionalFormatting>
  <conditionalFormatting sqref="B7:B8">
    <cfRule type="expression" dxfId="294" priority="31">
      <formula>$D$6="Phase Based"</formula>
    </cfRule>
  </conditionalFormatting>
  <conditionalFormatting sqref="G24">
    <cfRule type="cellIs" dxfId="293" priority="21" operator="lessThan">
      <formula>0.34999999</formula>
    </cfRule>
  </conditionalFormatting>
  <conditionalFormatting sqref="J3">
    <cfRule type="cellIs" dxfId="292" priority="20" operator="lessThan">
      <formula>0.3499999</formula>
    </cfRule>
  </conditionalFormatting>
  <conditionalFormatting sqref="I7:J7">
    <cfRule type="expression" dxfId="291" priority="18">
      <formula>$B$14&lt;&gt;"Startup"</formula>
    </cfRule>
  </conditionalFormatting>
  <conditionalFormatting sqref="D8">
    <cfRule type="expression" dxfId="290" priority="13">
      <formula>$D$6="Phase Based"</formula>
    </cfRule>
  </conditionalFormatting>
  <conditionalFormatting sqref="D8">
    <cfRule type="expression" dxfId="289" priority="11">
      <formula>$D$8="Enter QTY of Months"</formula>
    </cfRule>
  </conditionalFormatting>
  <conditionalFormatting sqref="E8">
    <cfRule type="expression" dxfId="288" priority="1">
      <formula>$E$8="Enter QTY of Users"</formula>
    </cfRule>
    <cfRule type="expression" dxfId="287" priority="10">
      <formula>$D$6="ZBaaS"</formula>
    </cfRule>
  </conditionalFormatting>
  <conditionalFormatting sqref="D7">
    <cfRule type="expression" dxfId="286" priority="9">
      <formula>$D$6="Phase Based"</formula>
    </cfRule>
  </conditionalFormatting>
  <conditionalFormatting sqref="E7">
    <cfRule type="expression" dxfId="285" priority="6">
      <formula>$D$6="Phase Based"</formula>
    </cfRule>
  </conditionalFormatting>
  <conditionalFormatting sqref="L7">
    <cfRule type="expression" dxfId="284" priority="3">
      <formula>$L$7="Enter Est. Project Start Date"</formula>
    </cfRule>
  </conditionalFormatting>
  <conditionalFormatting sqref="K6">
    <cfRule type="expression" dxfId="283" priority="400">
      <formula>$D$6="Phase Based"</formula>
    </cfRule>
  </conditionalFormatting>
  <conditionalFormatting sqref="L6">
    <cfRule type="expression" dxfId="282" priority="401">
      <formula>$L$6="Enter Est. Project Duration"</formula>
    </cfRule>
    <cfRule type="expression" dxfId="281" priority="402">
      <formula>$D$6="Department Based"</formula>
    </cfRule>
  </conditionalFormatting>
  <conditionalFormatting sqref="B9:E10">
    <cfRule type="expression" dxfId="280" priority="2">
      <formula>$D$6="ZBaaS"</formula>
    </cfRule>
  </conditionalFormatting>
  <dataValidations count="3">
    <dataValidation type="list" allowBlank="1" showInputMessage="1" sqref="D7" xr:uid="{00000000-0002-0000-0200-000000000000}">
      <formula1>"Device(s), Project Site(s), Month(s), Annually, Ticket(s), Project, Hourly Rate"</formula1>
    </dataValidation>
    <dataValidation type="list" allowBlank="1" showInputMessage="1" showErrorMessage="1" sqref="G3" xr:uid="{00000000-0002-0000-0200-000001000000}">
      <formula1>"Variable Margin,Fixed Project Price,Fixed Unit Price"</formula1>
    </dataValidation>
    <dataValidation type="list" allowBlank="1" showInputMessage="1" showErrorMessage="1" sqref="C23" xr:uid="{018D51A5-2A75-4FD1-B334-4AFCE409055E}">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84" id="{3FEB739B-502D-4FD1-97EC-77F1FD7770B8}">
            <xm:f>Overview!$D$19+Overview!$D$19&gt;0</xm:f>
            <x14:dxf>
              <font>
                <b/>
                <i val="0"/>
              </font>
            </x14:dxf>
          </x14:cfRule>
          <xm:sqref>I25</xm:sqref>
        </x14:conditionalFormatting>
        <x14:conditionalFormatting xmlns:xm="http://schemas.microsoft.com/office/excel/2006/main">
          <x14:cfRule type="expression" priority="83" id="{F2F3D194-CDFF-4328-90A5-9DC077C6AB48}">
            <xm:f>Overview!$D$19+Overview!$D$19&gt;0</xm:f>
            <x14:dxf>
              <fill>
                <patternFill>
                  <bgColor theme="0"/>
                </patternFill>
              </fill>
            </x14:dxf>
          </x14:cfRule>
          <xm:sqref>J25</xm:sqref>
        </x14:conditionalFormatting>
        <x14:conditionalFormatting xmlns:xm="http://schemas.microsoft.com/office/excel/2006/main">
          <x14:cfRule type="expression" priority="82" id="{72DC586B-A6FD-4FFA-A6DD-906E7246F4A0}">
            <xm:f>Overview!$D$13&gt;0</xm:f>
            <x14:dxf>
              <font>
                <b/>
                <i val="0"/>
              </font>
            </x14:dxf>
          </x14:cfRule>
          <xm:sqref>K22</xm:sqref>
        </x14:conditionalFormatting>
        <x14:conditionalFormatting xmlns:xm="http://schemas.microsoft.com/office/excel/2006/main">
          <x14:cfRule type="expression" priority="81" id="{03D3A66F-8CB8-491C-A465-E4C51AB76845}">
            <xm:f>Overview!$D$13&gt;0</xm:f>
            <x14:dxf>
              <fill>
                <patternFill>
                  <bgColor theme="0"/>
                </patternFill>
              </fill>
            </x14:dxf>
          </x14:cfRule>
          <xm:sqref>L22</xm:sqref>
        </x14:conditionalFormatting>
        <x14:conditionalFormatting xmlns:xm="http://schemas.microsoft.com/office/excel/2006/main">
          <x14:cfRule type="expression" priority="80" id="{297FB431-A97E-4287-A02D-57C19370FE4C}">
            <xm:f>Overview!$D$16&gt;0</xm:f>
            <x14:dxf>
              <font>
                <b/>
                <i val="0"/>
              </font>
            </x14:dxf>
          </x14:cfRule>
          <xm:sqref>K23</xm:sqref>
        </x14:conditionalFormatting>
        <x14:conditionalFormatting xmlns:xm="http://schemas.microsoft.com/office/excel/2006/main">
          <x14:cfRule type="expression" priority="79" id="{605E1857-90F3-45C2-B3AD-E8001F17B230}">
            <xm:f>Overview!$D$16&gt;0</xm:f>
            <x14:dxf>
              <fill>
                <patternFill>
                  <bgColor theme="0"/>
                </patternFill>
              </fill>
            </x14:dxf>
          </x14:cfRule>
          <xm:sqref>L23</xm:sqref>
        </x14:conditionalFormatting>
        <x14:conditionalFormatting xmlns:xm="http://schemas.microsoft.com/office/excel/2006/main">
          <x14:cfRule type="expression" priority="78" id="{F3CB8A77-5492-40FA-BD80-2CA572AC88D8}">
            <xm:f>Overview!$D$17&gt;0</xm:f>
            <x14:dxf>
              <font>
                <b/>
                <i val="0"/>
              </font>
            </x14:dxf>
          </x14:cfRule>
          <xm:sqref>K24</xm:sqref>
        </x14:conditionalFormatting>
        <x14:conditionalFormatting xmlns:xm="http://schemas.microsoft.com/office/excel/2006/main">
          <x14:cfRule type="expression" priority="77" id="{DDE17090-B412-4890-BC28-13A2F5E15141}">
            <xm:f>Overview!$D$17&gt;0</xm:f>
            <x14:dxf>
              <fill>
                <patternFill>
                  <bgColor theme="0"/>
                </patternFill>
              </fill>
            </x14:dxf>
          </x14:cfRule>
          <xm:sqref>L24</xm:sqref>
        </x14:conditionalFormatting>
        <x14:conditionalFormatting xmlns:xm="http://schemas.microsoft.com/office/excel/2006/main">
          <x14:cfRule type="expression" priority="97" id="{F8595D45-C8A0-4D9F-B3FA-0EA021943D3A}">
            <xm:f>Overview!$D$14&gt;0</xm:f>
            <x14:dxf>
              <font>
                <b/>
                <i val="0"/>
              </font>
            </x14:dxf>
          </x14:cfRule>
          <xm:sqref>I22</xm:sqref>
        </x14:conditionalFormatting>
        <x14:conditionalFormatting xmlns:xm="http://schemas.microsoft.com/office/excel/2006/main">
          <x14:cfRule type="expression" priority="98" id="{C504DFF9-F2C4-44E9-86FD-B41491A4F6DB}">
            <xm:f>Overview!$D$14&gt;0</xm:f>
            <x14:dxf>
              <fill>
                <patternFill>
                  <bgColor theme="0"/>
                </patternFill>
              </fill>
            </x14:dxf>
          </x14:cfRule>
          <xm:sqref>J22</xm:sqref>
        </x14:conditionalFormatting>
        <x14:conditionalFormatting xmlns:xm="http://schemas.microsoft.com/office/excel/2006/main">
          <x14:cfRule type="expression" priority="259" id="{FBE3A12E-709A-4354-8EE9-6EB0B0B7591B}">
            <xm:f>(Overview!#REF!+Overview!#REF!)&gt;0</xm:f>
            <x14:dxf>
              <font>
                <b/>
                <i val="0"/>
              </font>
            </x14:dxf>
          </x14:cfRule>
          <xm:sqref>I24</xm:sqref>
        </x14:conditionalFormatting>
        <x14:conditionalFormatting xmlns:xm="http://schemas.microsoft.com/office/excel/2006/main">
          <x14:cfRule type="expression" priority="260" id="{0B2AABA8-89D3-4A16-81DE-FC2DFF17E79A}">
            <xm:f>(Overview!#REF!+Overview!#REF!)&gt;0</xm:f>
            <x14:dxf>
              <fill>
                <patternFill>
                  <bgColor theme="0"/>
                </patternFill>
              </fill>
            </x14:dxf>
          </x14:cfRule>
          <xm:sqref>J24</xm:sqref>
        </x14:conditionalFormatting>
        <x14:conditionalFormatting xmlns:xm="http://schemas.microsoft.com/office/excel/2006/main">
          <x14:cfRule type="expression" priority="291" id="{DEE6A780-733E-4A81-B901-D79793BAD560}">
            <xm:f>Overview!#REF!&gt;0</xm:f>
            <x14:dxf>
              <font>
                <b/>
                <i val="0"/>
              </font>
            </x14:dxf>
          </x14:cfRule>
          <xm:sqref>I23</xm:sqref>
        </x14:conditionalFormatting>
        <x14:conditionalFormatting xmlns:xm="http://schemas.microsoft.com/office/excel/2006/main">
          <x14:cfRule type="expression" priority="292" id="{3B2C130E-2F0D-4E46-BB5D-C393186BDFF5}">
            <xm:f>Overview!#REF!&gt;0</xm:f>
            <x14:dxf>
              <fill>
                <patternFill>
                  <bgColor theme="0"/>
                </patternFill>
              </fill>
            </x14:dxf>
          </x14:cfRule>
          <xm:sqref>J23</xm:sqref>
        </x14:conditionalFormatting>
        <x14:conditionalFormatting xmlns:xm="http://schemas.microsoft.com/office/excel/2006/main">
          <x14:cfRule type="expression" priority="7" id="{912D5F1F-DC09-46D5-98D6-C1F09A732B67}">
            <xm:f>$D$6='Data Tables'!$N$3</xm:f>
            <x14:dxf>
              <font>
                <b/>
                <i val="0"/>
              </font>
              <fill>
                <patternFill>
                  <bgColor theme="3" tint="0.59996337778862885"/>
                </patternFill>
              </fill>
            </x14:dxf>
          </x14:cfRule>
          <xm:sqref>D7</xm:sqref>
        </x14:conditionalFormatting>
        <x14:conditionalFormatting xmlns:xm="http://schemas.microsoft.com/office/excel/2006/main">
          <x14:cfRule type="expression" priority="5" id="{1F15C867-5966-413E-AF18-05684BA02877}">
            <xm:f>$D$6='Data Tables'!$N$3</xm:f>
            <x14:dxf>
              <font>
                <b/>
                <i val="0"/>
              </font>
              <fill>
                <patternFill>
                  <bgColor theme="3" tint="0.59996337778862885"/>
                </patternFill>
              </fill>
            </x14:dxf>
          </x14:cfRule>
          <xm:sqref>E7</xm:sqref>
        </x14:conditionalFormatting>
        <x14:conditionalFormatting xmlns:xm="http://schemas.microsoft.com/office/excel/2006/main">
          <x14:cfRule type="expression" priority="475" id="{DD48EC3F-71B4-4448-99C6-8F90884F5D3B}">
            <xm:f>(Overview!$D$20+Overview!#REF!+Overview!#REF!)&gt;0</xm:f>
            <x14:dxf>
              <font>
                <b/>
                <i val="0"/>
              </font>
            </x14:dxf>
          </x14:cfRule>
          <xm:sqref>K25</xm:sqref>
        </x14:conditionalFormatting>
        <x14:conditionalFormatting xmlns:xm="http://schemas.microsoft.com/office/excel/2006/main">
          <x14:cfRule type="expression" priority="476" id="{62501AE0-9F76-442B-9AA0-009C16F559F7}">
            <xm:f>(Overview!$D$20+Overview!#REF!+Overview!#REF!)&gt;0</xm:f>
            <x14:dxf>
              <fill>
                <patternFill>
                  <bgColor theme="0"/>
                </patternFill>
              </fill>
            </x14:dxf>
          </x14:cfRule>
          <xm:sqref>L25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'Data Tables'!$L$3:$N$3</xm:f>
          </x14:formula1>
          <xm:sqref>D6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2:Q64"/>
  <sheetViews>
    <sheetView showGridLines="0" zoomScale="110" zoomScaleNormal="110" workbookViewId="0">
      <selection activeCell="D10" sqref="D10"/>
    </sheetView>
  </sheetViews>
  <sheetFormatPr defaultColWidth="8.85546875" defaultRowHeight="15"/>
  <cols>
    <col min="1" max="1" width="3.42578125" style="33" customWidth="1"/>
    <col min="2" max="2" width="28.42578125" style="33" bestFit="1" customWidth="1"/>
    <col min="3" max="3" width="32.140625" style="33" bestFit="1" customWidth="1"/>
    <col min="4" max="5" width="20.42578125" style="33" customWidth="1"/>
    <col min="6" max="6" width="3.42578125" style="33" customWidth="1"/>
    <col min="7" max="10" width="23.42578125" style="33" customWidth="1"/>
    <col min="11" max="11" width="3.42578125" style="33" customWidth="1"/>
    <col min="12" max="17" width="23.42578125" style="33" customWidth="1"/>
    <col min="18" max="16384" width="8.85546875" style="33"/>
  </cols>
  <sheetData>
    <row r="2" spans="1:17">
      <c r="A2" s="109"/>
      <c r="B2" s="121" t="s">
        <v>370</v>
      </c>
      <c r="C2" s="110" t="str">
        <f>IF(Baseline!D6='Data Tables'!L3,'Data Tables'!L12,IF(Baseline!D6='Data Tables'!M3,'Data Tables'!M12,'Data Tables'!N12))</f>
        <v>Pro Services</v>
      </c>
      <c r="D2" s="34" t="s">
        <v>371</v>
      </c>
      <c r="E2" s="111" t="s">
        <v>372</v>
      </c>
      <c r="G2" s="122" t="s">
        <v>373</v>
      </c>
      <c r="H2" s="122"/>
      <c r="I2" s="123"/>
      <c r="J2" s="7"/>
      <c r="K2" s="7"/>
      <c r="L2" s="7"/>
      <c r="M2" s="7"/>
    </row>
    <row r="3" spans="1:17">
      <c r="B3" s="4" t="s">
        <v>374</v>
      </c>
      <c r="C3" s="39" t="str">
        <f>IF(Baseline!D6="Department Based","Per Unit","Project")</f>
        <v>Per Unit</v>
      </c>
      <c r="D3" s="34" t="s">
        <v>375</v>
      </c>
      <c r="E3" s="39">
        <v>0</v>
      </c>
      <c r="G3" s="4" t="str">
        <f>C2&amp;" Price:"</f>
        <v>Pro Services Price:</v>
      </c>
      <c r="H3" s="124">
        <f>P64</f>
        <v>0</v>
      </c>
      <c r="I3" s="4" t="s">
        <v>303</v>
      </c>
      <c r="J3" s="384">
        <f>Baseline!$G$24</f>
        <v>0.41046428571428573</v>
      </c>
      <c r="K3" s="385"/>
      <c r="L3" s="4" t="s">
        <v>376</v>
      </c>
      <c r="M3" s="124">
        <f>Baseline!$D$24</f>
        <v>28000</v>
      </c>
    </row>
    <row r="4" spans="1:17">
      <c r="B4" s="4" t="s">
        <v>322</v>
      </c>
      <c r="C4" s="110">
        <f>Baseline!D8</f>
        <v>1</v>
      </c>
      <c r="D4" s="224" t="s">
        <v>377</v>
      </c>
      <c r="E4" s="225"/>
      <c r="G4" s="4" t="str">
        <f>C2&amp;" Blended Margin %:"</f>
        <v>Pro Services Blended Margin %:</v>
      </c>
      <c r="H4" s="125" t="str">
        <f>O64</f>
        <v>TBD</v>
      </c>
      <c r="I4" s="4" t="s">
        <v>306</v>
      </c>
      <c r="J4" s="384">
        <f ca="1">Baseline!$G$27</f>
        <v>0.37715551785714285</v>
      </c>
      <c r="K4" s="385"/>
      <c r="L4" s="4" t="s">
        <v>378</v>
      </c>
      <c r="M4" s="77">
        <f ca="1">Baseline!$J$5</f>
        <v>8.6024110983219243E-2</v>
      </c>
    </row>
    <row r="6" spans="1:17">
      <c r="B6" s="7" t="str">
        <f>C2&amp;" Resource Cost Factors:"</f>
        <v>Pro Services Resource Cost Factors:</v>
      </c>
      <c r="C6" s="7"/>
      <c r="D6" s="126"/>
      <c r="E6" s="126"/>
      <c r="F6" s="126"/>
      <c r="G6" s="126"/>
      <c r="H6" s="126"/>
      <c r="I6" s="126"/>
      <c r="J6" s="126"/>
      <c r="K6" s="126"/>
      <c r="L6" s="126"/>
      <c r="M6" s="126"/>
      <c r="N6" s="126"/>
      <c r="O6" s="126"/>
      <c r="P6" s="126"/>
      <c r="Q6" s="127"/>
    </row>
    <row r="7" spans="1:17">
      <c r="B7" s="4" t="s">
        <v>379</v>
      </c>
      <c r="C7" s="4" t="s">
        <v>280</v>
      </c>
      <c r="D7" s="4" t="s">
        <v>380</v>
      </c>
      <c r="E7" s="128" t="s">
        <v>381</v>
      </c>
      <c r="F7" s="128"/>
      <c r="G7" s="49" t="s">
        <v>382</v>
      </c>
      <c r="H7" s="49" t="s">
        <v>383</v>
      </c>
      <c r="I7" s="4" t="s">
        <v>384</v>
      </c>
      <c r="J7" s="4" t="s">
        <v>385</v>
      </c>
      <c r="K7" s="129"/>
      <c r="L7" s="129" t="s">
        <v>386</v>
      </c>
      <c r="M7" s="4" t="s">
        <v>387</v>
      </c>
      <c r="N7" s="381" t="s">
        <v>388</v>
      </c>
      <c r="O7" s="382"/>
      <c r="P7" s="382"/>
      <c r="Q7" s="383"/>
    </row>
    <row r="8" spans="1:17">
      <c r="B8" s="39" t="s">
        <v>103</v>
      </c>
      <c r="C8" s="39" t="s">
        <v>106</v>
      </c>
      <c r="D8" s="113">
        <f>Efforts!N4</f>
        <v>100</v>
      </c>
      <c r="E8" s="113" t="s">
        <v>389</v>
      </c>
      <c r="F8" s="130"/>
      <c r="G8" s="131">
        <f>IFERROR(IF(E8="Regular",VLOOKUP(C8,Resource_Rates_Table[],3,FALSE),(IF('Pro Services'!E8="OT",VLOOKUP(C8,Resource_Rates_Table[],4,FALSE),IF(E8="Regular/1st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86.39</v>
      </c>
      <c r="H8" s="132">
        <f>D8*G8</f>
        <v>8639</v>
      </c>
      <c r="I8" s="141" t="s">
        <v>390</v>
      </c>
      <c r="J8" s="144">
        <v>0.43</v>
      </c>
      <c r="K8" s="511">
        <f>IFERROR(IF(I8="Specified Margin",G8/(1-J8),"Enter Sell Rate"),"TBD")</f>
        <v>151.56140350877192</v>
      </c>
      <c r="L8" s="512"/>
      <c r="M8" s="149">
        <f>IFERROR(D8*K8,"TBD")</f>
        <v>15156.140350877191</v>
      </c>
      <c r="N8" s="340"/>
      <c r="O8" s="380"/>
      <c r="P8" s="380"/>
      <c r="Q8" s="341"/>
    </row>
    <row r="9" spans="1:17">
      <c r="B9" s="39" t="s">
        <v>103</v>
      </c>
      <c r="C9" s="39" t="s">
        <v>114</v>
      </c>
      <c r="D9" s="113">
        <v>420</v>
      </c>
      <c r="E9" s="113" t="s">
        <v>389</v>
      </c>
      <c r="F9" s="130"/>
      <c r="G9" s="131">
        <f>IFERROR(IF(E9="Regular",VLOOKUP(C9,Resource_Rates_Table[],3,FALSE),(IF('Pro Services'!E9="OT",VLOOKUP(C9,Resource_Rates_Table[],4,FALSE),IF(E9="Regular/1st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14.4</v>
      </c>
      <c r="H9" s="62">
        <f>D9*G9</f>
        <v>6048</v>
      </c>
      <c r="I9" s="141" t="s">
        <v>390</v>
      </c>
      <c r="J9" s="144">
        <v>0.71499999999999997</v>
      </c>
      <c r="K9" s="511">
        <f t="shared" ref="K9:K27" si="0">IFERROR(IF(I9="Specified Margin",G9/(1-J9),"Enter Sell Rate"),"TBD")</f>
        <v>50.526315789473678</v>
      </c>
      <c r="L9" s="512"/>
      <c r="M9" s="149">
        <f>IFERROR(D9*K9,"TBD")</f>
        <v>21221.052631578943</v>
      </c>
      <c r="N9" s="116"/>
      <c r="O9" s="117"/>
      <c r="P9" s="117"/>
      <c r="Q9" s="118"/>
    </row>
    <row r="10" spans="1:17">
      <c r="B10" s="39" t="s">
        <v>207</v>
      </c>
      <c r="C10" s="39" t="s">
        <v>213</v>
      </c>
      <c r="D10" s="113">
        <v>142</v>
      </c>
      <c r="E10" s="113" t="s">
        <v>389</v>
      </c>
      <c r="F10" s="130"/>
      <c r="G10" s="131">
        <f>IFERROR(IF(E10="Regular",VLOOKUP(C10,Resource_Rates_Table[],3,FALSE),(IF('Pro Services'!E10="OT",VLOOKUP(C10,Resource_Rates_Table[],4,FALSE),IF(E10="Regular/1st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10</v>
      </c>
      <c r="H10" s="62">
        <f>D10*G10</f>
        <v>1420</v>
      </c>
      <c r="I10" s="141" t="s">
        <v>390</v>
      </c>
      <c r="J10" s="144">
        <v>0.8</v>
      </c>
      <c r="K10" s="511">
        <f>IFERROR(IF(I10="Specified Margin",G10/(1-J10),"Enter Sell Rate"),"TBD")</f>
        <v>50.000000000000014</v>
      </c>
      <c r="L10" s="512"/>
      <c r="M10" s="149">
        <f t="shared" ref="M10:M27" si="1">IFERROR(D10*K10,"TBD")</f>
        <v>7100.0000000000018</v>
      </c>
      <c r="N10" s="116"/>
      <c r="O10" s="117"/>
      <c r="P10" s="117"/>
      <c r="Q10" s="118"/>
    </row>
    <row r="11" spans="1:17">
      <c r="B11" s="39" t="s">
        <v>103</v>
      </c>
      <c r="C11" s="39" t="s">
        <v>104</v>
      </c>
      <c r="D11" s="113">
        <v>0</v>
      </c>
      <c r="E11" s="113" t="s">
        <v>389</v>
      </c>
      <c r="F11" s="130"/>
      <c r="G11" s="131">
        <f>IFERROR(IF(E11="Regular",VLOOKUP(C11,Resource_Rates_Table[],3,FALSE),(IF('Pro Services'!E11="OT",VLOOKUP(C11,Resource_Rates_Table[],4,FALSE),IF(E11="Regular/1st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59.08</v>
      </c>
      <c r="H11" s="62">
        <f>D11*G11</f>
        <v>0</v>
      </c>
      <c r="I11" s="141" t="s">
        <v>390</v>
      </c>
      <c r="J11" s="144" cm="1">
        <f t="array" ref="J11">IFERROR(IF(I11="Specified Margin",IFERROR(_xlfn.IFS(ISNUMBER(SEARCH("India",C11))=TRUE,Baseline!$G$6,ISNUMBER(SEARCH("Pakistan",C11))=TRUE,Baseline!$G$7),Baseline!$G$5),(K11-G11)/K11),"TBD")</f>
        <v>0.35</v>
      </c>
      <c r="K11" s="511">
        <f t="shared" si="0"/>
        <v>90.892307692307682</v>
      </c>
      <c r="L11" s="512"/>
      <c r="M11" s="149">
        <f t="shared" si="1"/>
        <v>0</v>
      </c>
      <c r="N11" s="116"/>
      <c r="O11" s="117"/>
      <c r="P11" s="117"/>
      <c r="Q11" s="118"/>
    </row>
    <row r="12" spans="1:17">
      <c r="B12" s="39"/>
      <c r="C12" s="39"/>
      <c r="D12" s="113">
        <v>0</v>
      </c>
      <c r="E12" s="113" t="s">
        <v>389</v>
      </c>
      <c r="F12" s="130"/>
      <c r="G12" s="131">
        <f>IFERROR(IF(E12="Regular",VLOOKUP(C12,Resource_Rates_Table[],3,FALSE),(IF('Pro Services'!E12="OT",VLOOKUP(C12,Resource_Rates_Table[],4,FALSE),IF(E12="Regular/1st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 t="shared" ref="H12:H21" si="2">D12*G12</f>
        <v>0</v>
      </c>
      <c r="I12" s="141" t="s">
        <v>390</v>
      </c>
      <c r="J12" s="144" cm="1">
        <f t="array" ref="J12">IFERROR(IF(I12="Specified Margin",IFERROR(_xlfn.IFS(ISNUMBER(SEARCH("India",C12))=TRUE,Baseline!$G$6,ISNUMBER(SEARCH("Pakistan",C12))=TRUE,Baseline!$G$7),Baseline!$G$5),(K12-G12)/K12),"TBD")</f>
        <v>0.35</v>
      </c>
      <c r="K12" s="511">
        <f t="shared" si="0"/>
        <v>0</v>
      </c>
      <c r="L12" s="512"/>
      <c r="M12" s="149">
        <f t="shared" si="1"/>
        <v>0</v>
      </c>
      <c r="N12" s="116"/>
      <c r="O12" s="117"/>
      <c r="P12" s="117"/>
      <c r="Q12" s="118"/>
    </row>
    <row r="13" spans="1:17">
      <c r="B13" s="39"/>
      <c r="C13" s="39"/>
      <c r="D13" s="113">
        <v>0</v>
      </c>
      <c r="E13" s="113" t="s">
        <v>389</v>
      </c>
      <c r="F13" s="130"/>
      <c r="G13" s="131">
        <f>IFERROR(IF(E13="Regular",VLOOKUP(C13,Resource_Rates_Table[],3,FALSE),(IF('Pro Services'!E13="OT",VLOOKUP(C13,Resource_Rates_Table[],4,FALSE),IF(E13="Regular/1st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si="2"/>
        <v>0</v>
      </c>
      <c r="I13" s="141" t="s">
        <v>390</v>
      </c>
      <c r="J13" s="144" cm="1">
        <f t="array" ref="J13">IFERROR(IF(I13="Specified Margin",IFERROR(_xlfn.IFS(ISNUMBER(SEARCH("India",C13))=TRUE,Baseline!$G$6,ISNUMBER(SEARCH("Pakistan",C13))=TRUE,Baseline!$G$7),Baseline!$G$5),(K13-G13)/K13),"TBD")</f>
        <v>0.35</v>
      </c>
      <c r="K13" s="511">
        <f t="shared" si="0"/>
        <v>0</v>
      </c>
      <c r="L13" s="512"/>
      <c r="M13" s="149">
        <f t="shared" si="1"/>
        <v>0</v>
      </c>
      <c r="N13" s="116"/>
      <c r="O13" s="117"/>
      <c r="P13" s="117"/>
      <c r="Q13" s="118"/>
    </row>
    <row r="14" spans="1:17">
      <c r="B14" s="39"/>
      <c r="C14" s="39"/>
      <c r="D14" s="113">
        <v>0</v>
      </c>
      <c r="E14" s="113" t="s">
        <v>389</v>
      </c>
      <c r="F14" s="130"/>
      <c r="G14" s="131">
        <f>IFERROR(IF(E14="Regular",VLOOKUP(C14,Resource_Rates_Table[],3,FALSE),(IF('Pro Services'!E14="OT",VLOOKUP(C14,Resource_Rates_Table[],4,FALSE),IF(E14="Regular/1st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390</v>
      </c>
      <c r="J14" s="144" cm="1">
        <f t="array" ref="J14">IFERROR(IF(I14="Specified Margin",IFERROR(_xlfn.IFS(ISNUMBER(SEARCH("India",C14))=TRUE,Baseline!$G$6,ISNUMBER(SEARCH("Pakistan",C14))=TRUE,Baseline!$G$7),Baseline!$G$5),(K14-G14)/K14),"TBD")</f>
        <v>0.35</v>
      </c>
      <c r="K14" s="511">
        <f t="shared" si="0"/>
        <v>0</v>
      </c>
      <c r="L14" s="512"/>
      <c r="M14" s="149">
        <f t="shared" si="1"/>
        <v>0</v>
      </c>
      <c r="N14" s="116"/>
      <c r="O14" s="117"/>
      <c r="P14" s="117"/>
      <c r="Q14" s="118"/>
    </row>
    <row r="15" spans="1:17">
      <c r="B15" s="39"/>
      <c r="C15" s="39"/>
      <c r="D15" s="113">
        <v>0</v>
      </c>
      <c r="E15" s="113" t="s">
        <v>389</v>
      </c>
      <c r="F15" s="130"/>
      <c r="G15" s="131">
        <f>IFERROR(IF(E15="Regular",VLOOKUP(C15,Resource_Rates_Table[],3,FALSE),(IF('Pro Services'!E15="OT",VLOOKUP(C15,Resource_Rates_Table[],4,FALSE),IF(E15="Regular/1st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390</v>
      </c>
      <c r="J15" s="144" cm="1">
        <f t="array" ref="J15">IFERROR(IF(I15="Specified Margin",IFERROR(_xlfn.IFS(ISNUMBER(SEARCH("India",C15))=TRUE,Baseline!$G$6,ISNUMBER(SEARCH("Pakistan",C15))=TRUE,Baseline!$G$7),Baseline!$G$5),(K15-G15)/K15),"TBD")</f>
        <v>0.35</v>
      </c>
      <c r="K15" s="511">
        <f t="shared" si="0"/>
        <v>0</v>
      </c>
      <c r="L15" s="512"/>
      <c r="M15" s="149">
        <f t="shared" si="1"/>
        <v>0</v>
      </c>
      <c r="N15" s="116"/>
      <c r="O15" s="117"/>
      <c r="P15" s="117"/>
      <c r="Q15" s="118"/>
    </row>
    <row r="16" spans="1:17">
      <c r="B16" s="39"/>
      <c r="C16" s="39"/>
      <c r="D16" s="113">
        <v>0</v>
      </c>
      <c r="E16" s="113" t="s">
        <v>389</v>
      </c>
      <c r="F16" s="130"/>
      <c r="G16" s="131">
        <f>IFERROR(IF(E16="Regular",VLOOKUP(C16,Resource_Rates_Table[],3,FALSE),(IF('Pro Services'!E16="OT",VLOOKUP(C16,Resource_Rates_Table[],4,FALSE),IF(E16="Regular/1st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390</v>
      </c>
      <c r="J16" s="144" cm="1">
        <f t="array" ref="J16">IFERROR(IF(I16="Specified Margin",IFERROR(_xlfn.IFS(ISNUMBER(SEARCH("India",C16))=TRUE,Baseline!$G$6,ISNUMBER(SEARCH("Pakistan",C16))=TRUE,Baseline!$G$7),Baseline!$G$5),(K16-G16)/K16),"TBD")</f>
        <v>0.35</v>
      </c>
      <c r="K16" s="511">
        <f t="shared" si="0"/>
        <v>0</v>
      </c>
      <c r="L16" s="512"/>
      <c r="M16" s="149">
        <f t="shared" si="1"/>
        <v>0</v>
      </c>
      <c r="N16" s="116"/>
      <c r="O16" s="117"/>
      <c r="P16" s="117"/>
      <c r="Q16" s="118"/>
    </row>
    <row r="17" spans="2:17">
      <c r="B17" s="39"/>
      <c r="C17" s="39"/>
      <c r="D17" s="113">
        <v>0</v>
      </c>
      <c r="E17" s="113" t="s">
        <v>389</v>
      </c>
      <c r="F17" s="130"/>
      <c r="G17" s="131">
        <f>IFERROR(IF(E17="Regular",VLOOKUP(C17,Resource_Rates_Table[],3,FALSE),(IF('Pro Services'!E17="OT",VLOOKUP(C17,Resource_Rates_Table[],4,FALSE),IF(E17="Regular/1st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390</v>
      </c>
      <c r="J17" s="144" cm="1">
        <f t="array" ref="J17">IFERROR(IF(I17="Specified Margin",IFERROR(_xlfn.IFS(ISNUMBER(SEARCH("India",C17))=TRUE,Baseline!$G$6,ISNUMBER(SEARCH("Pakistan",C17))=TRUE,Baseline!$G$7),Baseline!$G$5),(K17-G17)/K17),"TBD")</f>
        <v>0.35</v>
      </c>
      <c r="K17" s="511">
        <f t="shared" si="0"/>
        <v>0</v>
      </c>
      <c r="L17" s="512"/>
      <c r="M17" s="149">
        <f t="shared" si="1"/>
        <v>0</v>
      </c>
      <c r="N17" s="116"/>
      <c r="O17" s="117"/>
      <c r="P17" s="117"/>
      <c r="Q17" s="118"/>
    </row>
    <row r="18" spans="2:17">
      <c r="B18" s="39"/>
      <c r="C18" s="39"/>
      <c r="D18" s="113">
        <v>0</v>
      </c>
      <c r="E18" s="113" t="s">
        <v>389</v>
      </c>
      <c r="F18" s="130"/>
      <c r="G18" s="131">
        <f>IFERROR(IF(E18="Regular",VLOOKUP(C18,Resource_Rates_Table[],3,FALSE),(IF('Pro Services'!E18="OT",VLOOKUP(C18,Resource_Rates_Table[],4,FALSE),IF(E18="Regular/1st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390</v>
      </c>
      <c r="J18" s="144" cm="1">
        <f t="array" ref="J18">IFERROR(IF(I18="Specified Margin",IFERROR(_xlfn.IFS(ISNUMBER(SEARCH("India",C18))=TRUE,Baseline!$G$6,ISNUMBER(SEARCH("Pakistan",C18))=TRUE,Baseline!$G$7),Baseline!$G$5),(K18-G18)/K18),"TBD")</f>
        <v>0.35</v>
      </c>
      <c r="K18" s="511">
        <f t="shared" si="0"/>
        <v>0</v>
      </c>
      <c r="L18" s="512"/>
      <c r="M18" s="149">
        <f t="shared" si="1"/>
        <v>0</v>
      </c>
      <c r="N18" s="116"/>
      <c r="O18" s="117"/>
      <c r="P18" s="117"/>
      <c r="Q18" s="118"/>
    </row>
    <row r="19" spans="2:17">
      <c r="B19" s="39"/>
      <c r="C19" s="39"/>
      <c r="D19" s="113">
        <v>0</v>
      </c>
      <c r="E19" s="113" t="s">
        <v>389</v>
      </c>
      <c r="F19" s="130"/>
      <c r="G19" s="131">
        <f>IFERROR(IF(E19="Regular",VLOOKUP(C19,Resource_Rates_Table[],3,FALSE),(IF('Pro Services'!E19="OT",VLOOKUP(C19,Resource_Rates_Table[],4,FALSE),IF(E19="Regular/1st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390</v>
      </c>
      <c r="J19" s="144" cm="1">
        <f t="array" ref="J19">IFERROR(IF(I19="Specified Margin",IFERROR(_xlfn.IFS(ISNUMBER(SEARCH("India",C19))=TRUE,Baseline!$G$6,ISNUMBER(SEARCH("Pakistan",C19))=TRUE,Baseline!$G$7),Baseline!$G$5),(K19-G19)/K19),"TBD")</f>
        <v>0.35</v>
      </c>
      <c r="K19" s="511">
        <f t="shared" si="0"/>
        <v>0</v>
      </c>
      <c r="L19" s="512"/>
      <c r="M19" s="149">
        <f t="shared" si="1"/>
        <v>0</v>
      </c>
      <c r="N19" s="116"/>
      <c r="O19" s="117"/>
      <c r="P19" s="117"/>
      <c r="Q19" s="118"/>
    </row>
    <row r="20" spans="2:17">
      <c r="B20" s="39"/>
      <c r="C20" s="39"/>
      <c r="D20" s="113">
        <v>0</v>
      </c>
      <c r="E20" s="113" t="s">
        <v>389</v>
      </c>
      <c r="F20" s="130"/>
      <c r="G20" s="131">
        <f>IFERROR(IF(E20="Regular",VLOOKUP(C20,Resource_Rates_Table[],3,FALSE),(IF('Pro Services'!E20="OT",VLOOKUP(C20,Resource_Rates_Table[],4,FALSE),IF(E20="Regular/1st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390</v>
      </c>
      <c r="J20" s="144" cm="1">
        <f t="array" ref="J20">IFERROR(IF(I20="Specified Margin",IFERROR(_xlfn.IFS(ISNUMBER(SEARCH("India",C20))=TRUE,Baseline!$G$6,ISNUMBER(SEARCH("Pakistan",C20))=TRUE,Baseline!$G$7),Baseline!$G$5),(K20-G20)/K20),"TBD")</f>
        <v>0.35</v>
      </c>
      <c r="K20" s="511">
        <f t="shared" si="0"/>
        <v>0</v>
      </c>
      <c r="L20" s="512"/>
      <c r="M20" s="149">
        <f t="shared" si="1"/>
        <v>0</v>
      </c>
      <c r="N20" s="116"/>
      <c r="O20" s="117"/>
      <c r="P20" s="117"/>
      <c r="Q20" s="118"/>
    </row>
    <row r="21" spans="2:17">
      <c r="B21" s="39"/>
      <c r="C21" s="39"/>
      <c r="D21" s="113">
        <v>0</v>
      </c>
      <c r="E21" s="113" t="s">
        <v>389</v>
      </c>
      <c r="F21" s="130"/>
      <c r="G21" s="131">
        <f>IFERROR(IF(E21="Regular",VLOOKUP(C21,Resource_Rates_Table[],3,FALSE),(IF('Pro Services'!E21="OT",VLOOKUP(C21,Resource_Rates_Table[],4,FALSE),IF(E21="Regular/1st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390</v>
      </c>
      <c r="J21" s="144" cm="1">
        <f t="array" ref="J21">IFERROR(IF(I21="Specified Margin",IFERROR(_xlfn.IFS(ISNUMBER(SEARCH("India",C21))=TRUE,Baseline!$G$6,ISNUMBER(SEARCH("Pakistan",C21))=TRUE,Baseline!$G$7),Baseline!$G$5),(K21-G21)/K21),"TBD")</f>
        <v>0.35</v>
      </c>
      <c r="K21" s="511">
        <f t="shared" si="0"/>
        <v>0</v>
      </c>
      <c r="L21" s="512"/>
      <c r="M21" s="149">
        <f t="shared" si="1"/>
        <v>0</v>
      </c>
      <c r="N21" s="116"/>
      <c r="O21" s="117"/>
      <c r="P21" s="117"/>
      <c r="Q21" s="118"/>
    </row>
    <row r="22" spans="2:17">
      <c r="B22" s="39"/>
      <c r="C22" s="39"/>
      <c r="D22" s="113">
        <v>0</v>
      </c>
      <c r="E22" s="113" t="s">
        <v>389</v>
      </c>
      <c r="F22" s="130"/>
      <c r="G22" s="131">
        <f>IFERROR(IF(E22="Regular",VLOOKUP(C22,Resource_Rates_Table[],3,FALSE),(IF('Pro Services'!E22="OT",VLOOKUP(C22,Resource_Rates_Table[],4,FALSE),IF(E22="Regular/1st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ref="H22:H27" si="3">D22*G22</f>
        <v>0</v>
      </c>
      <c r="I22" s="141" t="s">
        <v>390</v>
      </c>
      <c r="J22" s="144" cm="1">
        <f t="array" ref="J22">IFERROR(IF(I22="Specified Margin",IFERROR(_xlfn.IFS(ISNUMBER(SEARCH("India",C22))=TRUE,Baseline!$G$6,ISNUMBER(SEARCH("Pakistan",C22))=TRUE,Baseline!$G$7),Baseline!$G$5),(K22-G22)/K22),"TBD")</f>
        <v>0.35</v>
      </c>
      <c r="K22" s="511">
        <f t="shared" si="0"/>
        <v>0</v>
      </c>
      <c r="L22" s="512"/>
      <c r="M22" s="149">
        <f t="shared" si="1"/>
        <v>0</v>
      </c>
      <c r="N22" s="116"/>
      <c r="O22" s="117"/>
      <c r="P22" s="117"/>
      <c r="Q22" s="118"/>
    </row>
    <row r="23" spans="2:17">
      <c r="B23" s="39"/>
      <c r="C23" s="39"/>
      <c r="D23" s="113">
        <v>0</v>
      </c>
      <c r="E23" s="113" t="s">
        <v>389</v>
      </c>
      <c r="F23" s="130"/>
      <c r="G23" s="131">
        <f>IFERROR(IF(E23="Regular",VLOOKUP(C23,Resource_Rates_Table[],3,FALSE),(IF('Pro Services'!E23="OT",VLOOKUP(C23,Resource_Rates_Table[],4,FALSE),IF(E23="Regular/1st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390</v>
      </c>
      <c r="J23" s="144" cm="1">
        <f t="array" ref="J23">IFERROR(IF(I23="Specified Margin",IFERROR(_xlfn.IFS(ISNUMBER(SEARCH("India",C23))=TRUE,Baseline!$G$6,ISNUMBER(SEARCH("Pakistan",C23))=TRUE,Baseline!$G$7),Baseline!$G$5),(K23-G23)/K23),"TBD")</f>
        <v>0.35</v>
      </c>
      <c r="K23" s="511">
        <f t="shared" si="0"/>
        <v>0</v>
      </c>
      <c r="L23" s="512"/>
      <c r="M23" s="149">
        <f t="shared" si="1"/>
        <v>0</v>
      </c>
      <c r="N23" s="116"/>
      <c r="O23" s="117"/>
      <c r="P23" s="117"/>
      <c r="Q23" s="118"/>
    </row>
    <row r="24" spans="2:17">
      <c r="B24" s="39"/>
      <c r="C24" s="39"/>
      <c r="D24" s="113">
        <v>0</v>
      </c>
      <c r="E24" s="113" t="s">
        <v>389</v>
      </c>
      <c r="F24" s="133"/>
      <c r="G24" s="131">
        <f>IFERROR(IF(E24="Regular",VLOOKUP(C24,Resource_Rates_Table[],3,FALSE),(IF('Pro Services'!E24="OT",VLOOKUP(C24,Resource_Rates_Table[],4,FALSE),IF(E24="Regular/1st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390</v>
      </c>
      <c r="J24" s="144" cm="1">
        <f t="array" ref="J24">IFERROR(IF(I24="Specified Margin",IFERROR(_xlfn.IFS(ISNUMBER(SEARCH("India",C24))=TRUE,Baseline!$G$6,ISNUMBER(SEARCH("Pakistan",C24))=TRUE,Baseline!$G$7),Baseline!$G$5),(K24-G24)/K24),"TBD")</f>
        <v>0.35</v>
      </c>
      <c r="K24" s="511">
        <f t="shared" si="0"/>
        <v>0</v>
      </c>
      <c r="L24" s="512"/>
      <c r="M24" s="149">
        <f t="shared" si="1"/>
        <v>0</v>
      </c>
      <c r="N24" s="340"/>
      <c r="O24" s="380"/>
      <c r="P24" s="380"/>
      <c r="Q24" s="341"/>
    </row>
    <row r="25" spans="2:17">
      <c r="B25" s="39"/>
      <c r="C25" s="39"/>
      <c r="D25" s="113">
        <v>0</v>
      </c>
      <c r="E25" s="113" t="s">
        <v>389</v>
      </c>
      <c r="F25" s="133"/>
      <c r="G25" s="131">
        <f>IFERROR(IF(E25="Regular",VLOOKUP(C25,Resource_Rates_Table[],3,FALSE),(IF('Pro Services'!E25="OT",VLOOKUP(C25,Resource_Rates_Table[],4,FALSE),IF(E25="Regular/1st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390</v>
      </c>
      <c r="J25" s="144" cm="1">
        <f t="array" ref="J25">IFERROR(IF(I25="Specified Margin",IFERROR(_xlfn.IFS(ISNUMBER(SEARCH("India",C25))=TRUE,Baseline!$G$6,ISNUMBER(SEARCH("Pakistan",C25))=TRUE,Baseline!$G$7),Baseline!$G$5),(K25-G25)/K25),"TBD")</f>
        <v>0.35</v>
      </c>
      <c r="K25" s="511">
        <f t="shared" si="0"/>
        <v>0</v>
      </c>
      <c r="L25" s="512"/>
      <c r="M25" s="149">
        <f t="shared" si="1"/>
        <v>0</v>
      </c>
      <c r="N25" s="340"/>
      <c r="O25" s="380"/>
      <c r="P25" s="380"/>
      <c r="Q25" s="341"/>
    </row>
    <row r="26" spans="2:17">
      <c r="B26" s="39"/>
      <c r="C26" s="39"/>
      <c r="D26" s="113">
        <v>0</v>
      </c>
      <c r="E26" s="113" t="s">
        <v>389</v>
      </c>
      <c r="F26" s="133"/>
      <c r="G26" s="131">
        <f>IFERROR(IF(E26="Regular",VLOOKUP(C26,Resource_Rates_Table[],3,FALSE),(IF('Pro Services'!E26="OT",VLOOKUP(C26,Resource_Rates_Table[],4,FALSE),IF(E26="Regular/1st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390</v>
      </c>
      <c r="J26" s="144" cm="1">
        <f t="array" ref="J26">IFERROR(IF(I26="Specified Margin",IFERROR(_xlfn.IFS(ISNUMBER(SEARCH("India",C26))=TRUE,Baseline!$G$6,ISNUMBER(SEARCH("Pakistan",C26))=TRUE,Baseline!$G$7),Baseline!$G$5),(K26-G26)/K26),"TBD")</f>
        <v>0.35</v>
      </c>
      <c r="K26" s="511">
        <f t="shared" si="0"/>
        <v>0</v>
      </c>
      <c r="L26" s="512"/>
      <c r="M26" s="149">
        <f t="shared" si="1"/>
        <v>0</v>
      </c>
      <c r="N26" s="340"/>
      <c r="O26" s="380"/>
      <c r="P26" s="380"/>
      <c r="Q26" s="341"/>
    </row>
    <row r="27" spans="2:17">
      <c r="B27" s="39"/>
      <c r="C27" s="39"/>
      <c r="D27" s="113">
        <v>0</v>
      </c>
      <c r="E27" s="113" t="s">
        <v>389</v>
      </c>
      <c r="F27" s="133"/>
      <c r="G27" s="131">
        <f>IFERROR(IF(E27="Regular",VLOOKUP(C27,Resource_Rates_Table[],3,FALSE),(IF('Pro Services'!E27="OT",VLOOKUP(C27,Resource_Rates_Table[],4,FALSE),IF(E27="Regular/1st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390</v>
      </c>
      <c r="J27" s="144" cm="1">
        <f t="array" ref="J27">IFERROR(IF(I27="Specified Margin",IFERROR(_xlfn.IFS(ISNUMBER(SEARCH("India",C27))=TRUE,Baseline!$G$6,ISNUMBER(SEARCH("Pakistan",C27))=TRUE,Baseline!$G$7),Baseline!$G$5),(K27-G27)/K27),"TBD")</f>
        <v>0.35</v>
      </c>
      <c r="K27" s="511">
        <f t="shared" si="0"/>
        <v>0</v>
      </c>
      <c r="L27" s="512"/>
      <c r="M27" s="149">
        <f t="shared" si="1"/>
        <v>0</v>
      </c>
      <c r="N27" s="340"/>
      <c r="O27" s="380"/>
      <c r="P27" s="380"/>
      <c r="Q27" s="341"/>
    </row>
    <row r="28" spans="2:17">
      <c r="B28" s="6"/>
      <c r="C28" s="6" t="s">
        <v>391</v>
      </c>
      <c r="D28" s="134">
        <f>SUM(D8:D27)</f>
        <v>662</v>
      </c>
      <c r="E28" s="135"/>
      <c r="F28" s="135"/>
      <c r="G28" s="136" t="str">
        <f>IF(C3="Project",C2&amp;" Resource Cost:",C2&amp;" Per Unit Resource Cost:")</f>
        <v>Pro Services Per Unit Resource Cost:</v>
      </c>
      <c r="H28" s="137">
        <f>SUM(H8:H27)</f>
        <v>16107</v>
      </c>
      <c r="I28" s="137" t="s">
        <v>392</v>
      </c>
      <c r="J28" s="152">
        <f>IFERROR((M28-H28)/M28,"TBD")</f>
        <v>0.62952990073440396</v>
      </c>
      <c r="K28" s="378" t="s">
        <v>393</v>
      </c>
      <c r="L28" s="379"/>
      <c r="M28" s="137">
        <f>SUM(M8:M27)</f>
        <v>43477.192982456138</v>
      </c>
      <c r="N28" s="135"/>
      <c r="O28" s="135"/>
      <c r="P28" s="135"/>
      <c r="Q28" s="135"/>
    </row>
    <row r="29" spans="2:17">
      <c r="D29" s="119"/>
    </row>
    <row r="30" spans="2:17">
      <c r="B30" s="7" t="str">
        <f>C2&amp;" Partner Cost Factors:"</f>
        <v>Pro Services Partner Cost Factors:</v>
      </c>
      <c r="C30" s="7"/>
      <c r="D30" s="126"/>
      <c r="E30" s="126"/>
      <c r="F30" s="126"/>
      <c r="G30" s="126"/>
      <c r="H30" s="126"/>
      <c r="I30" s="126"/>
      <c r="J30" s="126"/>
      <c r="K30" s="126"/>
      <c r="L30" s="126"/>
      <c r="M30" s="126"/>
      <c r="N30" s="126"/>
      <c r="O30" s="126"/>
      <c r="P30" s="126"/>
      <c r="Q30" s="127"/>
    </row>
    <row r="31" spans="2:17">
      <c r="B31" s="4" t="s">
        <v>394</v>
      </c>
      <c r="C31" s="4" t="s">
        <v>395</v>
      </c>
      <c r="D31" s="4" t="s">
        <v>396</v>
      </c>
      <c r="E31" s="128" t="s">
        <v>381</v>
      </c>
      <c r="F31" s="128"/>
      <c r="G31" s="49" t="s">
        <v>397</v>
      </c>
      <c r="H31" s="49" t="s">
        <v>398</v>
      </c>
      <c r="I31" s="4" t="s">
        <v>384</v>
      </c>
      <c r="J31" s="4" t="s">
        <v>385</v>
      </c>
      <c r="K31" s="513" t="s">
        <v>399</v>
      </c>
      <c r="L31" s="514"/>
      <c r="M31" s="4" t="s">
        <v>400</v>
      </c>
      <c r="N31" s="381" t="s">
        <v>401</v>
      </c>
      <c r="O31" s="382"/>
      <c r="P31" s="382"/>
      <c r="Q31" s="383"/>
    </row>
    <row r="32" spans="2:17">
      <c r="B32" s="39"/>
      <c r="C32" s="39" t="str">
        <f>IF(B32="Field Nation",'Resource Descriptions'!$D$116,IF(B32="Partner",'Resource Descriptions'!$D$120,""))</f>
        <v/>
      </c>
      <c r="D32" s="113">
        <v>0</v>
      </c>
      <c r="E32" s="113" t="s">
        <v>389</v>
      </c>
      <c r="F32" s="115"/>
      <c r="G32" s="114">
        <f>IFERROR(IF(B32="Partner","Enter Partner Price",IF(B32="Field Nation",IF(E32="Regular",VLOOKUP(C32,'Resource Descriptions'!$D$116:$I$119,3,FALSE),IF(E32="OT",VLOOKUP(C32,'Resource Descriptions'!$D$116:$I$119,4,FALSE),0)),0)),0)</f>
        <v>0</v>
      </c>
      <c r="H32" s="53">
        <f t="shared" ref="H32:H39" si="4">IFERROR(D32*G32,"TBD")</f>
        <v>0</v>
      </c>
      <c r="I32" s="141" t="s">
        <v>390</v>
      </c>
      <c r="J32" s="144">
        <f>IFERROR(IF(I32="Specified Margin",Baseline!$G$8,(K32-G32)/K32),"TBD")</f>
        <v>0.3</v>
      </c>
      <c r="K32" s="511">
        <f>IFERROR(IF(I32="Specified Margin",G32/(1-J32),"Enter Sell Rate"),"TBD")</f>
        <v>0</v>
      </c>
      <c r="L32" s="512"/>
      <c r="M32" s="160">
        <f>IFERROR(D32*K32,"TBD")</f>
        <v>0</v>
      </c>
      <c r="N32" s="340"/>
      <c r="O32" s="380"/>
      <c r="P32" s="380"/>
      <c r="Q32" s="341"/>
    </row>
    <row r="33" spans="2:17">
      <c r="B33" s="39"/>
      <c r="C33" s="39" t="str">
        <f>IF(B33="Field Nation",'Resource Descriptions'!$D$116,IF(B33="Partner",'Resource Descriptions'!$D$120,""))</f>
        <v/>
      </c>
      <c r="D33" s="113">
        <v>0</v>
      </c>
      <c r="E33" s="113" t="s">
        <v>389</v>
      </c>
      <c r="F33" s="115"/>
      <c r="G33" s="114">
        <f>IFERROR(IF(B33="Partner","Enter Partner Price",IF(B33="Field Nation",IF(E33="Regular",VLOOKUP(C33,'Resource Descriptions'!$D$116:$I$119,3,FALSE),IF(E33="OT",VLOOKUP(C33,'Resource Descriptions'!$D$116:$I$119,4,FALSE),0)),0)),0)</f>
        <v>0</v>
      </c>
      <c r="H33" s="53">
        <f t="shared" si="4"/>
        <v>0</v>
      </c>
      <c r="I33" s="141" t="s">
        <v>390</v>
      </c>
      <c r="J33" s="144">
        <f>IFERROR(IF(I33="Specified Margin",Baseline!$G$8,(K33-G33)/K33),"TBD")</f>
        <v>0.3</v>
      </c>
      <c r="K33" s="511">
        <f t="shared" ref="K33:K39" si="5">IFERROR(IF(I33="Specified Margin",G33/(1-J33),"Enter Sell Rate"),"TBD")</f>
        <v>0</v>
      </c>
      <c r="L33" s="512"/>
      <c r="M33" s="160">
        <f t="shared" ref="M33:M39" si="6">IFERROR(D33*K33,"TBD")</f>
        <v>0</v>
      </c>
      <c r="N33" s="116"/>
      <c r="O33" s="117"/>
      <c r="P33" s="117"/>
      <c r="Q33" s="118"/>
    </row>
    <row r="34" spans="2:17">
      <c r="B34" s="39"/>
      <c r="C34" s="39" t="str">
        <f>IF(B34="Field Nation",'Resource Descriptions'!$D$116,IF(B34="Partner",'Resource Descriptions'!$D$120,""))</f>
        <v/>
      </c>
      <c r="D34" s="113">
        <v>0</v>
      </c>
      <c r="E34" s="113" t="s">
        <v>389</v>
      </c>
      <c r="F34" s="115"/>
      <c r="G34" s="114">
        <f>IFERROR(IF(B34="Partner","Enter Partner Price",IF(B34="Field Nation",IF(E34="Regular",VLOOKUP(C34,'Resource Descriptions'!$D$116:$I$119,3,FALSE),IF(E34="OT",VLOOKUP(C34,'Resource Descriptions'!$D$116:$I$119,4,FALSE),0)),0)),0)</f>
        <v>0</v>
      </c>
      <c r="H34" s="53">
        <f t="shared" si="4"/>
        <v>0</v>
      </c>
      <c r="I34" s="141" t="s">
        <v>390</v>
      </c>
      <c r="J34" s="144">
        <f>IFERROR(IF(I34="Specified Margin",Baseline!$G$8,(K34-G34)/K34),"TBD")</f>
        <v>0.3</v>
      </c>
      <c r="K34" s="511">
        <f t="shared" si="5"/>
        <v>0</v>
      </c>
      <c r="L34" s="512"/>
      <c r="M34" s="160">
        <f t="shared" si="6"/>
        <v>0</v>
      </c>
      <c r="N34" s="116"/>
      <c r="O34" s="117"/>
      <c r="P34" s="117"/>
      <c r="Q34" s="118"/>
    </row>
    <row r="35" spans="2:17">
      <c r="B35" s="39"/>
      <c r="C35" s="39" t="str">
        <f>IF(B35="Field Nation",'Resource Descriptions'!$D$116,IF(B35="Partner",'Resource Descriptions'!$D$120,""))</f>
        <v/>
      </c>
      <c r="D35" s="113">
        <v>0</v>
      </c>
      <c r="E35" s="113" t="s">
        <v>389</v>
      </c>
      <c r="F35" s="115"/>
      <c r="G35" s="114">
        <f>IFERROR(IF(B35="Partner","Enter Partner Price",IF(B35="Field Nation",IF(E35="Regular",VLOOKUP(C35,'Resource Descriptions'!$D$116:$I$119,3,FALSE),IF(E35="OT",VLOOKUP(C35,'Resource Descriptions'!$D$116:$I$119,4,FALSE),0)),0)),0)</f>
        <v>0</v>
      </c>
      <c r="H35" s="53">
        <f t="shared" si="4"/>
        <v>0</v>
      </c>
      <c r="I35" s="141" t="s">
        <v>390</v>
      </c>
      <c r="J35" s="144">
        <f>IFERROR(IF(I35="Specified Margin",Baseline!$G$8,(K35-G35)/K35),"TBD")</f>
        <v>0.3</v>
      </c>
      <c r="K35" s="511">
        <f>IFERROR(IF(I35="Specified Margin",G35/(1-J35),"Enter Sell Rate"),"TBD")</f>
        <v>0</v>
      </c>
      <c r="L35" s="512"/>
      <c r="M35" s="160">
        <f t="shared" si="6"/>
        <v>0</v>
      </c>
      <c r="N35" s="116"/>
      <c r="O35" s="117"/>
      <c r="P35" s="117"/>
      <c r="Q35" s="118"/>
    </row>
    <row r="36" spans="2:17">
      <c r="B36" s="39"/>
      <c r="C36" s="39" t="str">
        <f>IF(B36="Field Nation",'Resource Descriptions'!$D$116,IF(B36="Partner",'Resource Descriptions'!$D$120,""))</f>
        <v/>
      </c>
      <c r="D36" s="113">
        <v>0</v>
      </c>
      <c r="E36" s="113" t="s">
        <v>389</v>
      </c>
      <c r="F36" s="115"/>
      <c r="G36" s="114">
        <f>IFERROR(IF(B36="Partner","Enter Partner Price",IF(B36="Field Nation",IF(E36="Regular",VLOOKUP(C36,'Resource Descriptions'!$D$116:$I$119,3,FALSE),IF(E36="OT",VLOOKUP(C36,'Resource Descriptions'!$D$116:$I$119,4,FALSE),0)),0)),0)</f>
        <v>0</v>
      </c>
      <c r="H36" s="53">
        <f t="shared" si="4"/>
        <v>0</v>
      </c>
      <c r="I36" s="141" t="s">
        <v>390</v>
      </c>
      <c r="J36" s="144">
        <f>IFERROR(IF(I36="Specified Margin",Baseline!$G$8,(K36-G36)/K36),"TBD")</f>
        <v>0.3</v>
      </c>
      <c r="K36" s="511">
        <f t="shared" si="5"/>
        <v>0</v>
      </c>
      <c r="L36" s="512"/>
      <c r="M36" s="160">
        <f t="shared" si="6"/>
        <v>0</v>
      </c>
      <c r="N36" s="116"/>
      <c r="O36" s="117"/>
      <c r="P36" s="117"/>
      <c r="Q36" s="118"/>
    </row>
    <row r="37" spans="2:17">
      <c r="B37" s="39"/>
      <c r="C37" s="39" t="str">
        <f>IF(B37="Field Nation",'Resource Descriptions'!$D$116,IF(B37="Partner",'Resource Descriptions'!$D$120,""))</f>
        <v/>
      </c>
      <c r="D37" s="113">
        <v>0</v>
      </c>
      <c r="E37" s="113" t="s">
        <v>389</v>
      </c>
      <c r="F37" s="115"/>
      <c r="G37" s="114">
        <f>IFERROR(IF(B37="Partner","Enter Partner Price",IF(B37="Field Nation",IF(E37="Regular",VLOOKUP(C37,'Resource Descriptions'!$D$116:$I$119,3,FALSE),IF(E37="OT",VLOOKUP(C37,'Resource Descriptions'!$D$116:$I$119,4,FALSE),0)),0)),0)</f>
        <v>0</v>
      </c>
      <c r="H37" s="53">
        <f t="shared" si="4"/>
        <v>0</v>
      </c>
      <c r="I37" s="141" t="s">
        <v>390</v>
      </c>
      <c r="J37" s="144">
        <f>IFERROR(IF(I37="Specified Margin",Baseline!$G$8,(K37-G37)/K37),"TBD")</f>
        <v>0.3</v>
      </c>
      <c r="K37" s="511">
        <f t="shared" si="5"/>
        <v>0</v>
      </c>
      <c r="L37" s="512"/>
      <c r="M37" s="160">
        <f t="shared" si="6"/>
        <v>0</v>
      </c>
      <c r="N37" s="116"/>
      <c r="O37" s="117"/>
      <c r="P37" s="117"/>
      <c r="Q37" s="118"/>
    </row>
    <row r="38" spans="2:17">
      <c r="B38" s="39"/>
      <c r="C38" s="39" t="str">
        <f>IF(B38="Field Nation",'Resource Descriptions'!$D$116,IF(B38="Partner",'Resource Descriptions'!$D$120,""))</f>
        <v/>
      </c>
      <c r="D38" s="113">
        <v>0</v>
      </c>
      <c r="E38" s="113" t="s">
        <v>389</v>
      </c>
      <c r="F38" s="115"/>
      <c r="G38" s="114">
        <f>IFERROR(IF(B38="Partner","Enter Partner Price",IF(B38="Field Nation",IF(E38="Regular",VLOOKUP(C38,'Resource Descriptions'!$D$116:$I$119,3,FALSE),IF(E38="OT",VLOOKUP(C38,'Resource Descriptions'!$D$116:$I$119,4,FALSE),0)),0)),0)</f>
        <v>0</v>
      </c>
      <c r="H38" s="53">
        <f t="shared" si="4"/>
        <v>0</v>
      </c>
      <c r="I38" s="141" t="s">
        <v>390</v>
      </c>
      <c r="J38" s="144">
        <f>IFERROR(IF(I38="Specified Margin",Baseline!$G$8,(K38-G38)/K38),"TBD")</f>
        <v>0.3</v>
      </c>
      <c r="K38" s="511">
        <f t="shared" si="5"/>
        <v>0</v>
      </c>
      <c r="L38" s="512"/>
      <c r="M38" s="160">
        <f t="shared" si="6"/>
        <v>0</v>
      </c>
      <c r="N38" s="340"/>
      <c r="O38" s="380"/>
      <c r="P38" s="380"/>
      <c r="Q38" s="341"/>
    </row>
    <row r="39" spans="2:17">
      <c r="B39" s="39"/>
      <c r="C39" s="39" t="str">
        <f>IF(B39="Field Nation",'Resource Descriptions'!$D$116,IF(B39="Partner",'Resource Descriptions'!$D$120,""))</f>
        <v/>
      </c>
      <c r="D39" s="113">
        <v>0</v>
      </c>
      <c r="E39" s="113" t="s">
        <v>389</v>
      </c>
      <c r="F39" s="115"/>
      <c r="G39" s="114">
        <f>IFERROR(IF(B39="Partner","Enter Partner Price",IF(B39="Field Nation",IF(E39="Regular",VLOOKUP(C39,'Resource Descriptions'!$D$116:$I$119,3,FALSE),IF(E39="OT",VLOOKUP(C39,'Resource Descriptions'!$D$116:$I$119,4,FALSE),0)),0)),0)</f>
        <v>0</v>
      </c>
      <c r="H39" s="53">
        <f t="shared" si="4"/>
        <v>0</v>
      </c>
      <c r="I39" s="141" t="s">
        <v>390</v>
      </c>
      <c r="J39" s="144">
        <f>IFERROR(IF(I39="Specified Margin",Baseline!$G$8,(K39-G39)/K39),"TBD")</f>
        <v>0.3</v>
      </c>
      <c r="K39" s="511">
        <f t="shared" si="5"/>
        <v>0</v>
      </c>
      <c r="L39" s="512"/>
      <c r="M39" s="160">
        <f t="shared" si="6"/>
        <v>0</v>
      </c>
      <c r="N39" s="340"/>
      <c r="O39" s="380"/>
      <c r="P39" s="380"/>
      <c r="Q39" s="341"/>
    </row>
    <row r="40" spans="2:17">
      <c r="B40" s="6"/>
      <c r="C40" s="159"/>
      <c r="D40" s="135"/>
      <c r="E40" s="135"/>
      <c r="F40" s="135"/>
      <c r="G40" s="136" t="str">
        <f>IF(C3="Project",C2&amp;" Partner Cost:",C2&amp;" Per Unit Partner Cost:")</f>
        <v>Pro Services Per Unit Partner Cost:</v>
      </c>
      <c r="H40" s="137">
        <f>SUM(H32:H39)</f>
        <v>0</v>
      </c>
      <c r="I40" s="137" t="s">
        <v>402</v>
      </c>
      <c r="J40" s="152" t="str">
        <f>IFERROR((M40-H40)/M40,"TBD")</f>
        <v>TBD</v>
      </c>
      <c r="K40" s="378" t="s">
        <v>403</v>
      </c>
      <c r="L40" s="379"/>
      <c r="M40" s="137">
        <f>SUM(M32:M39)</f>
        <v>0</v>
      </c>
      <c r="N40" s="135"/>
      <c r="O40" s="135"/>
      <c r="P40" s="135"/>
      <c r="Q40" s="135"/>
    </row>
    <row r="41" spans="2:17">
      <c r="D41" s="119"/>
    </row>
    <row r="42" spans="2:17">
      <c r="B42" s="7" t="str">
        <f>C2&amp;" Travel &amp; Living Cost Factors:"</f>
        <v>Pro Services Travel &amp; Living Cost Factors:</v>
      </c>
      <c r="C42" s="126"/>
      <c r="D42" s="126"/>
      <c r="E42" s="126"/>
      <c r="F42" s="126"/>
      <c r="G42" s="126"/>
      <c r="H42" s="126"/>
      <c r="I42" s="126"/>
      <c r="J42" s="126"/>
      <c r="L42" s="32" t="str">
        <f>C2&amp;" Assumptions:"</f>
        <v>Pro Services Assumptions:</v>
      </c>
      <c r="M42" s="32"/>
      <c r="N42" s="32"/>
      <c r="O42" s="32"/>
      <c r="P42" s="32"/>
      <c r="Q42" s="32"/>
    </row>
    <row r="43" spans="2:17">
      <c r="B43" s="4" t="s">
        <v>404</v>
      </c>
      <c r="C43" s="4" t="s">
        <v>405</v>
      </c>
      <c r="D43" s="4" t="s">
        <v>406</v>
      </c>
      <c r="E43" s="515" t="s">
        <v>407</v>
      </c>
      <c r="F43" s="516"/>
      <c r="G43" s="4" t="s">
        <v>384</v>
      </c>
      <c r="H43" s="13" t="s">
        <v>385</v>
      </c>
      <c r="I43" s="4" t="s">
        <v>408</v>
      </c>
      <c r="J43" s="4" t="s">
        <v>409</v>
      </c>
      <c r="L43" s="375"/>
      <c r="M43" s="376"/>
      <c r="N43" s="376"/>
      <c r="O43" s="376"/>
      <c r="P43" s="376"/>
      <c r="Q43" s="377"/>
    </row>
    <row r="44" spans="2:17">
      <c r="B44" s="39"/>
      <c r="C44" s="113">
        <v>0</v>
      </c>
      <c r="D44" s="120">
        <f>IFERROR(VLOOKUP(B44,'Expenses &amp; Materials'!$B$3:$C$9,2,FALSE),0)</f>
        <v>0</v>
      </c>
      <c r="E44" s="517">
        <f t="shared" ref="E44:E51" si="7">C44*D44</f>
        <v>0</v>
      </c>
      <c r="F44" s="518"/>
      <c r="G44" s="141" t="s">
        <v>390</v>
      </c>
      <c r="H44" s="153">
        <f>IFERROR(IF(G44="Specified Margin",Baseline!$G$9,(I44-D44)/I44),"TBD")</f>
        <v>0.15</v>
      </c>
      <c r="I44" s="163">
        <f>IFERROR(IF(G44="Specified Margin",D44/(1-H44),"Enter Sell Rate"),"TBD")</f>
        <v>0</v>
      </c>
      <c r="J44" s="62">
        <f>IFERROR(C44*I44,"TBD")</f>
        <v>0</v>
      </c>
      <c r="L44" s="375"/>
      <c r="M44" s="376"/>
      <c r="N44" s="376"/>
      <c r="O44" s="376"/>
      <c r="P44" s="376"/>
      <c r="Q44" s="377"/>
    </row>
    <row r="45" spans="2:17">
      <c r="B45" s="39"/>
      <c r="C45" s="113">
        <v>0</v>
      </c>
      <c r="D45" s="120">
        <f>IFERROR(VLOOKUP(B45,'Expenses &amp; Materials'!$B$3:$C$9,2,FALSE),0)</f>
        <v>0</v>
      </c>
      <c r="E45" s="517">
        <f t="shared" si="7"/>
        <v>0</v>
      </c>
      <c r="F45" s="518"/>
      <c r="G45" s="141" t="s">
        <v>390</v>
      </c>
      <c r="H45" s="153">
        <f>Baseline!$G$9</f>
        <v>0.15</v>
      </c>
      <c r="I45" s="163">
        <f t="shared" ref="I45:I51" si="8">IFERROR(IF(G45="Specified Margin",D45/(1-H45),"Enter Sell Rate"),"TBD")</f>
        <v>0</v>
      </c>
      <c r="J45" s="62">
        <f t="shared" ref="J45:J51" si="9">IFERROR(C45*I45,"TBD")</f>
        <v>0</v>
      </c>
      <c r="L45" s="375"/>
      <c r="M45" s="376"/>
      <c r="N45" s="376"/>
      <c r="O45" s="376"/>
      <c r="P45" s="376"/>
      <c r="Q45" s="377"/>
    </row>
    <row r="46" spans="2:17">
      <c r="B46" s="39"/>
      <c r="C46" s="113">
        <v>0</v>
      </c>
      <c r="D46" s="120">
        <f>IFERROR(VLOOKUP(B46,'Expenses &amp; Materials'!$B$3:$C$9,2,FALSE),0)</f>
        <v>0</v>
      </c>
      <c r="E46" s="517">
        <f t="shared" si="7"/>
        <v>0</v>
      </c>
      <c r="F46" s="518"/>
      <c r="G46" s="141" t="s">
        <v>390</v>
      </c>
      <c r="H46" s="153">
        <f>Baseline!$G$9</f>
        <v>0.15</v>
      </c>
      <c r="I46" s="163">
        <f t="shared" si="8"/>
        <v>0</v>
      </c>
      <c r="J46" s="62">
        <f t="shared" si="9"/>
        <v>0</v>
      </c>
      <c r="L46" s="375"/>
      <c r="M46" s="376"/>
      <c r="N46" s="376"/>
      <c r="O46" s="376"/>
      <c r="P46" s="376"/>
      <c r="Q46" s="377"/>
    </row>
    <row r="47" spans="2:17">
      <c r="B47" s="39"/>
      <c r="C47" s="113">
        <v>0</v>
      </c>
      <c r="D47" s="120">
        <f>IFERROR(VLOOKUP(B47,'Expenses &amp; Materials'!$B$3:$C$9,2,FALSE),0)</f>
        <v>0</v>
      </c>
      <c r="E47" s="517">
        <f t="shared" si="7"/>
        <v>0</v>
      </c>
      <c r="F47" s="518"/>
      <c r="G47" s="141" t="s">
        <v>390</v>
      </c>
      <c r="H47" s="153">
        <f>IFERROR(IF(G47="Specified Margin",Baseline!$G$9,(I47-D47)/I47),"TBD")</f>
        <v>0.15</v>
      </c>
      <c r="I47" s="163">
        <f t="shared" si="8"/>
        <v>0</v>
      </c>
      <c r="J47" s="62">
        <f t="shared" si="9"/>
        <v>0</v>
      </c>
      <c r="L47" s="375"/>
      <c r="M47" s="376"/>
      <c r="N47" s="376"/>
      <c r="O47" s="376"/>
      <c r="P47" s="376"/>
      <c r="Q47" s="377"/>
    </row>
    <row r="48" spans="2:17">
      <c r="B48" s="39"/>
      <c r="C48" s="113">
        <v>0</v>
      </c>
      <c r="D48" s="120">
        <f>IFERROR(VLOOKUP(B48,'Expenses &amp; Materials'!$B$3:$C$9,2,FALSE),0)</f>
        <v>0</v>
      </c>
      <c r="E48" s="517">
        <f t="shared" si="7"/>
        <v>0</v>
      </c>
      <c r="F48" s="518"/>
      <c r="G48" s="141" t="s">
        <v>390</v>
      </c>
      <c r="H48" s="153">
        <f>Baseline!$G$9</f>
        <v>0.15</v>
      </c>
      <c r="I48" s="163">
        <f t="shared" si="8"/>
        <v>0</v>
      </c>
      <c r="J48" s="62">
        <f t="shared" si="9"/>
        <v>0</v>
      </c>
      <c r="L48" s="375"/>
      <c r="M48" s="376"/>
      <c r="N48" s="376"/>
      <c r="O48" s="376"/>
      <c r="P48" s="376"/>
      <c r="Q48" s="377"/>
    </row>
    <row r="49" spans="2:17">
      <c r="B49" s="39"/>
      <c r="C49" s="113">
        <v>0</v>
      </c>
      <c r="D49" s="120">
        <f>IFERROR(VLOOKUP(B49,'Expenses &amp; Materials'!$B$3:$C$9,2,FALSE),0)</f>
        <v>0</v>
      </c>
      <c r="E49" s="517">
        <f t="shared" si="7"/>
        <v>0</v>
      </c>
      <c r="F49" s="518"/>
      <c r="G49" s="141" t="s">
        <v>390</v>
      </c>
      <c r="H49" s="153">
        <f>Baseline!$G$9</f>
        <v>0.15</v>
      </c>
      <c r="I49" s="163">
        <f t="shared" si="8"/>
        <v>0</v>
      </c>
      <c r="J49" s="62">
        <f t="shared" si="9"/>
        <v>0</v>
      </c>
      <c r="L49" s="375"/>
      <c r="M49" s="376"/>
      <c r="N49" s="376"/>
      <c r="O49" s="376"/>
      <c r="P49" s="376"/>
      <c r="Q49" s="377"/>
    </row>
    <row r="50" spans="2:17">
      <c r="B50" s="39"/>
      <c r="C50" s="113">
        <v>0</v>
      </c>
      <c r="D50" s="120">
        <f>IFERROR(VLOOKUP(B50,'Expenses &amp; Materials'!$B$3:$C$9,2,FALSE),0)</f>
        <v>0</v>
      </c>
      <c r="E50" s="517">
        <f t="shared" si="7"/>
        <v>0</v>
      </c>
      <c r="F50" s="518"/>
      <c r="G50" s="141" t="s">
        <v>390</v>
      </c>
      <c r="H50" s="153">
        <f>Baseline!$G$9</f>
        <v>0.15</v>
      </c>
      <c r="I50" s="163">
        <f t="shared" si="8"/>
        <v>0</v>
      </c>
      <c r="J50" s="62">
        <f t="shared" si="9"/>
        <v>0</v>
      </c>
      <c r="L50" s="375"/>
      <c r="M50" s="376"/>
      <c r="N50" s="376"/>
      <c r="O50" s="376"/>
      <c r="P50" s="376"/>
      <c r="Q50" s="377"/>
    </row>
    <row r="51" spans="2:17">
      <c r="B51" s="39"/>
      <c r="C51" s="113">
        <v>0</v>
      </c>
      <c r="D51" s="120">
        <f>IFERROR(VLOOKUP(B51,'Expenses &amp; Materials'!$B$3:$C$9,2,FALSE),0)</f>
        <v>0</v>
      </c>
      <c r="E51" s="517">
        <f t="shared" si="7"/>
        <v>0</v>
      </c>
      <c r="F51" s="518"/>
      <c r="G51" s="141" t="s">
        <v>390</v>
      </c>
      <c r="H51" s="153">
        <f>Baseline!$G$9</f>
        <v>0.15</v>
      </c>
      <c r="I51" s="163">
        <f t="shared" si="8"/>
        <v>0</v>
      </c>
      <c r="J51" s="62">
        <f t="shared" si="9"/>
        <v>0</v>
      </c>
      <c r="L51" s="375"/>
      <c r="M51" s="376"/>
      <c r="N51" s="376"/>
      <c r="O51" s="376"/>
      <c r="P51" s="376"/>
      <c r="Q51" s="377"/>
    </row>
    <row r="52" spans="2:17">
      <c r="B52" s="6"/>
      <c r="C52" s="135"/>
      <c r="D52" s="135" t="str">
        <f>IF(C3="Project",C2&amp;" Travel &amp; Living Cost:",C2&amp;" Per Unit Travel &amp; Living Cost:")</f>
        <v>Pro Services Per Unit Travel &amp; Living Cost:</v>
      </c>
      <c r="E52" s="519">
        <f>SUM(E44:E51)</f>
        <v>0</v>
      </c>
      <c r="F52" s="520"/>
      <c r="G52" s="143" t="s">
        <v>410</v>
      </c>
      <c r="H52" s="142" t="str">
        <f>IFERROR((J52-E52)/J52,"TBD")</f>
        <v>TBD</v>
      </c>
      <c r="I52" s="8" t="s">
        <v>411</v>
      </c>
      <c r="J52" s="137">
        <f>SUM(J44:J51)</f>
        <v>0</v>
      </c>
      <c r="L52" s="375"/>
      <c r="M52" s="376"/>
      <c r="N52" s="376"/>
      <c r="O52" s="376"/>
      <c r="P52" s="376"/>
      <c r="Q52" s="377"/>
    </row>
    <row r="53" spans="2:17">
      <c r="L53" s="375"/>
      <c r="M53" s="376"/>
      <c r="N53" s="376"/>
      <c r="O53" s="376"/>
      <c r="P53" s="376"/>
      <c r="Q53" s="377"/>
    </row>
    <row r="54" spans="2:17">
      <c r="B54" s="7" t="str">
        <f>C2&amp;" Material &amp; Other Cost Factors:"</f>
        <v>Pro Services Material &amp; Other Cost Factors:</v>
      </c>
      <c r="C54" s="126"/>
      <c r="D54" s="126"/>
      <c r="E54" s="126"/>
      <c r="F54" s="126"/>
      <c r="G54" s="126"/>
      <c r="H54" s="126"/>
      <c r="I54" s="126"/>
      <c r="J54" s="126"/>
      <c r="L54" s="375"/>
      <c r="M54" s="376"/>
      <c r="N54" s="376"/>
      <c r="O54" s="376"/>
      <c r="P54" s="376"/>
      <c r="Q54" s="377"/>
    </row>
    <row r="55" spans="2:17">
      <c r="B55" s="4" t="s">
        <v>404</v>
      </c>
      <c r="C55" s="4" t="s">
        <v>405</v>
      </c>
      <c r="D55" s="4" t="s">
        <v>406</v>
      </c>
      <c r="E55" s="515" t="s">
        <v>383</v>
      </c>
      <c r="F55" s="516"/>
      <c r="G55" s="4" t="s">
        <v>384</v>
      </c>
      <c r="H55" s="13" t="s">
        <v>385</v>
      </c>
      <c r="I55" s="4" t="s">
        <v>412</v>
      </c>
      <c r="J55" s="4" t="s">
        <v>413</v>
      </c>
      <c r="L55" s="375"/>
      <c r="M55" s="376"/>
      <c r="N55" s="376"/>
      <c r="O55" s="376"/>
      <c r="P55" s="376"/>
      <c r="Q55" s="377"/>
    </row>
    <row r="56" spans="2:17">
      <c r="B56" s="39" t="s">
        <v>414</v>
      </c>
      <c r="C56" s="113">
        <v>2</v>
      </c>
      <c r="D56" s="120">
        <v>200</v>
      </c>
      <c r="E56" s="517">
        <f t="shared" ref="E56:E63" si="10">C56*D56</f>
        <v>400</v>
      </c>
      <c r="F56" s="518"/>
      <c r="G56" s="141" t="s">
        <v>390</v>
      </c>
      <c r="H56" s="153">
        <f>IFERROR(IF(G56="Specified Margin",Baseline!$G$10,(I56-D56)/I56),"TBD")</f>
        <v>0.15</v>
      </c>
      <c r="I56" s="163">
        <f>IFERROR(IF(G56="Specified Margin",D56/(1-H56),"Enter Sell Rate"),"TBD")</f>
        <v>235.29411764705884</v>
      </c>
      <c r="J56" s="62">
        <f>IFERROR(C56*I56,"TBD")</f>
        <v>470.58823529411768</v>
      </c>
      <c r="L56" s="372"/>
      <c r="M56" s="373"/>
      <c r="N56" s="373"/>
      <c r="O56" s="373"/>
      <c r="P56" s="373"/>
      <c r="Q56" s="374"/>
    </row>
    <row r="57" spans="2:17">
      <c r="B57" s="39"/>
      <c r="C57" s="113">
        <v>0</v>
      </c>
      <c r="D57" s="120">
        <v>0</v>
      </c>
      <c r="E57" s="517">
        <f t="shared" si="10"/>
        <v>0</v>
      </c>
      <c r="F57" s="518"/>
      <c r="G57" s="141" t="s">
        <v>390</v>
      </c>
      <c r="H57" s="153">
        <f>Baseline!$G$10</f>
        <v>0.15</v>
      </c>
      <c r="I57" s="163">
        <f t="shared" ref="I57:I63" si="11">IFERROR(IF(G57="Specified Margin",D57/(1-H57),"Enter Sell Rate"),"TBD")</f>
        <v>0</v>
      </c>
      <c r="J57" s="62">
        <f t="shared" ref="J57:J63" si="12">IFERROR(C57*I57,"TBD")</f>
        <v>0</v>
      </c>
    </row>
    <row r="58" spans="2:17">
      <c r="B58" s="39"/>
      <c r="C58" s="113">
        <v>0</v>
      </c>
      <c r="D58" s="120">
        <f>IFERROR(VLOOKUP(B58,'Expenses &amp; Materials'!$B$13:$C$18,2,FALSE),0)</f>
        <v>0</v>
      </c>
      <c r="E58" s="517">
        <f t="shared" si="10"/>
        <v>0</v>
      </c>
      <c r="F58" s="518"/>
      <c r="G58" s="141" t="s">
        <v>390</v>
      </c>
      <c r="H58" s="153">
        <f>Baseline!$G$10</f>
        <v>0.15</v>
      </c>
      <c r="I58" s="163">
        <f t="shared" si="11"/>
        <v>0</v>
      </c>
      <c r="J58" s="62">
        <f t="shared" si="12"/>
        <v>0</v>
      </c>
      <c r="L58" s="7" t="str">
        <f>C2&amp;" Financial Breakdown:"</f>
        <v>Pro Services Financial Breakdown:</v>
      </c>
      <c r="M58" s="126"/>
      <c r="N58" s="126"/>
      <c r="O58" s="126"/>
      <c r="P58" s="126"/>
      <c r="Q58" s="126"/>
    </row>
    <row r="59" spans="2:17">
      <c r="B59" s="39"/>
      <c r="C59" s="113">
        <v>0</v>
      </c>
      <c r="D59" s="120">
        <f>IFERROR(VLOOKUP(B59,'Expenses &amp; Materials'!$B$13:$C$18,2,FALSE),0)</f>
        <v>0</v>
      </c>
      <c r="E59" s="517">
        <f t="shared" si="10"/>
        <v>0</v>
      </c>
      <c r="F59" s="518"/>
      <c r="G59" s="141" t="s">
        <v>390</v>
      </c>
      <c r="H59" s="153">
        <f>IFERROR(IF(G59="Specified Margin",Baseline!$G$10,(I59-E59)/I59),"TBD")</f>
        <v>0.15</v>
      </c>
      <c r="I59" s="163">
        <f t="shared" si="11"/>
        <v>0</v>
      </c>
      <c r="J59" s="62">
        <f t="shared" si="12"/>
        <v>0</v>
      </c>
      <c r="L59" s="4" t="str">
        <f>C2&amp;" Cost Factors:"</f>
        <v>Pro Services Cost Factors:</v>
      </c>
      <c r="M59" s="4" t="str">
        <f>"Total "&amp;C2&amp;" Cost:"</f>
        <v>Total Pro Services Cost:</v>
      </c>
      <c r="N59" s="4" t="str">
        <f>C2&amp;" Cost/Unit:"</f>
        <v>Pro Services Cost/Unit:</v>
      </c>
      <c r="O59" s="4" t="str">
        <f>IF(Baseline!G3="Variable Margin",C2&amp;" Blended Margin %:","Blended Margin %")</f>
        <v>Blended Margin %</v>
      </c>
      <c r="P59" s="128" t="str">
        <f>"Total "&amp;C2&amp;" Sell Price:"</f>
        <v>Total Pro Services Sell Price:</v>
      </c>
      <c r="Q59" s="4" t="str">
        <f>C2&amp;" Sell Price/Unit:"</f>
        <v>Pro Services Sell Price/Unit:</v>
      </c>
    </row>
    <row r="60" spans="2:17">
      <c r="B60" s="39"/>
      <c r="C60" s="113">
        <v>0</v>
      </c>
      <c r="D60" s="120">
        <f>IFERROR(VLOOKUP(B60,'Expenses &amp; Materials'!$B$13:$C$18,2,FALSE),0)</f>
        <v>0</v>
      </c>
      <c r="E60" s="517">
        <f t="shared" si="10"/>
        <v>0</v>
      </c>
      <c r="F60" s="518"/>
      <c r="G60" s="141" t="s">
        <v>390</v>
      </c>
      <c r="H60" s="153">
        <f>IFERROR(IF(G60="Specified Margin",Baseline!$G$10,(I60-D60)/I60),"TBD")</f>
        <v>0.15</v>
      </c>
      <c r="I60" s="163">
        <f>IFERROR(IF(G60="Specified Margin",D60/(1-H60),"Enter Sell Rate"),"TBD")</f>
        <v>0</v>
      </c>
      <c r="J60" s="62">
        <f t="shared" si="12"/>
        <v>0</v>
      </c>
      <c r="L60" s="137" t="s">
        <v>280</v>
      </c>
      <c r="M60" s="62">
        <f>IF($C$3="Project",$H$28,$H$28*$C$4)</f>
        <v>16107</v>
      </c>
      <c r="N60" s="53">
        <f>IF(C3="Project",$H$28/$C$4,$H$28)</f>
        <v>16107</v>
      </c>
      <c r="O60" s="79">
        <f>J28</f>
        <v>0.62952990073440396</v>
      </c>
      <c r="P60" s="133">
        <f>IFERROR(IF(Baseline!$G$3="Variable Margin",IF(C3="Project",M28,M28*C4),M60/$M$64*Baseline!$D$14),"TBD")</f>
        <v>0</v>
      </c>
      <c r="Q60" s="53">
        <f>IFERROR(P60/$C$4,"TBD")</f>
        <v>0</v>
      </c>
    </row>
    <row r="61" spans="2:17">
      <c r="B61" s="39"/>
      <c r="C61" s="113">
        <v>0</v>
      </c>
      <c r="D61" s="120">
        <f>IFERROR(VLOOKUP(B61,'Expenses &amp; Materials'!$B$13:$C$18,2,FALSE),0)</f>
        <v>0</v>
      </c>
      <c r="E61" s="517">
        <f t="shared" si="10"/>
        <v>0</v>
      </c>
      <c r="F61" s="518"/>
      <c r="G61" s="141" t="s">
        <v>390</v>
      </c>
      <c r="H61" s="153">
        <f>Baseline!$G$10</f>
        <v>0.15</v>
      </c>
      <c r="I61" s="163">
        <f t="shared" si="11"/>
        <v>0</v>
      </c>
      <c r="J61" s="62">
        <f t="shared" si="12"/>
        <v>0</v>
      </c>
      <c r="L61" s="137" t="s">
        <v>394</v>
      </c>
      <c r="M61" s="62">
        <f>IF($C$3="Project",$H$40,$H$40*$C$4)</f>
        <v>0</v>
      </c>
      <c r="N61" s="53">
        <f>IF(C3="Project",$H$40/$C$4,$H$40)</f>
        <v>0</v>
      </c>
      <c r="O61" s="79" t="str">
        <f>J40</f>
        <v>TBD</v>
      </c>
      <c r="P61" s="133">
        <f>IFERROR(IF(Baseline!$G$3="Variable Margin",IF(C3="Project",M40,M40*C4),M61/$M$64*Baseline!$D$14),"TBD")</f>
        <v>0</v>
      </c>
      <c r="Q61" s="53">
        <f>IFERROR(P61/$C$4,"TBD")</f>
        <v>0</v>
      </c>
    </row>
    <row r="62" spans="2:17">
      <c r="B62" s="39"/>
      <c r="C62" s="113">
        <v>0</v>
      </c>
      <c r="D62" s="120">
        <f>IFERROR(VLOOKUP(B62,'Expenses &amp; Materials'!$B$13:$C$18,2,FALSE),0)</f>
        <v>0</v>
      </c>
      <c r="E62" s="517">
        <f t="shared" si="10"/>
        <v>0</v>
      </c>
      <c r="F62" s="518"/>
      <c r="G62" s="141" t="s">
        <v>390</v>
      </c>
      <c r="H62" s="153">
        <f>Baseline!$G$10</f>
        <v>0.15</v>
      </c>
      <c r="I62" s="163">
        <f t="shared" si="11"/>
        <v>0</v>
      </c>
      <c r="J62" s="62">
        <f t="shared" si="12"/>
        <v>0</v>
      </c>
      <c r="L62" s="137" t="s">
        <v>238</v>
      </c>
      <c r="M62" s="62">
        <f>IF($C$3="Project",$E$52,$E$52*$C$4)</f>
        <v>0</v>
      </c>
      <c r="N62" s="53">
        <f>IF(C3="Project",$E$52/$C$4,$E$52)</f>
        <v>0</v>
      </c>
      <c r="O62" s="79" t="str">
        <f>H52</f>
        <v>TBD</v>
      </c>
      <c r="P62" s="133">
        <f>IFERROR(IF(Baseline!$G$3="Variable Margin",IF(C3="Project",J52,J52*C4),M62/$M$64*Baseline!$D$14),"TBD")</f>
        <v>0</v>
      </c>
      <c r="Q62" s="53">
        <f>IFERROR(P62/$C$4,"TBD")</f>
        <v>0</v>
      </c>
    </row>
    <row r="63" spans="2:17">
      <c r="B63" s="39"/>
      <c r="C63" s="113">
        <v>0</v>
      </c>
      <c r="D63" s="120">
        <f>IFERROR(VLOOKUP(B63,'Expenses &amp; Materials'!$B$13:$C$18,2,FALSE),0)</f>
        <v>0</v>
      </c>
      <c r="E63" s="517">
        <f t="shared" si="10"/>
        <v>0</v>
      </c>
      <c r="F63" s="518"/>
      <c r="G63" s="141" t="s">
        <v>390</v>
      </c>
      <c r="H63" s="153">
        <f>Baseline!$G$10</f>
        <v>0.15</v>
      </c>
      <c r="I63" s="163">
        <f t="shared" si="11"/>
        <v>0</v>
      </c>
      <c r="J63" s="62">
        <f t="shared" si="12"/>
        <v>0</v>
      </c>
      <c r="L63" s="137" t="s">
        <v>415</v>
      </c>
      <c r="M63" s="62">
        <f>IF($C$3="Project",$E$64,$E$64*$C$4)</f>
        <v>400</v>
      </c>
      <c r="N63" s="53">
        <f>IF(C3="Project",$E$64/$C$4,$E$64)</f>
        <v>400</v>
      </c>
      <c r="O63" s="79">
        <f>H64</f>
        <v>0.15000000000000005</v>
      </c>
      <c r="P63" s="133">
        <f>IFERROR(IF(Baseline!$G$3="Variable Margin",IF(C3="Project",J64,J64*C4),M63/$M$64*Baseline!$D$14),"TBD")</f>
        <v>0</v>
      </c>
      <c r="Q63" s="53">
        <f>IFERROR(P63/$C$4,"TBD")</f>
        <v>0</v>
      </c>
    </row>
    <row r="64" spans="2:17">
      <c r="B64" s="6"/>
      <c r="C64" s="135"/>
      <c r="D64" s="6" t="str">
        <f>IF(C3="Project",C2&amp;" Material &amp; Other Cost:",C2&amp;" Per Unit Material &amp; Other Cost:")</f>
        <v>Pro Services Per Unit Material &amp; Other Cost:</v>
      </c>
      <c r="E64" s="519">
        <f>SUM(E56:E63)</f>
        <v>400</v>
      </c>
      <c r="F64" s="520"/>
      <c r="G64" s="143" t="s">
        <v>416</v>
      </c>
      <c r="H64" s="142">
        <f>IFERROR((J64-E64)/J64,"TBD")</f>
        <v>0.15000000000000005</v>
      </c>
      <c r="I64" s="8" t="s">
        <v>417</v>
      </c>
      <c r="J64" s="137">
        <f>SUM(J56:J63)</f>
        <v>470.58823529411768</v>
      </c>
      <c r="L64" s="137" t="s">
        <v>418</v>
      </c>
      <c r="M64" s="137">
        <f>SUM(M60:M63)</f>
        <v>16507</v>
      </c>
      <c r="N64" s="8">
        <f>IFERROR(M64/C4,"TBD")</f>
        <v>16507</v>
      </c>
      <c r="O64" s="77" t="str">
        <f>IFERROR((P64-M64)/P64,"TBD")</f>
        <v>TBD</v>
      </c>
      <c r="P64" s="143">
        <f>SUM(P60:P63)</f>
        <v>0</v>
      </c>
      <c r="Q64" s="8">
        <f>SUM(Q60:Q63)</f>
        <v>0</v>
      </c>
    </row>
  </sheetData>
  <sheetProtection algorithmName="SHA-512" hashValue="6dqzi+8TYptMvMNZDVl6GbZvy5kxqbDOFQxiVmPAY0tPhG6KkK/uDpwWskPFSzc4I+x34u+mTUoCQ+O/2WOacQ==" saltValue="7+oa/FVwkZiEjl5S4bxjSA==" spinCount="100000" sheet="1" insertRows="0"/>
  <mergeCells count="77">
    <mergeCell ref="E60:F60"/>
    <mergeCell ref="E61:F61"/>
    <mergeCell ref="E62:F62"/>
    <mergeCell ref="E63:F63"/>
    <mergeCell ref="E64:F64"/>
    <mergeCell ref="E55:F55"/>
    <mergeCell ref="E56:F56"/>
    <mergeCell ref="E57:F57"/>
    <mergeCell ref="E58:F58"/>
    <mergeCell ref="E59:F59"/>
    <mergeCell ref="K20:L20"/>
    <mergeCell ref="K21:L21"/>
    <mergeCell ref="E43:F43"/>
    <mergeCell ref="E44:F44"/>
    <mergeCell ref="K31:L31"/>
    <mergeCell ref="E45:F45"/>
    <mergeCell ref="E46:F46"/>
    <mergeCell ref="E47:F47"/>
    <mergeCell ref="E48:F48"/>
    <mergeCell ref="E49:F49"/>
    <mergeCell ref="E50:F50"/>
    <mergeCell ref="E51:F51"/>
    <mergeCell ref="E52:F52"/>
    <mergeCell ref="J4:K4"/>
    <mergeCell ref="J3:K3"/>
    <mergeCell ref="K8:L8"/>
    <mergeCell ref="K24:L24"/>
    <mergeCell ref="K25:L25"/>
    <mergeCell ref="K26:L26"/>
    <mergeCell ref="K27:L27"/>
    <mergeCell ref="K9:L9"/>
    <mergeCell ref="K10:L10"/>
    <mergeCell ref="K11:L11"/>
    <mergeCell ref="K22:L22"/>
    <mergeCell ref="K23:L23"/>
    <mergeCell ref="K12:L12"/>
    <mergeCell ref="L50:Q50"/>
    <mergeCell ref="N31:Q31"/>
    <mergeCell ref="N32:Q32"/>
    <mergeCell ref="N38:Q38"/>
    <mergeCell ref="N39:Q39"/>
    <mergeCell ref="L43:Q43"/>
    <mergeCell ref="L44:Q44"/>
    <mergeCell ref="L45:Q45"/>
    <mergeCell ref="L46:Q46"/>
    <mergeCell ref="L47:Q47"/>
    <mergeCell ref="L48:Q48"/>
    <mergeCell ref="L49:Q49"/>
    <mergeCell ref="K40:L40"/>
    <mergeCell ref="N27:Q27"/>
    <mergeCell ref="N7:Q7"/>
    <mergeCell ref="N8:Q8"/>
    <mergeCell ref="N24:Q24"/>
    <mergeCell ref="N25:Q25"/>
    <mergeCell ref="N26:Q26"/>
    <mergeCell ref="K13:L13"/>
    <mergeCell ref="K28:L28"/>
    <mergeCell ref="K32:L32"/>
    <mergeCell ref="K38:L38"/>
    <mergeCell ref="K39:L39"/>
    <mergeCell ref="K34:L34"/>
    <mergeCell ref="K35:L35"/>
    <mergeCell ref="K36:L36"/>
    <mergeCell ref="K37:L37"/>
    <mergeCell ref="K33:L33"/>
    <mergeCell ref="K14:L14"/>
    <mergeCell ref="K15:L15"/>
    <mergeCell ref="K16:L16"/>
    <mergeCell ref="K17:L17"/>
    <mergeCell ref="K18:L18"/>
    <mergeCell ref="K19:L19"/>
    <mergeCell ref="L56:Q56"/>
    <mergeCell ref="L51:Q51"/>
    <mergeCell ref="L52:Q52"/>
    <mergeCell ref="L53:Q53"/>
    <mergeCell ref="L54:Q54"/>
    <mergeCell ref="L55:Q55"/>
  </mergeCells>
  <conditionalFormatting sqref="H3:H4">
    <cfRule type="expression" dxfId="261" priority="24">
      <formula>C3="Partner"</formula>
    </cfRule>
  </conditionalFormatting>
  <conditionalFormatting sqref="M3">
    <cfRule type="expression" dxfId="260" priority="23">
      <formula>H3="Partner"</formula>
    </cfRule>
  </conditionalFormatting>
  <conditionalFormatting sqref="J3">
    <cfRule type="cellIs" dxfId="259" priority="22" operator="lessThan">
      <formula>0.375</formula>
    </cfRule>
  </conditionalFormatting>
  <conditionalFormatting sqref="G32">
    <cfRule type="expression" dxfId="258" priority="34">
      <formula>B32="Partner"</formula>
    </cfRule>
  </conditionalFormatting>
  <conditionalFormatting sqref="G33:G39">
    <cfRule type="expression" dxfId="257" priority="33">
      <formula>B33="Partner"</formula>
    </cfRule>
  </conditionalFormatting>
  <conditionalFormatting sqref="D44:D51">
    <cfRule type="expression" dxfId="256" priority="29">
      <formula>OR(B44="Roundtrip Airfare",B44="Metro City Hotel",B44="Non-Metro City Hotel",B44="Vehicle/Taxi/Uber",B44="Per Diem")=TRUE</formula>
    </cfRule>
  </conditionalFormatting>
  <conditionalFormatting sqref="D56">
    <cfRule type="expression" dxfId="255" priority="28">
      <formula>OR(B56="Background Check",B56="Storage (Per Pallet)")=TRUE</formula>
    </cfRule>
  </conditionalFormatting>
  <conditionalFormatting sqref="D57 D59 D61:D62">
    <cfRule type="expression" dxfId="254" priority="27">
      <formula>OR(B57="Background Check",B57="Storage (Per Pallet)")=TRUE</formula>
    </cfRule>
  </conditionalFormatting>
  <conditionalFormatting sqref="D63 D58 D60">
    <cfRule type="expression" dxfId="253" priority="26">
      <formula>OR(B58="Background Check",B58="Storage (Per Pallet)")=TRUE</formula>
    </cfRule>
  </conditionalFormatting>
  <conditionalFormatting sqref="J32:J39">
    <cfRule type="expression" dxfId="252" priority="18">
      <formula>I32="Specified Sell Rate"</formula>
    </cfRule>
  </conditionalFormatting>
  <conditionalFormatting sqref="K8:K27">
    <cfRule type="expression" dxfId="251" priority="14">
      <formula>K8="Enter Sell Rate"</formula>
    </cfRule>
    <cfRule type="expression" dxfId="250" priority="15">
      <formula>I8="Specified Margin"</formula>
    </cfRule>
  </conditionalFormatting>
  <conditionalFormatting sqref="K32:K39">
    <cfRule type="expression" dxfId="249" priority="10">
      <formula>K32="Enter Sell Rate"</formula>
    </cfRule>
    <cfRule type="expression" dxfId="248" priority="11">
      <formula>I32="Specified Margin"</formula>
    </cfRule>
  </conditionalFormatting>
  <conditionalFormatting sqref="H44:H51">
    <cfRule type="expression" dxfId="247" priority="9">
      <formula>OR(E44="Roundtrip Airfare",E44="Metro City Hotel",E44="Non-Metro City Hotel",E44="Vehicle/Taxi/Uber",E44="Per Diem")=TRUE</formula>
    </cfRule>
  </conditionalFormatting>
  <conditionalFormatting sqref="I44:I51">
    <cfRule type="expression" dxfId="246" priority="7">
      <formula>I44="Enter Sell Rate"</formula>
    </cfRule>
    <cfRule type="expression" dxfId="245" priority="8">
      <formula>G44="Specified Sell Rate"</formula>
    </cfRule>
  </conditionalFormatting>
  <conditionalFormatting sqref="H56:H63">
    <cfRule type="expression" dxfId="244" priority="6">
      <formula>OR(E56="Roundtrip Airfare",E56="Metro City Hotel",E56="Non-Metro City Hotel",E56="Vehicle/Taxi/Uber",E56="Per Diem")=TRUE</formula>
    </cfRule>
  </conditionalFormatting>
  <conditionalFormatting sqref="I56:I63">
    <cfRule type="expression" dxfId="243" priority="4">
      <formula>I56="Enter Sell Rate"</formula>
    </cfRule>
    <cfRule type="expression" dxfId="242" priority="5">
      <formula>G56="Specified Sell Rate"</formula>
    </cfRule>
  </conditionalFormatting>
  <conditionalFormatting sqref="J8:J27">
    <cfRule type="expression" dxfId="241" priority="3">
      <formula>I8="Specified Sell Rate"</formula>
    </cfRule>
  </conditionalFormatting>
  <dataValidations count="8">
    <dataValidation type="list" allowBlank="1" showInputMessage="1" sqref="C3" xr:uid="{00000000-0002-0000-0B00-000002000000}">
      <formula1>"Project, Per Unit"</formula1>
    </dataValidation>
    <dataValidation type="list" allowBlank="1" showInputMessage="1" showErrorMessage="1" sqref="E32:E39" xr:uid="{00000000-0002-0000-0B00-000000000000}">
      <formula1>"Regular,OT"</formula1>
    </dataValidation>
    <dataValidation type="list" allowBlank="1" showInputMessage="1" showErrorMessage="1" sqref="B32:B39" xr:uid="{00000000-0002-0000-0B00-000001000000}">
      <formula1>"Field Nation,Partner"</formula1>
    </dataValidation>
    <dataValidation type="list" allowBlank="1" showInputMessage="1" showErrorMessage="1" sqref="G56:G63 G44:G51 I32:I39 I8:I27" xr:uid="{19315DCC-B92B-4BA2-A40D-BF3920C30B6D}">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6CDC44C0-5449-49A2-987F-9FDED3349B0F}">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DAF6C821-B983-41D8-B945-425CAF6B0116}">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81C418B6-AFE3-45A9-9BA9-359498870D26}">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FD40DC1B-AE58-459E-9DAE-485211F994E9}">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62" id="{86744D7D-A992-4EE3-A266-7636DABBBE7B}">
            <xm:f>Baseline!$D$6="Department Based"</xm:f>
            <x14:dxf>
              <font>
                <color theme="3" tint="0.59996337778862885"/>
              </font>
            </x14:dxf>
          </x14:cfRule>
          <xm:sqref>D2:D3</xm:sqref>
        </x14:conditionalFormatting>
        <x14:conditionalFormatting xmlns:xm="http://schemas.microsoft.com/office/excel/2006/main">
          <x14:cfRule type="expression" priority="463" id="{62B0CD11-D48C-465E-B753-86A9A6E1CAC6}">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64" id="{4E851FB9-CFC4-4B72-8BF6-A1490109C3E7}">
            <xm:f>Baseline!$D$6="Phase Based"</xm:f>
            <x14:dxf>
              <fill>
                <patternFill>
                  <bgColor theme="2" tint="-0.24994659260841701"/>
                </patternFill>
              </fill>
            </x14:dxf>
          </x14:cfRule>
          <xm:sqref>B8</xm:sqref>
        </x14:conditionalFormatting>
        <x14:conditionalFormatting xmlns:xm="http://schemas.microsoft.com/office/excel/2006/main">
          <x14:cfRule type="expression" priority="2" id="{496FC826-8850-4643-BE19-DE7A04391525}">
            <xm:f>'COLA (WIP)'!$C$4="Yes"</xm:f>
            <x14:dxf>
              <fill>
                <patternFill>
                  <bgColor theme="0"/>
                </patternFill>
              </fill>
            </x14:dxf>
          </x14:cfRule>
          <xm:sqref>E4</xm:sqref>
        </x14:conditionalFormatting>
        <x14:conditionalFormatting xmlns:xm="http://schemas.microsoft.com/office/excel/2006/main">
          <x14:cfRule type="expression" priority="1" id="{C07F883C-2FB2-4E3F-A887-31CD3102D2AC}">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B00-000003000000}">
          <x14:formula1>
            <xm:f>IF(B32="Field Nation",'Resource Descriptions'!$D$116:$D$119,'Resource Descriptions'!$D$120)</xm:f>
          </x14:formula1>
          <xm:sqref>C32:C39</xm:sqref>
        </x14:dataValidation>
        <x14:dataValidation type="list" allowBlank="1" showInputMessage="1" xr:uid="{00000000-0002-0000-0B00-000007000000}">
          <x14:formula1>
            <xm:f>'Expenses &amp; Materials'!$B$4:$B$10</xm:f>
          </x14:formula1>
          <xm:sqref>B44:B51</xm:sqref>
        </x14:dataValidation>
        <x14:dataValidation type="list" allowBlank="1" showInputMessage="1" xr:uid="{00000000-0002-0000-0B00-000006000000}">
          <x14:formula1>
            <xm:f>'Expenses &amp; Materials'!$B$14:$B$16</xm:f>
          </x14:formula1>
          <xm:sqref>B56:B63</xm:sqref>
        </x14:dataValidation>
        <x14:dataValidation type="list" allowBlank="1" showInputMessage="1" showErrorMessage="1" xr:uid="{DA7D5516-AF68-49DB-A86A-AF5377FA4FC1}">
          <x14:formula1>
            <xm:f>'Data Tables'!$B$4:$B$15</xm:f>
          </x14:formula1>
          <xm:sqref>B8:B27</xm:sqref>
        </x14:dataValidation>
        <x14:dataValidation type="list" allowBlank="1" showInputMessage="1" showErrorMessage="1" xr:uid="{B32C3EB6-9CFD-4C70-890B-994E875E2A75}">
          <x14:formula1>
            <xm:f>OFFSET('Resource Descriptions'!$D$6,VLOOKUP(B8,'Data Tables'!$B$3:$E$17,2,FALSE),0,VLOOKUP(B8,'Data Tables'!$B$3:$E$17,4,FALSE),1)</xm:f>
          </x14:formula1>
          <xm:sqref>C8:C27</xm:sqref>
        </x14:dataValidation>
        <x14:dataValidation type="list" allowBlank="1" showInputMessage="1" showErrorMessage="1" xr:uid="{6E516B93-BAC1-43B7-9C0E-5F80C3805AD5}">
          <x14:formula1>
            <xm:f>OFFSET('Data Tables'!$C$20,VLOOKUP(C8,'Data Tables'!$G$17:$J$118,2,FALSE),0,VLOOKUP(C8,'Data Tables'!$G$17:$J$118,4,FALSE),1)</xm:f>
          </x14:formula1>
          <xm:sqref>E8:E27</xm:sqref>
        </x14:dataValidation>
        <x14:dataValidation type="list" allowBlank="1" showInputMessage="1" showErrorMessage="1" xr:uid="{EA2A2BF5-3B30-404D-B005-FA6499AB2C46}">
          <x14:formula1>
            <xm:f>IF('COLA (WIP)'!C4="Yes",'COLA (WIP)'!$D$10:$M$10,"")</xm:f>
          </x14:formula1>
          <xm:sqref>E4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Q64"/>
  <sheetViews>
    <sheetView showGridLines="0" zoomScale="80" zoomScaleNormal="80" workbookViewId="0">
      <selection activeCell="C2" sqref="C2"/>
    </sheetView>
  </sheetViews>
  <sheetFormatPr defaultColWidth="8.85546875" defaultRowHeight="15"/>
  <cols>
    <col min="1" max="1" width="3.42578125" style="33" customWidth="1"/>
    <col min="2" max="2" width="28.42578125" style="33" bestFit="1" customWidth="1"/>
    <col min="3" max="3" width="32.140625" style="33" bestFit="1" customWidth="1"/>
    <col min="4" max="5" width="20.42578125" style="33" customWidth="1"/>
    <col min="6" max="6" width="3.42578125" style="33" customWidth="1"/>
    <col min="7" max="10" width="23.42578125" style="33" customWidth="1"/>
    <col min="11" max="11" width="3.42578125" style="33" customWidth="1"/>
    <col min="12" max="17" width="23.42578125" style="33" customWidth="1"/>
    <col min="18" max="16384" width="8.85546875" style="33"/>
  </cols>
  <sheetData>
    <row r="2" spans="1:17">
      <c r="A2" s="109"/>
      <c r="B2" s="121" t="s">
        <v>370</v>
      </c>
      <c r="C2" s="110" t="str">
        <f>IF(Baseline!D6='Data Tables'!L3,'Data Tables'!L4,IF(Baseline!D6='Data Tables'!M3,'Data Tables'!M4,'Data Tables'!N4))</f>
        <v>Startup</v>
      </c>
      <c r="D2" s="34" t="s">
        <v>371</v>
      </c>
      <c r="E2" s="111" t="s">
        <v>372</v>
      </c>
      <c r="G2" s="122" t="s">
        <v>373</v>
      </c>
      <c r="H2" s="122"/>
      <c r="I2" s="123"/>
      <c r="J2" s="7"/>
      <c r="K2" s="7"/>
      <c r="L2" s="7"/>
      <c r="M2" s="7"/>
    </row>
    <row r="3" spans="1:17">
      <c r="B3" s="4" t="s">
        <v>374</v>
      </c>
      <c r="C3" s="39" t="s">
        <v>419</v>
      </c>
      <c r="D3" s="34" t="s">
        <v>375</v>
      </c>
      <c r="E3" s="39"/>
      <c r="G3" s="4" t="str">
        <f>C2&amp;" Price:"</f>
        <v>Startup Price:</v>
      </c>
      <c r="H3" s="124">
        <f>P64</f>
        <v>0</v>
      </c>
      <c r="I3" s="4" t="s">
        <v>303</v>
      </c>
      <c r="J3" s="384">
        <f>Baseline!$G$24</f>
        <v>0.41046428571428573</v>
      </c>
      <c r="K3" s="385"/>
      <c r="L3" s="4" t="s">
        <v>376</v>
      </c>
      <c r="M3" s="124">
        <f>Baseline!$D$24</f>
        <v>28000</v>
      </c>
    </row>
    <row r="4" spans="1:17">
      <c r="B4" s="4" t="s">
        <v>322</v>
      </c>
      <c r="C4" s="110">
        <f>Baseline!D8</f>
        <v>1</v>
      </c>
      <c r="D4" s="224" t="s">
        <v>377</v>
      </c>
      <c r="E4" s="225"/>
      <c r="G4" s="4" t="str">
        <f>C2&amp;" Blended Margin %:"</f>
        <v>Startup Blended Margin %:</v>
      </c>
      <c r="H4" s="125" t="str">
        <f>O64</f>
        <v>TBD</v>
      </c>
      <c r="I4" s="4" t="s">
        <v>306</v>
      </c>
      <c r="J4" s="384">
        <f ca="1">Baseline!$G$27</f>
        <v>0.37715551785714285</v>
      </c>
      <c r="K4" s="385"/>
      <c r="L4" s="4" t="s">
        <v>378</v>
      </c>
      <c r="M4" s="77">
        <f ca="1">Baseline!$J$5</f>
        <v>8.6024110983219243E-2</v>
      </c>
    </row>
    <row r="6" spans="1:17">
      <c r="B6" s="7" t="str">
        <f>C2&amp;" Resource Cost Factors:"</f>
        <v>Startup Resource Cost Factors:</v>
      </c>
      <c r="C6" s="7"/>
      <c r="D6" s="126"/>
      <c r="E6" s="126"/>
      <c r="F6" s="126"/>
      <c r="G6" s="126"/>
      <c r="H6" s="126"/>
      <c r="I6" s="126"/>
      <c r="J6" s="126"/>
      <c r="K6" s="126"/>
      <c r="L6" s="126"/>
      <c r="M6" s="126"/>
      <c r="N6" s="126"/>
      <c r="O6" s="126"/>
      <c r="P6" s="126"/>
      <c r="Q6" s="127"/>
    </row>
    <row r="7" spans="1:17">
      <c r="B7" s="4" t="s">
        <v>379</v>
      </c>
      <c r="C7" s="4" t="s">
        <v>280</v>
      </c>
      <c r="D7" s="4" t="s">
        <v>380</v>
      </c>
      <c r="E7" s="128" t="s">
        <v>381</v>
      </c>
      <c r="F7" s="49" t="s">
        <v>420</v>
      </c>
      <c r="G7" s="49"/>
      <c r="H7" s="49" t="s">
        <v>383</v>
      </c>
      <c r="I7" s="4" t="s">
        <v>384</v>
      </c>
      <c r="J7" s="4" t="s">
        <v>385</v>
      </c>
      <c r="K7" s="146" t="s">
        <v>421</v>
      </c>
      <c r="L7" s="146"/>
      <c r="M7" s="4" t="s">
        <v>387</v>
      </c>
      <c r="N7" s="128" t="s">
        <v>388</v>
      </c>
      <c r="O7" s="145"/>
      <c r="P7" s="145"/>
      <c r="Q7" s="155"/>
    </row>
    <row r="8" spans="1:17">
      <c r="B8" s="112" t="str">
        <f>IF($C$2='Data Tables'!$B$16,"Managed Staffing","PMO")</f>
        <v>PMO</v>
      </c>
      <c r="C8" s="39" t="str">
        <f>IF($C$2='Data Tables'!$B$16,"Managed Staffing",IF(Baseline!$D$6="ZBaaS","Pakistan Sr. Project Manager",""))</f>
        <v/>
      </c>
      <c r="D8" s="113">
        <f>IF(Baseline!$D$6="ZBaaS",10,0)</f>
        <v>0</v>
      </c>
      <c r="E8" s="113" t="s">
        <v>389</v>
      </c>
      <c r="F8" s="130"/>
      <c r="G8" s="131">
        <f>IFERROR(IF(E8="Regular",VLOOKUP(C8,Resource_Rates_Table[],3,FALSE),(IF(Startup!E8="OT",VLOOKUP(C8,Resource_Rates_Table[],4,FALSE),IF(E8="Regular/1st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0</v>
      </c>
      <c r="H8" s="132">
        <f t="shared" ref="H8:H27" si="0">D8*G8</f>
        <v>0</v>
      </c>
      <c r="I8" s="141" t="str">
        <f>IF(Baseline!$D$6="ZBaaS","Specified Sell Rate","Specified Margin")</f>
        <v>Specified Margin</v>
      </c>
      <c r="J8" s="144">
        <f>IFERROR(IF(I8="Specified Margin",IFERROR(_xlfn.IFS(ISNUMBER(SEARCH("India",C8))=TRUE,Baseline!$G$6,ISNUMBER(SEARCH("Pakistan",C8))=TRUE,Baseline!$G$7),Baseline!$G$5),(K8-G8)/K8),"TBD")</f>
        <v>0.35</v>
      </c>
      <c r="K8" s="511">
        <f>IFERROR(IF(Baseline!$D$6="ZBaaS",Startup!M8/Startup!D8,IF(I8="Specified Margin",G8/(1-J8),"Enter Sell Rate")),"TBD")</f>
        <v>0</v>
      </c>
      <c r="L8" s="512"/>
      <c r="M8" s="149">
        <f>VLOOKUP(TRUE,'Data Tables'!$N$25:$P$26,3,FALSE)</f>
        <v>0</v>
      </c>
      <c r="N8" s="340"/>
      <c r="O8" s="380"/>
      <c r="P8" s="380"/>
      <c r="Q8" s="341"/>
    </row>
    <row r="9" spans="1:17">
      <c r="B9" s="39"/>
      <c r="C9" s="39"/>
      <c r="D9" s="113">
        <v>0</v>
      </c>
      <c r="E9" s="113" t="s">
        <v>389</v>
      </c>
      <c r="F9" s="130"/>
      <c r="G9" s="131">
        <f>IFERROR(IF(E9="Regular",VLOOKUP(C9,Resource_Rates_Table[],3,FALSE),(IF(Startup!E9="OT",VLOOKUP(C9,Resource_Rates_Table[],4,FALSE),IF(E9="Regular/1st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0</v>
      </c>
      <c r="H9" s="62">
        <f t="shared" si="0"/>
        <v>0</v>
      </c>
      <c r="I9" s="141" t="s">
        <v>390</v>
      </c>
      <c r="J9" s="144">
        <f>IFERROR(IF(I9="Specified Margin",IFERROR(_xlfn.IFS(ISNUMBER(SEARCH("India",C9))=TRUE,Baseline!$G$6,ISNUMBER(SEARCH("Pakistan",C9))=TRUE,Baseline!$G$7),Baseline!$G$5),(K9-G9)/K9),"TBD")</f>
        <v>0.35</v>
      </c>
      <c r="K9" s="511">
        <f>IFERROR(IF(I9="Specified Margin",G9/(1-J9),"Enter Sell Rate"),"TBD")</f>
        <v>0</v>
      </c>
      <c r="L9" s="512"/>
      <c r="M9" s="149">
        <f>IFERROR(D9*K9,"TBD")</f>
        <v>0</v>
      </c>
      <c r="N9" s="116"/>
      <c r="O9" s="117"/>
      <c r="P9" s="117"/>
      <c r="Q9" s="118"/>
    </row>
    <row r="10" spans="1:17">
      <c r="B10" s="39"/>
      <c r="C10" s="39"/>
      <c r="D10" s="113">
        <v>0</v>
      </c>
      <c r="E10" s="113" t="s">
        <v>389</v>
      </c>
      <c r="F10" s="130"/>
      <c r="G10" s="131">
        <f>IFERROR(IF(E10="Regular",VLOOKUP(C10,Resource_Rates_Table[],3,FALSE),(IF(Startup!E10="OT",VLOOKUP(C10,Resource_Rates_Table[],4,FALSE),IF(E10="Regular/1st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0</v>
      </c>
      <c r="H10" s="62">
        <f t="shared" si="0"/>
        <v>0</v>
      </c>
      <c r="I10" s="141" t="s">
        <v>390</v>
      </c>
      <c r="J10" s="144" cm="1">
        <f t="array" ref="J10">IFERROR(IF(I10="Specified Margin",IFERROR(_xlfn.IFS(ISNUMBER(SEARCH("India",C10))=TRUE,Baseline!$G$6,ISNUMBER(SEARCH("Pakistan",C10))=TRUE,Baseline!$G$7),Baseline!$G$5),(K10-G10)/K10),"TBD")</f>
        <v>0.35</v>
      </c>
      <c r="K10" s="511">
        <f t="shared" ref="K10:K27" si="1">IFERROR(IF(I10="Specified Margin",G10/(1-J10),"Enter Sell Rate"),"TBD")</f>
        <v>0</v>
      </c>
      <c r="L10" s="512"/>
      <c r="M10" s="149">
        <f t="shared" ref="M10:M27" si="2">IFERROR(D10*K10,"TBD")</f>
        <v>0</v>
      </c>
      <c r="N10" s="116"/>
      <c r="O10" s="117"/>
      <c r="P10" s="117"/>
      <c r="Q10" s="118"/>
    </row>
    <row r="11" spans="1:17">
      <c r="B11" s="39"/>
      <c r="C11" s="39"/>
      <c r="D11" s="113">
        <v>0</v>
      </c>
      <c r="E11" s="113" t="s">
        <v>389</v>
      </c>
      <c r="F11" s="130"/>
      <c r="G11" s="131">
        <f>IFERROR(IF(E11="Regular",VLOOKUP(C11,Resource_Rates_Table[],3,FALSE),(IF(Startup!E11="OT",VLOOKUP(C11,Resource_Rates_Table[],4,FALSE),IF(E11="Regular/1st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0</v>
      </c>
      <c r="H11" s="62">
        <f t="shared" si="0"/>
        <v>0</v>
      </c>
      <c r="I11" s="141" t="s">
        <v>390</v>
      </c>
      <c r="J11" s="144" cm="1">
        <f t="array" ref="J11">IFERROR(IF(I11="Specified Margin",IFERROR(_xlfn.IFS(ISNUMBER(SEARCH("India",C11))=TRUE,Baseline!$G$6,ISNUMBER(SEARCH("Pakistan",C11))=TRUE,Baseline!$G$7),Baseline!$G$5),(K11-G11)/K11),"TBD")</f>
        <v>0.35</v>
      </c>
      <c r="K11" s="511">
        <f t="shared" si="1"/>
        <v>0</v>
      </c>
      <c r="L11" s="512"/>
      <c r="M11" s="149">
        <f t="shared" si="2"/>
        <v>0</v>
      </c>
      <c r="N11" s="116"/>
      <c r="O11" s="117"/>
      <c r="P11" s="117"/>
      <c r="Q11" s="118"/>
    </row>
    <row r="12" spans="1:17">
      <c r="B12" s="39"/>
      <c r="C12" s="39"/>
      <c r="D12" s="113">
        <v>0</v>
      </c>
      <c r="E12" s="113" t="s">
        <v>389</v>
      </c>
      <c r="F12" s="130"/>
      <c r="G12" s="131">
        <f>IFERROR(IF(E12="Regular",VLOOKUP(C12,Resource_Rates_Table[],3,FALSE),(IF(Startup!E12="OT",VLOOKUP(C12,Resource_Rates_Table[],4,FALSE),IF(E12="Regular/1st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 t="shared" si="0"/>
        <v>0</v>
      </c>
      <c r="I12" s="141" t="s">
        <v>390</v>
      </c>
      <c r="J12" s="144" cm="1">
        <f t="array" ref="J12">IFERROR(IF(I12="Specified Margin",IFERROR(_xlfn.IFS(ISNUMBER(SEARCH("India",C12))=TRUE,Baseline!$G$6,ISNUMBER(SEARCH("Pakistan",C12))=TRUE,Baseline!$G$7),Baseline!$G$5),(K12-G12)/K12),"TBD")</f>
        <v>0.35</v>
      </c>
      <c r="K12" s="511">
        <f t="shared" si="1"/>
        <v>0</v>
      </c>
      <c r="L12" s="512"/>
      <c r="M12" s="149">
        <f t="shared" si="2"/>
        <v>0</v>
      </c>
      <c r="N12" s="116"/>
      <c r="O12" s="117"/>
      <c r="P12" s="117"/>
      <c r="Q12" s="118"/>
    </row>
    <row r="13" spans="1:17">
      <c r="B13" s="39"/>
      <c r="C13" s="39"/>
      <c r="D13" s="113">
        <v>0</v>
      </c>
      <c r="E13" s="113" t="s">
        <v>389</v>
      </c>
      <c r="F13" s="130"/>
      <c r="G13" s="131">
        <f>IFERROR(IF(E13="Regular",VLOOKUP(C13,Resource_Rates_Table[],3,FALSE),(IF(Startup!E13="OT",VLOOKUP(C13,Resource_Rates_Table[],4,FALSE),IF(E13="Regular/1st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si="0"/>
        <v>0</v>
      </c>
      <c r="I13" s="141" t="s">
        <v>390</v>
      </c>
      <c r="J13" s="144" cm="1">
        <f t="array" ref="J13">IFERROR(IF(I13="Specified Margin",IFERROR(_xlfn.IFS(ISNUMBER(SEARCH("India",C13))=TRUE,Baseline!$G$6,ISNUMBER(SEARCH("Pakistan",C13))=TRUE,Baseline!$G$7),Baseline!$G$5),(K13-G13)/K13),"TBD")</f>
        <v>0.35</v>
      </c>
      <c r="K13" s="511">
        <f t="shared" si="1"/>
        <v>0</v>
      </c>
      <c r="L13" s="512"/>
      <c r="M13" s="149">
        <f t="shared" si="2"/>
        <v>0</v>
      </c>
      <c r="N13" s="116"/>
      <c r="O13" s="117"/>
      <c r="P13" s="117"/>
      <c r="Q13" s="118"/>
    </row>
    <row r="14" spans="1:17">
      <c r="B14" s="39"/>
      <c r="C14" s="39"/>
      <c r="D14" s="113">
        <v>0</v>
      </c>
      <c r="E14" s="113" t="s">
        <v>389</v>
      </c>
      <c r="F14" s="130"/>
      <c r="G14" s="131">
        <f>IFERROR(IF(E14="Regular",VLOOKUP(C14,Resource_Rates_Table[],3,FALSE),(IF(Startup!E14="OT",VLOOKUP(C14,Resource_Rates_Table[],4,FALSE),IF(E14="Regular/1st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0"/>
        <v>0</v>
      </c>
      <c r="I14" s="141" t="s">
        <v>390</v>
      </c>
      <c r="J14" s="144" cm="1">
        <f t="array" ref="J14">IFERROR(IF(I14="Specified Margin",IFERROR(_xlfn.IFS(ISNUMBER(SEARCH("India",C14))=TRUE,Baseline!$G$6,ISNUMBER(SEARCH("Pakistan",C14))=TRUE,Baseline!$G$7),Baseline!$G$5),(K14-G14)/K14),"TBD")</f>
        <v>0.35</v>
      </c>
      <c r="K14" s="511">
        <f t="shared" si="1"/>
        <v>0</v>
      </c>
      <c r="L14" s="512"/>
      <c r="M14" s="149">
        <f t="shared" si="2"/>
        <v>0</v>
      </c>
      <c r="N14" s="116"/>
      <c r="O14" s="117"/>
      <c r="P14" s="117"/>
      <c r="Q14" s="118"/>
    </row>
    <row r="15" spans="1:17">
      <c r="B15" s="39"/>
      <c r="C15" s="39"/>
      <c r="D15" s="113">
        <v>0</v>
      </c>
      <c r="E15" s="113" t="s">
        <v>389</v>
      </c>
      <c r="F15" s="130"/>
      <c r="G15" s="131">
        <f>IFERROR(IF(E15="Regular",VLOOKUP(C15,Resource_Rates_Table[],3,FALSE),(IF(Startup!E15="OT",VLOOKUP(C15,Resource_Rates_Table[],4,FALSE),IF(E15="Regular/1st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0"/>
        <v>0</v>
      </c>
      <c r="I15" s="141" t="s">
        <v>390</v>
      </c>
      <c r="J15" s="144" cm="1">
        <f t="array" ref="J15">IFERROR(IF(I15="Specified Margin",IFERROR(_xlfn.IFS(ISNUMBER(SEARCH("India",C15))=TRUE,Baseline!$G$6,ISNUMBER(SEARCH("Pakistan",C15))=TRUE,Baseline!$G$7),Baseline!$G$5),(K15-G15)/K15),"TBD")</f>
        <v>0.35</v>
      </c>
      <c r="K15" s="511">
        <f t="shared" si="1"/>
        <v>0</v>
      </c>
      <c r="L15" s="512"/>
      <c r="M15" s="149">
        <f t="shared" si="2"/>
        <v>0</v>
      </c>
      <c r="N15" s="116"/>
      <c r="O15" s="117"/>
      <c r="P15" s="117"/>
      <c r="Q15" s="118"/>
    </row>
    <row r="16" spans="1:17">
      <c r="B16" s="39"/>
      <c r="C16" s="39"/>
      <c r="D16" s="113">
        <v>0</v>
      </c>
      <c r="E16" s="113" t="s">
        <v>389</v>
      </c>
      <c r="F16" s="130"/>
      <c r="G16" s="131">
        <f>IFERROR(IF(E16="Regular",VLOOKUP(C16,Resource_Rates_Table[],3,FALSE),(IF(Startup!E16="OT",VLOOKUP(C16,Resource_Rates_Table[],4,FALSE),IF(E16="Regular/1st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0"/>
        <v>0</v>
      </c>
      <c r="I16" s="141" t="s">
        <v>390</v>
      </c>
      <c r="J16" s="144" cm="1">
        <f t="array" ref="J16">IFERROR(IF(I16="Specified Margin",IFERROR(_xlfn.IFS(ISNUMBER(SEARCH("India",C16))=TRUE,Baseline!$G$6,ISNUMBER(SEARCH("Pakistan",C16))=TRUE,Baseline!$G$7),Baseline!$G$5),(K16-G16)/K16),"TBD")</f>
        <v>0.35</v>
      </c>
      <c r="K16" s="511">
        <f t="shared" si="1"/>
        <v>0</v>
      </c>
      <c r="L16" s="512"/>
      <c r="M16" s="149">
        <f t="shared" si="2"/>
        <v>0</v>
      </c>
      <c r="N16" s="116"/>
      <c r="O16" s="117"/>
      <c r="P16" s="117"/>
      <c r="Q16" s="118"/>
    </row>
    <row r="17" spans="2:17">
      <c r="B17" s="39"/>
      <c r="C17" s="39"/>
      <c r="D17" s="113">
        <v>0</v>
      </c>
      <c r="E17" s="113" t="s">
        <v>389</v>
      </c>
      <c r="F17" s="130"/>
      <c r="G17" s="131">
        <f>IFERROR(IF(E17="Regular",VLOOKUP(C17,Resource_Rates_Table[],3,FALSE),(IF(Startup!E17="OT",VLOOKUP(C17,Resource_Rates_Table[],4,FALSE),IF(E17="Regular/1st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0"/>
        <v>0</v>
      </c>
      <c r="I17" s="141" t="s">
        <v>390</v>
      </c>
      <c r="J17" s="144" cm="1">
        <f t="array" ref="J17">IFERROR(IF(I17="Specified Margin",IFERROR(_xlfn.IFS(ISNUMBER(SEARCH("India",C17))=TRUE,Baseline!$G$6,ISNUMBER(SEARCH("Pakistan",C17))=TRUE,Baseline!$G$7),Baseline!$G$5),(K17-G17)/K17),"TBD")</f>
        <v>0.35</v>
      </c>
      <c r="K17" s="511">
        <f t="shared" si="1"/>
        <v>0</v>
      </c>
      <c r="L17" s="512"/>
      <c r="M17" s="149">
        <f t="shared" si="2"/>
        <v>0</v>
      </c>
      <c r="N17" s="116"/>
      <c r="O17" s="117"/>
      <c r="P17" s="117"/>
      <c r="Q17" s="118"/>
    </row>
    <row r="18" spans="2:17">
      <c r="B18" s="39"/>
      <c r="C18" s="39"/>
      <c r="D18" s="113">
        <v>0</v>
      </c>
      <c r="E18" s="113" t="s">
        <v>389</v>
      </c>
      <c r="F18" s="130"/>
      <c r="G18" s="131">
        <f>IFERROR(IF(E18="Regular",VLOOKUP(C18,Resource_Rates_Table[],3,FALSE),(IF(Startup!E18="OT",VLOOKUP(C18,Resource_Rates_Table[],4,FALSE),IF(E18="Regular/1st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0"/>
        <v>0</v>
      </c>
      <c r="I18" s="141" t="s">
        <v>390</v>
      </c>
      <c r="J18" s="144" cm="1">
        <f t="array" ref="J18">IFERROR(IF(I18="Specified Margin",IFERROR(_xlfn.IFS(ISNUMBER(SEARCH("India",C18))=TRUE,Baseline!$G$6,ISNUMBER(SEARCH("Pakistan",C18))=TRUE,Baseline!$G$7),Baseline!$G$5),(K18-G18)/K18),"TBD")</f>
        <v>0.35</v>
      </c>
      <c r="K18" s="511">
        <f t="shared" si="1"/>
        <v>0</v>
      </c>
      <c r="L18" s="512"/>
      <c r="M18" s="149">
        <f t="shared" si="2"/>
        <v>0</v>
      </c>
      <c r="N18" s="116"/>
      <c r="O18" s="117"/>
      <c r="P18" s="117"/>
      <c r="Q18" s="118"/>
    </row>
    <row r="19" spans="2:17">
      <c r="B19" s="39"/>
      <c r="C19" s="39"/>
      <c r="D19" s="113">
        <v>0</v>
      </c>
      <c r="E19" s="113" t="s">
        <v>389</v>
      </c>
      <c r="F19" s="130"/>
      <c r="G19" s="131">
        <f>IFERROR(IF(E19="Regular",VLOOKUP(C19,Resource_Rates_Table[],3,FALSE),(IF(Startup!E19="OT",VLOOKUP(C19,Resource_Rates_Table[],4,FALSE),IF(E19="Regular/1st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0"/>
        <v>0</v>
      </c>
      <c r="I19" s="141" t="s">
        <v>390</v>
      </c>
      <c r="J19" s="144" cm="1">
        <f t="array" ref="J19">IFERROR(IF(I19="Specified Margin",IFERROR(_xlfn.IFS(ISNUMBER(SEARCH("India",C19))=TRUE,Baseline!$G$6,ISNUMBER(SEARCH("Pakistan",C19))=TRUE,Baseline!$G$7),Baseline!$G$5),(K19-G19)/K19),"TBD")</f>
        <v>0.35</v>
      </c>
      <c r="K19" s="511">
        <f t="shared" si="1"/>
        <v>0</v>
      </c>
      <c r="L19" s="512"/>
      <c r="M19" s="149">
        <f t="shared" si="2"/>
        <v>0</v>
      </c>
      <c r="N19" s="116"/>
      <c r="O19" s="117"/>
      <c r="P19" s="117"/>
      <c r="Q19" s="118"/>
    </row>
    <row r="20" spans="2:17">
      <c r="B20" s="39"/>
      <c r="C20" s="39"/>
      <c r="D20" s="113">
        <v>0</v>
      </c>
      <c r="E20" s="113" t="s">
        <v>389</v>
      </c>
      <c r="F20" s="130"/>
      <c r="G20" s="131">
        <f>IFERROR(IF(E20="Regular",VLOOKUP(C20,Resource_Rates_Table[],3,FALSE),(IF(Startup!E20="OT",VLOOKUP(C20,Resource_Rates_Table[],4,FALSE),IF(E20="Regular/1st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0"/>
        <v>0</v>
      </c>
      <c r="I20" s="141" t="s">
        <v>390</v>
      </c>
      <c r="J20" s="144" cm="1">
        <f t="array" ref="J20">IFERROR(IF(I20="Specified Margin",IFERROR(_xlfn.IFS(ISNUMBER(SEARCH("India",C20))=TRUE,Baseline!$G$6,ISNUMBER(SEARCH("Pakistan",C20))=TRUE,Baseline!$G$7),Baseline!$G$5),(K20-G20)/K20),"TBD")</f>
        <v>0.35</v>
      </c>
      <c r="K20" s="511">
        <f t="shared" si="1"/>
        <v>0</v>
      </c>
      <c r="L20" s="512"/>
      <c r="M20" s="149">
        <f t="shared" si="2"/>
        <v>0</v>
      </c>
      <c r="N20" s="116"/>
      <c r="O20" s="117"/>
      <c r="P20" s="117"/>
      <c r="Q20" s="118"/>
    </row>
    <row r="21" spans="2:17">
      <c r="B21" s="39"/>
      <c r="C21" s="39"/>
      <c r="D21" s="113">
        <v>0</v>
      </c>
      <c r="E21" s="113" t="s">
        <v>389</v>
      </c>
      <c r="F21" s="130"/>
      <c r="G21" s="131">
        <f>IFERROR(IF(E21="Regular",VLOOKUP(C21,Resource_Rates_Table[],3,FALSE),(IF(Startup!E21="OT",VLOOKUP(C21,Resource_Rates_Table[],4,FALSE),IF(E21="Regular/1st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0"/>
        <v>0</v>
      </c>
      <c r="I21" s="141" t="s">
        <v>390</v>
      </c>
      <c r="J21" s="144" cm="1">
        <f t="array" ref="J21">IFERROR(IF(I21="Specified Margin",IFERROR(_xlfn.IFS(ISNUMBER(SEARCH("India",C21))=TRUE,Baseline!$G$6,ISNUMBER(SEARCH("Pakistan",C21))=TRUE,Baseline!$G$7),Baseline!$G$5),(K21-G21)/K21),"TBD")</f>
        <v>0.35</v>
      </c>
      <c r="K21" s="511">
        <f t="shared" si="1"/>
        <v>0</v>
      </c>
      <c r="L21" s="512"/>
      <c r="M21" s="149">
        <f t="shared" si="2"/>
        <v>0</v>
      </c>
      <c r="N21" s="116"/>
      <c r="O21" s="117"/>
      <c r="P21" s="117"/>
      <c r="Q21" s="118"/>
    </row>
    <row r="22" spans="2:17">
      <c r="B22" s="39"/>
      <c r="C22" s="39"/>
      <c r="D22" s="113">
        <v>0</v>
      </c>
      <c r="E22" s="113" t="s">
        <v>389</v>
      </c>
      <c r="F22" s="130"/>
      <c r="G22" s="131">
        <f>IFERROR(IF(E22="Regular",VLOOKUP(C22,Resource_Rates_Table[],3,FALSE),(IF(Startup!E22="OT",VLOOKUP(C22,Resource_Rates_Table[],4,FALSE),IF(E22="Regular/1st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si="0"/>
        <v>0</v>
      </c>
      <c r="I22" s="141" t="s">
        <v>390</v>
      </c>
      <c r="J22" s="144" cm="1">
        <f t="array" ref="J22">IFERROR(IF(I22="Specified Margin",IFERROR(_xlfn.IFS(ISNUMBER(SEARCH("India",C22))=TRUE,Baseline!$G$6,ISNUMBER(SEARCH("Pakistan",C22))=TRUE,Baseline!$G$7),Baseline!$G$5),(K22-G22)/K22),"TBD")</f>
        <v>0.35</v>
      </c>
      <c r="K22" s="511">
        <f>IFERROR(IF(I22="Specified Margin",G22/(1-J22),"Enter Sell Rate"),"TBD")</f>
        <v>0</v>
      </c>
      <c r="L22" s="512"/>
      <c r="M22" s="149">
        <f t="shared" si="2"/>
        <v>0</v>
      </c>
      <c r="N22" s="116"/>
      <c r="O22" s="117"/>
      <c r="P22" s="117"/>
      <c r="Q22" s="118"/>
    </row>
    <row r="23" spans="2:17">
      <c r="B23" s="39"/>
      <c r="C23" s="39"/>
      <c r="D23" s="113">
        <v>0</v>
      </c>
      <c r="E23" s="113" t="s">
        <v>389</v>
      </c>
      <c r="F23" s="130"/>
      <c r="G23" s="131">
        <f>IFERROR(IF(E23="Regular",VLOOKUP(C23,Resource_Rates_Table[],3,FALSE),(IF(Startup!E23="OT",VLOOKUP(C23,Resource_Rates_Table[],4,FALSE),IF(E23="Regular/1st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0"/>
        <v>0</v>
      </c>
      <c r="I23" s="141" t="s">
        <v>390</v>
      </c>
      <c r="J23" s="144" cm="1">
        <f t="array" ref="J23">IFERROR(IF(I23="Specified Margin",IFERROR(_xlfn.IFS(ISNUMBER(SEARCH("India",C23))=TRUE,Baseline!$G$6,ISNUMBER(SEARCH("Pakistan",C23))=TRUE,Baseline!$G$7),Baseline!$G$5),(K23-G23)/K23),"TBD")</f>
        <v>0.35</v>
      </c>
      <c r="K23" s="511">
        <f t="shared" si="1"/>
        <v>0</v>
      </c>
      <c r="L23" s="512"/>
      <c r="M23" s="149">
        <f t="shared" si="2"/>
        <v>0</v>
      </c>
      <c r="N23" s="116"/>
      <c r="O23" s="117"/>
      <c r="P23" s="117"/>
      <c r="Q23" s="118"/>
    </row>
    <row r="24" spans="2:17">
      <c r="B24" s="39"/>
      <c r="C24" s="39"/>
      <c r="D24" s="113">
        <v>0</v>
      </c>
      <c r="E24" s="113" t="s">
        <v>389</v>
      </c>
      <c r="F24" s="133"/>
      <c r="G24" s="131">
        <f>IFERROR(IF(E24="Regular",VLOOKUP(C24,Resource_Rates_Table[],3,FALSE),(IF(Startup!E24="OT",VLOOKUP(C24,Resource_Rates_Table[],4,FALSE),IF(E24="Regular/1st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0"/>
        <v>0</v>
      </c>
      <c r="I24" s="141" t="s">
        <v>390</v>
      </c>
      <c r="J24" s="144" cm="1">
        <f t="array" ref="J24">IFERROR(IF(I24="Specified Margin",IFERROR(_xlfn.IFS(ISNUMBER(SEARCH("India",C24))=TRUE,Baseline!$G$6,ISNUMBER(SEARCH("Pakistan",C24))=TRUE,Baseline!$G$7),Baseline!$G$5),(K24-G24)/K24),"TBD")</f>
        <v>0.35</v>
      </c>
      <c r="K24" s="511">
        <f t="shared" si="1"/>
        <v>0</v>
      </c>
      <c r="L24" s="512"/>
      <c r="M24" s="149">
        <f t="shared" si="2"/>
        <v>0</v>
      </c>
      <c r="N24" s="340"/>
      <c r="O24" s="380"/>
      <c r="P24" s="380"/>
      <c r="Q24" s="341"/>
    </row>
    <row r="25" spans="2:17">
      <c r="B25" s="39"/>
      <c r="C25" s="39"/>
      <c r="D25" s="113">
        <v>0</v>
      </c>
      <c r="E25" s="113" t="s">
        <v>389</v>
      </c>
      <c r="F25" s="133"/>
      <c r="G25" s="131">
        <f>IFERROR(IF(E25="Regular",VLOOKUP(C25,Resource_Rates_Table[],3,FALSE),(IF(Startup!E25="OT",VLOOKUP(C25,Resource_Rates_Table[],4,FALSE),IF(E25="Regular/1st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0"/>
        <v>0</v>
      </c>
      <c r="I25" s="141" t="s">
        <v>390</v>
      </c>
      <c r="J25" s="144" cm="1">
        <f t="array" ref="J25">IFERROR(IF(I25="Specified Margin",IFERROR(_xlfn.IFS(ISNUMBER(SEARCH("India",C25))=TRUE,Baseline!$G$6,ISNUMBER(SEARCH("Pakistan",C25))=TRUE,Baseline!$G$7),Baseline!$G$5),(K25-G25)/K25),"TBD")</f>
        <v>0.35</v>
      </c>
      <c r="K25" s="511">
        <f t="shared" si="1"/>
        <v>0</v>
      </c>
      <c r="L25" s="512"/>
      <c r="M25" s="149">
        <f t="shared" si="2"/>
        <v>0</v>
      </c>
      <c r="N25" s="340"/>
      <c r="O25" s="380"/>
      <c r="P25" s="380"/>
      <c r="Q25" s="341"/>
    </row>
    <row r="26" spans="2:17">
      <c r="B26" s="39"/>
      <c r="C26" s="39"/>
      <c r="D26" s="113">
        <v>0</v>
      </c>
      <c r="E26" s="113" t="s">
        <v>389</v>
      </c>
      <c r="F26" s="133"/>
      <c r="G26" s="131">
        <f>IFERROR(IF(E26="Regular",VLOOKUP(C26,Resource_Rates_Table[],3,FALSE),(IF(Startup!E26="OT",VLOOKUP(C26,Resource_Rates_Table[],4,FALSE),IF(E26="Regular/1st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0"/>
        <v>0</v>
      </c>
      <c r="I26" s="141" t="s">
        <v>390</v>
      </c>
      <c r="J26" s="144" cm="1">
        <f t="array" ref="J26">IFERROR(IF(I26="Specified Margin",IFERROR(_xlfn.IFS(ISNUMBER(SEARCH("India",C26))=TRUE,Baseline!$G$6,ISNUMBER(SEARCH("Pakistan",C26))=TRUE,Baseline!$G$7),Baseline!$G$5),(K26-G26)/K26),"TBD")</f>
        <v>0.35</v>
      </c>
      <c r="K26" s="511">
        <f t="shared" si="1"/>
        <v>0</v>
      </c>
      <c r="L26" s="512"/>
      <c r="M26" s="149">
        <f t="shared" si="2"/>
        <v>0</v>
      </c>
      <c r="N26" s="340"/>
      <c r="O26" s="380"/>
      <c r="P26" s="380"/>
      <c r="Q26" s="341"/>
    </row>
    <row r="27" spans="2:17">
      <c r="B27" s="39"/>
      <c r="C27" s="39"/>
      <c r="D27" s="113">
        <v>0</v>
      </c>
      <c r="E27" s="113" t="s">
        <v>389</v>
      </c>
      <c r="F27" s="133"/>
      <c r="G27" s="131">
        <f>IFERROR(IF(E27="Regular",VLOOKUP(C27,Resource_Rates_Table[],3,FALSE),(IF(Startup!E27="OT",VLOOKUP(C27,Resource_Rates_Table[],4,FALSE),IF(E27="Regular/1st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0"/>
        <v>0</v>
      </c>
      <c r="I27" s="141" t="s">
        <v>390</v>
      </c>
      <c r="J27" s="144" cm="1">
        <f t="array" ref="J27">IFERROR(IF(I27="Specified Margin",IFERROR(_xlfn.IFS(ISNUMBER(SEARCH("India",C27))=TRUE,Baseline!$G$6,ISNUMBER(SEARCH("Pakistan",C27))=TRUE,Baseline!$G$7),Baseline!$G$5),(K27-G27)/K27),"TBD")</f>
        <v>0.35</v>
      </c>
      <c r="K27" s="511">
        <f t="shared" si="1"/>
        <v>0</v>
      </c>
      <c r="L27" s="512"/>
      <c r="M27" s="149">
        <f t="shared" si="2"/>
        <v>0</v>
      </c>
      <c r="N27" s="340"/>
      <c r="O27" s="380"/>
      <c r="P27" s="380"/>
      <c r="Q27" s="341"/>
    </row>
    <row r="28" spans="2:17">
      <c r="B28" s="6"/>
      <c r="C28" s="6" t="s">
        <v>391</v>
      </c>
      <c r="D28" s="134">
        <f>SUM(D8:D27)</f>
        <v>0</v>
      </c>
      <c r="E28" s="135"/>
      <c r="F28" s="135"/>
      <c r="G28" s="136" t="str">
        <f>IF(C3="Project",C2&amp;" Resource Cost:",C2&amp;" Per Unit Resource Cost:")</f>
        <v>Startup Resource Cost:</v>
      </c>
      <c r="H28" s="137">
        <f>SUM(H8:H27)</f>
        <v>0</v>
      </c>
      <c r="I28" s="137" t="s">
        <v>392</v>
      </c>
      <c r="J28" s="152" t="str">
        <f>IFERROR((M28-H28)/M28,"TBD")</f>
        <v>TBD</v>
      </c>
      <c r="K28" s="148"/>
      <c r="L28" s="147" t="s">
        <v>393</v>
      </c>
      <c r="M28" s="137">
        <f>SUM(M8:M27)</f>
        <v>0</v>
      </c>
      <c r="N28" s="135"/>
      <c r="O28" s="135"/>
      <c r="P28" s="135"/>
      <c r="Q28" s="135"/>
    </row>
    <row r="29" spans="2:17">
      <c r="D29" s="119"/>
    </row>
    <row r="30" spans="2:17">
      <c r="B30" s="7" t="str">
        <f>C2&amp;" Partner Cost Factors:"</f>
        <v>Startup Partner Cost Factors:</v>
      </c>
      <c r="C30" s="7"/>
      <c r="D30" s="126"/>
      <c r="E30" s="126"/>
      <c r="F30" s="126"/>
      <c r="G30" s="126"/>
      <c r="H30" s="126"/>
      <c r="I30" s="126"/>
      <c r="J30" s="126"/>
      <c r="K30" s="126"/>
      <c r="L30" s="126"/>
      <c r="M30" s="126"/>
      <c r="N30" s="126"/>
      <c r="O30" s="126"/>
      <c r="P30" s="126"/>
      <c r="Q30" s="127"/>
    </row>
    <row r="31" spans="2:17">
      <c r="B31" s="4" t="s">
        <v>394</v>
      </c>
      <c r="C31" s="4" t="s">
        <v>395</v>
      </c>
      <c r="D31" s="4" t="s">
        <v>396</v>
      </c>
      <c r="E31" s="128" t="s">
        <v>381</v>
      </c>
      <c r="F31" s="128" t="s">
        <v>422</v>
      </c>
      <c r="G31" s="49"/>
      <c r="H31" s="49" t="s">
        <v>398</v>
      </c>
      <c r="I31" s="4" t="s">
        <v>384</v>
      </c>
      <c r="J31" s="4" t="s">
        <v>385</v>
      </c>
      <c r="K31" s="513" t="s">
        <v>399</v>
      </c>
      <c r="L31" s="514"/>
      <c r="M31" s="4" t="s">
        <v>400</v>
      </c>
      <c r="N31" s="381" t="s">
        <v>401</v>
      </c>
      <c r="O31" s="382"/>
      <c r="P31" s="382"/>
      <c r="Q31" s="383"/>
    </row>
    <row r="32" spans="2:17">
      <c r="B32" s="39"/>
      <c r="C32" s="39" t="str">
        <f>IF(B32="Field Nation",'Resource Descriptions'!$D$116,IF(B32="Partner",'Resource Descriptions'!$D$120,""))</f>
        <v/>
      </c>
      <c r="D32" s="113">
        <v>0</v>
      </c>
      <c r="E32" s="113" t="s">
        <v>389</v>
      </c>
      <c r="F32" s="150"/>
      <c r="G32" s="114">
        <f>IFERROR(IF(B32="Partner","Enter Partner Price",IF(B32="Field Nation",IF(E32="Regular",VLOOKUP(C32,'Resource Descriptions'!$D$116:$I$119,3,FALSE),IF(E32="OT",VLOOKUP(C32,'Resource Descriptions'!$D$116:$I$119,4,FALSE),0)),0)),0)</f>
        <v>0</v>
      </c>
      <c r="H32" s="53">
        <f t="shared" ref="H32:H37" si="3">IFERROR(D32*G32,"TBD")</f>
        <v>0</v>
      </c>
      <c r="I32" s="141" t="s">
        <v>390</v>
      </c>
      <c r="J32" s="144">
        <f>IFERROR(IF(I32="Specified Margin",Baseline!$G$8,(K32-G32)/K32),"TBD")</f>
        <v>0.3</v>
      </c>
      <c r="K32" s="511">
        <f>IFERROR(IF(I32="Specified Margin",G32/(1-J32),"Enter Sell Rate"),"TBD")</f>
        <v>0</v>
      </c>
      <c r="L32" s="512"/>
      <c r="M32" s="160">
        <f>IFERROR(D32*K32,"TBD")</f>
        <v>0</v>
      </c>
      <c r="N32" s="340"/>
      <c r="O32" s="380"/>
      <c r="P32" s="380"/>
      <c r="Q32" s="341"/>
    </row>
    <row r="33" spans="2:17">
      <c r="B33" s="39"/>
      <c r="C33" s="39" t="str">
        <f>IF(B33="Field Nation",'Resource Descriptions'!$D$116,IF(B33="Partner",'Resource Descriptions'!$D$120,""))</f>
        <v/>
      </c>
      <c r="D33" s="113">
        <v>0</v>
      </c>
      <c r="E33" s="113" t="s">
        <v>389</v>
      </c>
      <c r="F33" s="115"/>
      <c r="G33" s="114">
        <f>IFERROR(IF(B33="Partner","Enter Partner Price",IF(B33="Field Nation",IF(E33="Regular",VLOOKUP(C33,'Resource Descriptions'!$D$116:$I$119,3,FALSE),IF(E33="OT",VLOOKUP(C33,'Resource Descriptions'!$D$116:$I$119,4,FALSE),0)),0)),0)</f>
        <v>0</v>
      </c>
      <c r="H33" s="53">
        <f>IFERROR(D33*G33,"TBD")</f>
        <v>0</v>
      </c>
      <c r="I33" s="141" t="s">
        <v>390</v>
      </c>
      <c r="J33" s="144">
        <f>IFERROR(IF(I33="Specified Margin",Baseline!$G$8,(K33-G33)/K33),"TBD")</f>
        <v>0.3</v>
      </c>
      <c r="K33" s="511">
        <f t="shared" ref="K33:K39" si="4">IFERROR(IF(I33="Specified Margin",G33/(1-J33),"Enter Sell Rate"),"TBD")</f>
        <v>0</v>
      </c>
      <c r="L33" s="512"/>
      <c r="M33" s="160">
        <f>IFERROR(D33*K33,"TBD")</f>
        <v>0</v>
      </c>
      <c r="N33" s="116"/>
      <c r="O33" s="117"/>
      <c r="P33" s="117"/>
      <c r="Q33" s="118"/>
    </row>
    <row r="34" spans="2:17">
      <c r="B34" s="39"/>
      <c r="C34" s="39" t="str">
        <f>IF(B34="Field Nation",'Resource Descriptions'!$D$116,IF(B34="Partner",'Resource Descriptions'!$D$120,""))</f>
        <v/>
      </c>
      <c r="D34" s="113">
        <v>0</v>
      </c>
      <c r="E34" s="113" t="s">
        <v>389</v>
      </c>
      <c r="F34" s="115"/>
      <c r="G34" s="114">
        <f>IFERROR(IF(B34="Partner","Enter Partner Price",IF(B34="Field Nation",IF(E34="Regular",VLOOKUP(C34,'Resource Descriptions'!$D$116:$I$119,3,FALSE),IF(E34="OT",VLOOKUP(C34,'Resource Descriptions'!$D$116:$I$119,4,FALSE),0)),0)),0)</f>
        <v>0</v>
      </c>
      <c r="H34" s="53">
        <f>IFERROR(D34*G34,"TBD")</f>
        <v>0</v>
      </c>
      <c r="I34" s="141" t="s">
        <v>390</v>
      </c>
      <c r="J34" s="144">
        <f>IFERROR(IF(I34="Specified Margin",Baseline!$G$8,(K34-G34)/K34),"TBD")</f>
        <v>0.3</v>
      </c>
      <c r="K34" s="511">
        <f t="shared" si="4"/>
        <v>0</v>
      </c>
      <c r="L34" s="512"/>
      <c r="M34" s="160">
        <f>IFERROR(D34*K34,"TBD")</f>
        <v>0</v>
      </c>
      <c r="N34" s="116"/>
      <c r="O34" s="117"/>
      <c r="P34" s="117"/>
      <c r="Q34" s="118"/>
    </row>
    <row r="35" spans="2:17">
      <c r="B35" s="39"/>
      <c r="C35" s="39" t="str">
        <f>IF(B35="Field Nation",'Resource Descriptions'!$D$116,IF(B35="Partner",'Resource Descriptions'!$D$120,""))</f>
        <v/>
      </c>
      <c r="D35" s="113">
        <v>0</v>
      </c>
      <c r="E35" s="113" t="s">
        <v>389</v>
      </c>
      <c r="F35" s="115"/>
      <c r="G35" s="114">
        <f>IFERROR(IF(B35="Partner","Enter Partner Price",IF(B35="Field Nation",IF(E35="Regular",VLOOKUP(C35,'Resource Descriptions'!$D$116:$I$119,3,FALSE),IF(E35="OT",VLOOKUP(C35,'Resource Descriptions'!$D$116:$I$119,4,FALSE),0)),0)),0)</f>
        <v>0</v>
      </c>
      <c r="H35" s="53">
        <f>IFERROR(D35*G35,"TBD")</f>
        <v>0</v>
      </c>
      <c r="I35" s="141" t="s">
        <v>390</v>
      </c>
      <c r="J35" s="144">
        <f>IFERROR(IF(I35="Specified Margin",Baseline!$G$8,(K35-G35)/K35),"TBD")</f>
        <v>0.3</v>
      </c>
      <c r="K35" s="511">
        <f t="shared" si="4"/>
        <v>0</v>
      </c>
      <c r="L35" s="512"/>
      <c r="M35" s="160">
        <f t="shared" ref="M35:M39" si="5">IFERROR(D35*K35,"TBD")</f>
        <v>0</v>
      </c>
      <c r="N35" s="116"/>
      <c r="O35" s="117"/>
      <c r="P35" s="117"/>
      <c r="Q35" s="118"/>
    </row>
    <row r="36" spans="2:17">
      <c r="B36" s="39"/>
      <c r="C36" s="39" t="str">
        <f>IF(B36="Field Nation",'Resource Descriptions'!$D$116,IF(B36="Partner",'Resource Descriptions'!$D$120,""))</f>
        <v/>
      </c>
      <c r="D36" s="113">
        <v>0</v>
      </c>
      <c r="E36" s="113" t="s">
        <v>389</v>
      </c>
      <c r="F36" s="115"/>
      <c r="G36" s="114">
        <f>IFERROR(IF(B36="Partner","Enter Partner Price",IF(B36="Field Nation",IF(E36="Regular",VLOOKUP(C36,'Resource Descriptions'!$D$116:$I$119,3,FALSE),IF(E36="OT",VLOOKUP(C36,'Resource Descriptions'!$D$116:$I$119,4,FALSE),0)),0)),0)</f>
        <v>0</v>
      </c>
      <c r="H36" s="53">
        <f t="shared" si="3"/>
        <v>0</v>
      </c>
      <c r="I36" s="141" t="s">
        <v>390</v>
      </c>
      <c r="J36" s="144">
        <f>IFERROR(IF(I36="Specified Margin",Baseline!$G$8,(K36-G36)/K36),"TBD")</f>
        <v>0.3</v>
      </c>
      <c r="K36" s="511">
        <f t="shared" si="4"/>
        <v>0</v>
      </c>
      <c r="L36" s="512"/>
      <c r="M36" s="160">
        <f t="shared" si="5"/>
        <v>0</v>
      </c>
      <c r="N36" s="116"/>
      <c r="O36" s="117"/>
      <c r="P36" s="117"/>
      <c r="Q36" s="118"/>
    </row>
    <row r="37" spans="2:17">
      <c r="B37" s="39"/>
      <c r="C37" s="39" t="str">
        <f>IF(B37="Field Nation",'Resource Descriptions'!$D$116,IF(B37="Partner",'Resource Descriptions'!$D$120,""))</f>
        <v/>
      </c>
      <c r="D37" s="113">
        <v>0</v>
      </c>
      <c r="E37" s="113" t="s">
        <v>389</v>
      </c>
      <c r="F37" s="115"/>
      <c r="G37" s="114">
        <f>IFERROR(IF(B37="Partner","Enter Partner Price",IF(B37="Field Nation",IF(E37="Regular",VLOOKUP(C37,'Resource Descriptions'!$D$116:$I$119,3,FALSE),IF(E37="OT",VLOOKUP(C37,'Resource Descriptions'!$D$116:$I$119,4,FALSE),0)),0)),0)</f>
        <v>0</v>
      </c>
      <c r="H37" s="53">
        <f t="shared" si="3"/>
        <v>0</v>
      </c>
      <c r="I37" s="141" t="s">
        <v>390</v>
      </c>
      <c r="J37" s="144">
        <f>IFERROR(IF(I37="Specified Margin",Baseline!$G$8,(K37-G37)/K37),"TBD")</f>
        <v>0.3</v>
      </c>
      <c r="K37" s="511">
        <f t="shared" si="4"/>
        <v>0</v>
      </c>
      <c r="L37" s="512"/>
      <c r="M37" s="160">
        <f t="shared" si="5"/>
        <v>0</v>
      </c>
      <c r="N37" s="116"/>
      <c r="O37" s="117"/>
      <c r="P37" s="117"/>
      <c r="Q37" s="118"/>
    </row>
    <row r="38" spans="2:17">
      <c r="B38" s="39"/>
      <c r="C38" s="39" t="str">
        <f>IF(B38="Field Nation",'Resource Descriptions'!$D$116,IF(B38="Partner",'Resource Descriptions'!$D$120,""))</f>
        <v/>
      </c>
      <c r="D38" s="113">
        <v>0</v>
      </c>
      <c r="E38" s="113" t="s">
        <v>389</v>
      </c>
      <c r="F38" s="115"/>
      <c r="G38" s="114">
        <f>IFERROR(IF(B38="Partner","Enter Partner Price",IF(B38="Field Nation",IF(E38="Regular",VLOOKUP(C38,'Resource Descriptions'!$D$116:$I$119,3,FALSE),IF(E38="OT",VLOOKUP(C38,'Resource Descriptions'!$D$116:$I$119,4,FALSE),0)),0)),0)</f>
        <v>0</v>
      </c>
      <c r="H38" s="53">
        <f>IFERROR(D38*G38,"TBD")</f>
        <v>0</v>
      </c>
      <c r="I38" s="141" t="s">
        <v>390</v>
      </c>
      <c r="J38" s="144">
        <f>IFERROR(IF(I38="Specified Margin",Baseline!$G$8,(K38-G38)/K38),"TBD")</f>
        <v>0.3</v>
      </c>
      <c r="K38" s="511">
        <f t="shared" si="4"/>
        <v>0</v>
      </c>
      <c r="L38" s="512"/>
      <c r="M38" s="160">
        <f t="shared" si="5"/>
        <v>0</v>
      </c>
      <c r="N38" s="340"/>
      <c r="O38" s="380"/>
      <c r="P38" s="380"/>
      <c r="Q38" s="341"/>
    </row>
    <row r="39" spans="2:17">
      <c r="B39" s="39"/>
      <c r="C39" s="39" t="str">
        <f>IF(B39="Field Nation",'Resource Descriptions'!$D$116,IF(B39="Partner",'Resource Descriptions'!$D$120,""))</f>
        <v/>
      </c>
      <c r="D39" s="113">
        <v>0</v>
      </c>
      <c r="E39" s="113" t="s">
        <v>389</v>
      </c>
      <c r="F39" s="115"/>
      <c r="G39" s="114">
        <f>IFERROR(IF(B39="Partner","Enter Partner Price",IF(B39="Field Nation",IF(E39="Regular",VLOOKUP(C39,'Resource Descriptions'!$D$116:$I$119,3,FALSE),IF(E39="OT",VLOOKUP(C39,'Resource Descriptions'!$D$116:$I$119,4,FALSE),0)),0)),0)</f>
        <v>0</v>
      </c>
      <c r="H39" s="53">
        <f>IFERROR(D39*G39,"TBD")</f>
        <v>0</v>
      </c>
      <c r="I39" s="141" t="s">
        <v>390</v>
      </c>
      <c r="J39" s="144">
        <f>IFERROR(IF(I39="Specified Margin",Baseline!$G$8,(K39-G39)/K39),"TBD")</f>
        <v>0.3</v>
      </c>
      <c r="K39" s="511">
        <f t="shared" si="4"/>
        <v>0</v>
      </c>
      <c r="L39" s="512"/>
      <c r="M39" s="160">
        <f t="shared" si="5"/>
        <v>0</v>
      </c>
      <c r="N39" s="340"/>
      <c r="O39" s="380"/>
      <c r="P39" s="380"/>
      <c r="Q39" s="341"/>
    </row>
    <row r="40" spans="2:17">
      <c r="B40" s="6"/>
      <c r="C40" s="159"/>
      <c r="D40" s="135"/>
      <c r="E40" s="135"/>
      <c r="F40" s="135"/>
      <c r="G40" s="136" t="str">
        <f>IF(C3="Project",C2&amp;" Partner Cost:",C2&amp;" Per Unit Partner Cost:")</f>
        <v>Startup Partner Cost:</v>
      </c>
      <c r="H40" s="137">
        <f>SUM(H32:H39)</f>
        <v>0</v>
      </c>
      <c r="I40" s="137" t="s">
        <v>402</v>
      </c>
      <c r="J40" s="152" t="str">
        <f>IFERROR((M40-H40)/M40,"TBD")</f>
        <v>TBD</v>
      </c>
      <c r="K40" s="161"/>
      <c r="L40" s="159" t="s">
        <v>403</v>
      </c>
      <c r="M40" s="137">
        <f>SUM(M32:M39)</f>
        <v>0</v>
      </c>
      <c r="N40" s="135"/>
      <c r="O40" s="135"/>
      <c r="P40" s="135"/>
      <c r="Q40" s="135"/>
    </row>
    <row r="41" spans="2:17">
      <c r="D41" s="119"/>
    </row>
    <row r="42" spans="2:17">
      <c r="B42" s="7" t="str">
        <f>C2&amp;" Travel &amp; Living Cost Factors:"</f>
        <v>Startup Travel &amp; Living Cost Factors:</v>
      </c>
      <c r="C42" s="126"/>
      <c r="D42" s="126"/>
      <c r="E42" s="126"/>
      <c r="F42" s="126"/>
      <c r="G42" s="126"/>
      <c r="H42" s="126"/>
      <c r="I42" s="126"/>
      <c r="J42" s="126"/>
      <c r="L42" s="32" t="str">
        <f>C2&amp;" Assumptions:"</f>
        <v>Startup Assumptions:</v>
      </c>
      <c r="M42" s="32"/>
      <c r="N42" s="32"/>
      <c r="O42" s="32"/>
      <c r="P42" s="32"/>
      <c r="Q42" s="32"/>
    </row>
    <row r="43" spans="2:17">
      <c r="B43" s="4" t="s">
        <v>404</v>
      </c>
      <c r="C43" s="4" t="s">
        <v>405</v>
      </c>
      <c r="D43" s="4" t="s">
        <v>423</v>
      </c>
      <c r="E43" s="323" t="s">
        <v>407</v>
      </c>
      <c r="F43" s="323"/>
      <c r="G43" s="4" t="s">
        <v>384</v>
      </c>
      <c r="H43" s="4" t="s">
        <v>385</v>
      </c>
      <c r="I43" s="4" t="s">
        <v>408</v>
      </c>
      <c r="J43" s="4" t="s">
        <v>409</v>
      </c>
      <c r="L43" s="375"/>
      <c r="M43" s="376"/>
      <c r="N43" s="376"/>
      <c r="O43" s="376"/>
      <c r="P43" s="376"/>
      <c r="Q43" s="377"/>
    </row>
    <row r="44" spans="2:17">
      <c r="B44" s="39"/>
      <c r="C44" s="113">
        <v>0</v>
      </c>
      <c r="D44" s="120">
        <f>IFERROR(VLOOKUP(B44,'Expenses &amp; Materials'!$B$3:$C$9,2,FALSE),0)</f>
        <v>0</v>
      </c>
      <c r="E44" s="387">
        <f>C44*D44</f>
        <v>0</v>
      </c>
      <c r="F44" s="387"/>
      <c r="G44" s="141" t="s">
        <v>390</v>
      </c>
      <c r="H44" s="35">
        <f>IFERROR(IF(G44="Specified Margin",Baseline!$G$9,(I44-D44)/I44),"TBD")</f>
        <v>0.15</v>
      </c>
      <c r="I44" s="151">
        <f>IFERROR(IF(G44="Specified Margin",D44/(1-H44),"Enter Sell Rate"),"TBD")</f>
        <v>0</v>
      </c>
      <c r="J44" s="62">
        <f>IFERROR(C44*I44,"TBD")</f>
        <v>0</v>
      </c>
      <c r="L44" s="375"/>
      <c r="M44" s="376"/>
      <c r="N44" s="376"/>
      <c r="O44" s="376"/>
      <c r="P44" s="376"/>
      <c r="Q44" s="377"/>
    </row>
    <row r="45" spans="2:17">
      <c r="B45" s="39"/>
      <c r="C45" s="113">
        <v>0</v>
      </c>
      <c r="D45" s="120">
        <f>IFERROR(VLOOKUP(B45,'Expenses &amp; Materials'!$B$3:$C$9,2,FALSE),0)</f>
        <v>0</v>
      </c>
      <c r="E45" s="387">
        <f t="shared" ref="E45:E51" si="6">C45*D45</f>
        <v>0</v>
      </c>
      <c r="F45" s="387"/>
      <c r="G45" s="141" t="s">
        <v>390</v>
      </c>
      <c r="H45" s="35">
        <f>IFERROR(IF(G45="Specified Margin",Baseline!$G$9,(I45-D45)/I45),"TBD")</f>
        <v>0.15</v>
      </c>
      <c r="I45" s="151">
        <f t="shared" ref="I45:I51" si="7">IFERROR(IF(G45="Specified Margin",D45/(1-H45),"Enter Sell Rate"),"TBD")</f>
        <v>0</v>
      </c>
      <c r="J45" s="62">
        <f t="shared" ref="J45:J50" si="8">IFERROR(C45*I45,"TBD")</f>
        <v>0</v>
      </c>
      <c r="L45" s="375"/>
      <c r="M45" s="376"/>
      <c r="N45" s="376"/>
      <c r="O45" s="376"/>
      <c r="P45" s="376"/>
      <c r="Q45" s="377"/>
    </row>
    <row r="46" spans="2:17">
      <c r="B46" s="39"/>
      <c r="C46" s="113">
        <v>0</v>
      </c>
      <c r="D46" s="120">
        <f>IFERROR(VLOOKUP(B46,'Expenses &amp; Materials'!$B$3:$C$9,2,FALSE),0)</f>
        <v>0</v>
      </c>
      <c r="E46" s="387">
        <f t="shared" si="6"/>
        <v>0</v>
      </c>
      <c r="F46" s="387"/>
      <c r="G46" s="141" t="s">
        <v>390</v>
      </c>
      <c r="H46" s="35">
        <f>IFERROR(IF(G46="Specified Margin",Baseline!$G$9,(I46-D46)/I46),"TBD")</f>
        <v>0.15</v>
      </c>
      <c r="I46" s="151">
        <f t="shared" si="7"/>
        <v>0</v>
      </c>
      <c r="J46" s="62">
        <f t="shared" si="8"/>
        <v>0</v>
      </c>
      <c r="L46" s="375"/>
      <c r="M46" s="376"/>
      <c r="N46" s="376"/>
      <c r="O46" s="376"/>
      <c r="P46" s="376"/>
      <c r="Q46" s="377"/>
    </row>
    <row r="47" spans="2:17">
      <c r="B47" s="39"/>
      <c r="C47" s="113">
        <v>0</v>
      </c>
      <c r="D47" s="120">
        <f>IFERROR(VLOOKUP(B47,'Expenses &amp; Materials'!$B$3:$C$9,2,FALSE),0)</f>
        <v>0</v>
      </c>
      <c r="E47" s="387">
        <f t="shared" si="6"/>
        <v>0</v>
      </c>
      <c r="F47" s="387"/>
      <c r="G47" s="141" t="s">
        <v>390</v>
      </c>
      <c r="H47" s="35">
        <f>IFERROR(IF(G47="Specified Margin",Baseline!$G$9,(I47-D47)/I47),"TBD")</f>
        <v>0.15</v>
      </c>
      <c r="I47" s="151">
        <f t="shared" si="7"/>
        <v>0</v>
      </c>
      <c r="J47" s="62">
        <f t="shared" si="8"/>
        <v>0</v>
      </c>
      <c r="L47" s="375"/>
      <c r="M47" s="376"/>
      <c r="N47" s="376"/>
      <c r="O47" s="376"/>
      <c r="P47" s="376"/>
      <c r="Q47" s="377"/>
    </row>
    <row r="48" spans="2:17">
      <c r="B48" s="39"/>
      <c r="C48" s="113">
        <v>0</v>
      </c>
      <c r="D48" s="120">
        <f>IFERROR(VLOOKUP(B48,'Expenses &amp; Materials'!$B$3:$C$9,2,FALSE),0)</f>
        <v>0</v>
      </c>
      <c r="E48" s="387">
        <f t="shared" si="6"/>
        <v>0</v>
      </c>
      <c r="F48" s="387"/>
      <c r="G48" s="141" t="s">
        <v>390</v>
      </c>
      <c r="H48" s="35">
        <f>IFERROR(IF(G48="Specified Margin",Baseline!$G$9,(I48-D48)/I48),"TBD")</f>
        <v>0.15</v>
      </c>
      <c r="I48" s="151">
        <f t="shared" si="7"/>
        <v>0</v>
      </c>
      <c r="J48" s="62">
        <f>IFERROR(C48*I48,"TBD")</f>
        <v>0</v>
      </c>
      <c r="L48" s="375"/>
      <c r="M48" s="376"/>
      <c r="N48" s="376"/>
      <c r="O48" s="376"/>
      <c r="P48" s="376"/>
      <c r="Q48" s="377"/>
    </row>
    <row r="49" spans="2:17">
      <c r="B49" s="39"/>
      <c r="C49" s="113">
        <v>0</v>
      </c>
      <c r="D49" s="120">
        <f>IFERROR(VLOOKUP(B49,'Expenses &amp; Materials'!$B$3:$C$9,2,FALSE),0)</f>
        <v>0</v>
      </c>
      <c r="E49" s="387">
        <f t="shared" si="6"/>
        <v>0</v>
      </c>
      <c r="F49" s="387"/>
      <c r="G49" s="141" t="s">
        <v>390</v>
      </c>
      <c r="H49" s="35">
        <f>IFERROR(IF(G49="Specified Margin",Baseline!$G$9,(I49-D49)/I49),"TBD")</f>
        <v>0.15</v>
      </c>
      <c r="I49" s="151">
        <f t="shared" si="7"/>
        <v>0</v>
      </c>
      <c r="J49" s="62">
        <f t="shared" si="8"/>
        <v>0</v>
      </c>
      <c r="L49" s="375"/>
      <c r="M49" s="376"/>
      <c r="N49" s="376"/>
      <c r="O49" s="376"/>
      <c r="P49" s="376"/>
      <c r="Q49" s="377"/>
    </row>
    <row r="50" spans="2:17">
      <c r="B50" s="39"/>
      <c r="C50" s="113">
        <v>0</v>
      </c>
      <c r="D50" s="120">
        <f>IFERROR(VLOOKUP(B50,'Expenses &amp; Materials'!$B$3:$C$9,2,FALSE),0)</f>
        <v>0</v>
      </c>
      <c r="E50" s="387">
        <f t="shared" si="6"/>
        <v>0</v>
      </c>
      <c r="F50" s="387"/>
      <c r="G50" s="141" t="s">
        <v>390</v>
      </c>
      <c r="H50" s="35">
        <f>IFERROR(IF(G50="Specified Margin",Baseline!$G$9,(I50-D50)/I50),"TBD")</f>
        <v>0.15</v>
      </c>
      <c r="I50" s="151">
        <f t="shared" si="7"/>
        <v>0</v>
      </c>
      <c r="J50" s="62">
        <f t="shared" si="8"/>
        <v>0</v>
      </c>
      <c r="L50" s="375"/>
      <c r="M50" s="376"/>
      <c r="N50" s="376"/>
      <c r="O50" s="376"/>
      <c r="P50" s="376"/>
      <c r="Q50" s="377"/>
    </row>
    <row r="51" spans="2:17">
      <c r="B51" s="39"/>
      <c r="C51" s="113">
        <v>0</v>
      </c>
      <c r="D51" s="120">
        <f>IFERROR(VLOOKUP(B51,'Expenses &amp; Materials'!$B$3:$C$9,2,FALSE),0)</f>
        <v>0</v>
      </c>
      <c r="E51" s="387">
        <f t="shared" si="6"/>
        <v>0</v>
      </c>
      <c r="F51" s="387"/>
      <c r="G51" s="141" t="s">
        <v>390</v>
      </c>
      <c r="H51" s="35">
        <f>IFERROR(IF(G51="Specified Margin",Baseline!$G$9,(I51-D51)/I51),"TBD")</f>
        <v>0.15</v>
      </c>
      <c r="I51" s="151">
        <f t="shared" si="7"/>
        <v>0</v>
      </c>
      <c r="J51" s="62">
        <f>IFERROR(C51*I51,"TBD")</f>
        <v>0</v>
      </c>
      <c r="L51" s="375"/>
      <c r="M51" s="376"/>
      <c r="N51" s="376"/>
      <c r="O51" s="376"/>
      <c r="P51" s="376"/>
      <c r="Q51" s="377"/>
    </row>
    <row r="52" spans="2:17">
      <c r="B52" s="6"/>
      <c r="C52" s="135"/>
      <c r="D52" s="136" t="str">
        <f>IF(C3="Project",C2&amp;" Travel &amp; Living Cost:",C2&amp;" Per Unit Travel &amp; Living Cost:")</f>
        <v>Startup Travel &amp; Living Cost:</v>
      </c>
      <c r="E52" s="378">
        <f>SUM(E44:E51)</f>
        <v>0</v>
      </c>
      <c r="F52" s="386"/>
      <c r="G52" s="143" t="s">
        <v>410</v>
      </c>
      <c r="H52" s="142" t="str">
        <f>IFERROR((J52-E52)/J52,"TBD")</f>
        <v>TBD</v>
      </c>
      <c r="I52" s="8" t="s">
        <v>411</v>
      </c>
      <c r="J52" s="137">
        <f>SUM(J44:J51)</f>
        <v>0</v>
      </c>
      <c r="L52" s="375"/>
      <c r="M52" s="376"/>
      <c r="N52" s="376"/>
      <c r="O52" s="376"/>
      <c r="P52" s="376"/>
      <c r="Q52" s="377"/>
    </row>
    <row r="53" spans="2:17">
      <c r="L53" s="375"/>
      <c r="M53" s="376"/>
      <c r="N53" s="376"/>
      <c r="O53" s="376"/>
      <c r="P53" s="376"/>
      <c r="Q53" s="377"/>
    </row>
    <row r="54" spans="2:17">
      <c r="B54" s="32" t="str">
        <f>C2&amp;" Material &amp; Other Cost Factors:"</f>
        <v>Startup Material &amp; Other Cost Factors:</v>
      </c>
      <c r="C54" s="78"/>
      <c r="D54" s="78"/>
      <c r="E54" s="78"/>
      <c r="F54" s="78"/>
      <c r="G54" s="78"/>
      <c r="H54" s="78"/>
      <c r="I54" s="78"/>
      <c r="J54" s="78"/>
      <c r="L54" s="375"/>
      <c r="M54" s="376"/>
      <c r="N54" s="376"/>
      <c r="O54" s="376"/>
      <c r="P54" s="376"/>
      <c r="Q54" s="377"/>
    </row>
    <row r="55" spans="2:17">
      <c r="B55" s="34" t="s">
        <v>404</v>
      </c>
      <c r="C55" s="34" t="s">
        <v>405</v>
      </c>
      <c r="D55" s="34" t="s">
        <v>423</v>
      </c>
      <c r="E55" s="388" t="s">
        <v>424</v>
      </c>
      <c r="F55" s="389"/>
      <c r="G55" s="34" t="s">
        <v>384</v>
      </c>
      <c r="H55" s="165" t="s">
        <v>385</v>
      </c>
      <c r="I55" s="34" t="s">
        <v>412</v>
      </c>
      <c r="J55" s="34" t="s">
        <v>413</v>
      </c>
      <c r="L55" s="375"/>
      <c r="M55" s="376"/>
      <c r="N55" s="376"/>
      <c r="O55" s="376"/>
      <c r="P55" s="376"/>
      <c r="Q55" s="377"/>
    </row>
    <row r="56" spans="2:17">
      <c r="B56" s="39"/>
      <c r="C56" s="113">
        <v>0</v>
      </c>
      <c r="D56" s="120">
        <f>IFERROR(VLOOKUP(B56,'Expenses &amp; Materials'!$B$13:$C$18,2,FALSE),0)</f>
        <v>0</v>
      </c>
      <c r="E56" s="387">
        <f>C56*D56</f>
        <v>0</v>
      </c>
      <c r="F56" s="387"/>
      <c r="G56" s="141" t="s">
        <v>390</v>
      </c>
      <c r="H56" s="35">
        <f>IFERROR(IF(G56:G63="Specified Margin",Baseline!$G$10,(I56-E56)/I56),"TBD")</f>
        <v>0.15</v>
      </c>
      <c r="I56" s="151">
        <f>IFERROR(IF(G56="Specified Margin",D56/(1-H56),"Enter Sell Rate"),"TBD")</f>
        <v>0</v>
      </c>
      <c r="J56" s="62">
        <f>IFERROR(C56*I56,"TBD")</f>
        <v>0</v>
      </c>
      <c r="L56" s="375"/>
      <c r="M56" s="376"/>
      <c r="N56" s="376"/>
      <c r="O56" s="376"/>
      <c r="P56" s="376"/>
      <c r="Q56" s="377"/>
    </row>
    <row r="57" spans="2:17">
      <c r="B57" s="39"/>
      <c r="C57" s="113">
        <v>0</v>
      </c>
      <c r="D57" s="120">
        <f>IFERROR(VLOOKUP(B57,'Expenses &amp; Materials'!$B$13:$C$18,2,FALSE),0)</f>
        <v>0</v>
      </c>
      <c r="E57" s="387">
        <f t="shared" ref="E57:E63" si="9">C57*D57</f>
        <v>0</v>
      </c>
      <c r="F57" s="387"/>
      <c r="G57" s="141" t="s">
        <v>390</v>
      </c>
      <c r="H57" s="35">
        <f>IFERROR(IF(G57:G64="Specified Margin",Baseline!$G$10,(I57-E57)/I57),"TBD")</f>
        <v>0.15</v>
      </c>
      <c r="I57" s="151">
        <f t="shared" ref="I57:I63" si="10">IFERROR(IF(G57="Specified Margin",D57/(1-H57),"Enter Sell Rate"),"TBD")</f>
        <v>0</v>
      </c>
      <c r="J57" s="62">
        <f t="shared" ref="J57:J63" si="11">IFERROR(C57*I57,"TBD")</f>
        <v>0</v>
      </c>
    </row>
    <row r="58" spans="2:17">
      <c r="B58" s="39"/>
      <c r="C58" s="113">
        <v>0</v>
      </c>
      <c r="D58" s="120">
        <f>IFERROR(VLOOKUP(B58,'Expenses &amp; Materials'!$B$13:$C$18,2,FALSE),0)</f>
        <v>0</v>
      </c>
      <c r="E58" s="387">
        <f t="shared" si="9"/>
        <v>0</v>
      </c>
      <c r="F58" s="387"/>
      <c r="G58" s="141" t="s">
        <v>390</v>
      </c>
      <c r="H58" s="35">
        <f>IFERROR(IF(G58="Specified Margin",Baseline!$G$10,(I58-E58)/I58),"TBD")</f>
        <v>0.15</v>
      </c>
      <c r="I58" s="151">
        <f t="shared" si="10"/>
        <v>0</v>
      </c>
      <c r="J58" s="62">
        <f t="shared" si="11"/>
        <v>0</v>
      </c>
      <c r="L58" s="7" t="str">
        <f>C2&amp;" Financial Breakdown:"</f>
        <v>Startup Financial Breakdown:</v>
      </c>
      <c r="M58" s="126"/>
      <c r="N58" s="126"/>
      <c r="O58" s="126"/>
      <c r="P58" s="126"/>
      <c r="Q58" s="126"/>
    </row>
    <row r="59" spans="2:17">
      <c r="B59" s="39"/>
      <c r="C59" s="113">
        <v>0</v>
      </c>
      <c r="D59" s="120">
        <f>IFERROR(VLOOKUP(B59,'Expenses &amp; Materials'!$B$13:$C$18,2,FALSE),0)</f>
        <v>0</v>
      </c>
      <c r="E59" s="387">
        <f t="shared" si="9"/>
        <v>0</v>
      </c>
      <c r="F59" s="387"/>
      <c r="G59" s="141" t="s">
        <v>390</v>
      </c>
      <c r="H59" s="35">
        <f>IFERROR(IF(G59:G66="Specified Margin",Baseline!$G$10,(I59-E59)/I59),"TBD")</f>
        <v>0.15</v>
      </c>
      <c r="I59" s="151">
        <f t="shared" si="10"/>
        <v>0</v>
      </c>
      <c r="J59" s="62">
        <f t="shared" si="11"/>
        <v>0</v>
      </c>
      <c r="L59" s="4" t="str">
        <f>C2&amp;" Cost Factors:"</f>
        <v>Startup Cost Factors:</v>
      </c>
      <c r="M59" s="4" t="str">
        <f>"Total "&amp;C2&amp;" Cost:"</f>
        <v>Total Startup Cost:</v>
      </c>
      <c r="N59" s="4" t="str">
        <f>C2&amp;" Cost/Unit:"</f>
        <v>Startup Cost/Unit:</v>
      </c>
      <c r="O59" s="4" t="str">
        <f>IF(Baseline!G3="Variable Margin",C2&amp;" Blended Margin %:","Blended Margin %")</f>
        <v>Blended Margin %</v>
      </c>
      <c r="P59" s="128" t="str">
        <f>"Total "&amp;C2&amp;" Sell Price:"</f>
        <v>Total Startup Sell Price:</v>
      </c>
      <c r="Q59" s="4" t="str">
        <f>C2&amp;" Sell Price/Unit:"</f>
        <v>Startup Sell Price/Unit:</v>
      </c>
    </row>
    <row r="60" spans="2:17">
      <c r="B60" s="39"/>
      <c r="C60" s="113">
        <v>0</v>
      </c>
      <c r="D60" s="120">
        <f>IFERROR(VLOOKUP(B60,'Expenses &amp; Materials'!$B$13:$C$18,2,FALSE),0)</f>
        <v>0</v>
      </c>
      <c r="E60" s="387">
        <f t="shared" si="9"/>
        <v>0</v>
      </c>
      <c r="F60" s="387"/>
      <c r="G60" s="141" t="s">
        <v>390</v>
      </c>
      <c r="H60" s="35">
        <f>IFERROR(IF(G60:G67="Specified Margin",Baseline!$G$10,(I60-E60)/I60),"TBD")</f>
        <v>0.15</v>
      </c>
      <c r="I60" s="151">
        <f t="shared" si="10"/>
        <v>0</v>
      </c>
      <c r="J60" s="62">
        <f t="shared" si="11"/>
        <v>0</v>
      </c>
      <c r="L60" s="137" t="s">
        <v>280</v>
      </c>
      <c r="M60" s="62">
        <f>IFERROR(IF($C$3="Project",$H$28,$H$28*$C$4),0)</f>
        <v>0</v>
      </c>
      <c r="N60" s="53">
        <f>IFERROR(IF(C3="Project",$H$28/$C$4,$H$28),0)</f>
        <v>0</v>
      </c>
      <c r="O60" s="79" t="str">
        <f>J28</f>
        <v>TBD</v>
      </c>
      <c r="P60" s="133" t="str">
        <f>IFERROR(IF(Baseline!$G$3="Variable Margin",IF(C3="Project",M28,M28*C4),M60/$M$64*Baseline!$D$14),"TBD")</f>
        <v>TBD</v>
      </c>
      <c r="Q60" s="53" t="str">
        <f>IFERROR(P60/$C$4,"TBD")</f>
        <v>TBD</v>
      </c>
    </row>
    <row r="61" spans="2:17">
      <c r="B61" s="39"/>
      <c r="C61" s="113">
        <v>0</v>
      </c>
      <c r="D61" s="120">
        <f>IFERROR(VLOOKUP(B61,'Expenses &amp; Materials'!$B$13:$C$18,2,FALSE),0)</f>
        <v>0</v>
      </c>
      <c r="E61" s="387">
        <f t="shared" si="9"/>
        <v>0</v>
      </c>
      <c r="F61" s="387"/>
      <c r="G61" s="141" t="s">
        <v>390</v>
      </c>
      <c r="H61" s="35">
        <f>IFERROR(IF(G61:G68="Specified Margin",Baseline!$G$10,(I61-E61)/I61),"TBD")</f>
        <v>0.15</v>
      </c>
      <c r="I61" s="151">
        <f t="shared" si="10"/>
        <v>0</v>
      </c>
      <c r="J61" s="62">
        <f t="shared" si="11"/>
        <v>0</v>
      </c>
      <c r="L61" s="137" t="s">
        <v>394</v>
      </c>
      <c r="M61" s="62">
        <f>IFERROR(IF($C$3="Project",$H$40,$H$40*$C$4),0)</f>
        <v>0</v>
      </c>
      <c r="N61" s="53">
        <f>IFERROR(IF(C3="Project",$H$40/$C$4,$H$40),0)</f>
        <v>0</v>
      </c>
      <c r="O61" s="79" t="str">
        <f>IFERROR((M40-H40)/M40,"TBD")</f>
        <v>TBD</v>
      </c>
      <c r="P61" s="133" t="str">
        <f>IFERROR(IF(Baseline!$G$3="Variable Margin",IF(C3="Project",M40,M40*C4),M61/$M$64*Baseline!$D$14),"TBD")</f>
        <v>TBD</v>
      </c>
      <c r="Q61" s="53" t="str">
        <f>IFERROR(P61/$C$4,"TBD")</f>
        <v>TBD</v>
      </c>
    </row>
    <row r="62" spans="2:17">
      <c r="B62" s="39"/>
      <c r="C62" s="113">
        <v>0</v>
      </c>
      <c r="D62" s="120">
        <f>IFERROR(VLOOKUP(B62,'Expenses &amp; Materials'!$B$13:$C$18,2,FALSE),0)</f>
        <v>0</v>
      </c>
      <c r="E62" s="387">
        <f t="shared" si="9"/>
        <v>0</v>
      </c>
      <c r="F62" s="387"/>
      <c r="G62" s="141" t="s">
        <v>390</v>
      </c>
      <c r="H62" s="35">
        <f>IFERROR(IF(G62:G69="Specified Margin",Baseline!$G$10,(I62-E62)/I62),"TBD")</f>
        <v>0.15</v>
      </c>
      <c r="I62" s="151">
        <f t="shared" si="10"/>
        <v>0</v>
      </c>
      <c r="J62" s="62">
        <f t="shared" si="11"/>
        <v>0</v>
      </c>
      <c r="L62" s="137" t="s">
        <v>238</v>
      </c>
      <c r="M62" s="62">
        <f>IFERROR(IF($C$3="Project",$E$52,$E$52*$C$4),0)</f>
        <v>0</v>
      </c>
      <c r="N62" s="53">
        <f>IFERROR(IF(C3="Project",$E$52/$C$4,$E$52),0)</f>
        <v>0</v>
      </c>
      <c r="O62" s="79" t="str">
        <f>H52</f>
        <v>TBD</v>
      </c>
      <c r="P62" s="133" t="str">
        <f>IFERROR(IF(Baseline!$G$3="Variable Margin",IF(C3="Project",J52,J52*C4),M62/$M$64*Baseline!$D$14),"TBD")</f>
        <v>TBD</v>
      </c>
      <c r="Q62" s="53" t="str">
        <f>IFERROR(P62/$C$4,"TBD")</f>
        <v>TBD</v>
      </c>
    </row>
    <row r="63" spans="2:17">
      <c r="B63" s="39"/>
      <c r="C63" s="113">
        <v>0</v>
      </c>
      <c r="D63" s="120">
        <f>IFERROR(VLOOKUP(B63,'Expenses &amp; Materials'!$B$13:$C$18,2,FALSE),0)</f>
        <v>0</v>
      </c>
      <c r="E63" s="387">
        <f t="shared" si="9"/>
        <v>0</v>
      </c>
      <c r="F63" s="387"/>
      <c r="G63" s="141" t="s">
        <v>390</v>
      </c>
      <c r="H63" s="35">
        <f>IFERROR(IF(G63:G70="Specified Margin",Baseline!$G$10,(I63-E63)/I63),"TBD")</f>
        <v>0.15</v>
      </c>
      <c r="I63" s="151">
        <f t="shared" si="10"/>
        <v>0</v>
      </c>
      <c r="J63" s="62">
        <f t="shared" si="11"/>
        <v>0</v>
      </c>
      <c r="L63" s="137" t="s">
        <v>415</v>
      </c>
      <c r="M63" s="62">
        <f>IFERROR(IF($C$3="Project",$E$64,$E$64*$C$4),0)</f>
        <v>0</v>
      </c>
      <c r="N63" s="53">
        <f>IFERROR(IF(C3="Project",$E$64/$C$4,$E$64),0)</f>
        <v>0</v>
      </c>
      <c r="O63" s="79" t="str">
        <f>H64</f>
        <v>TBD</v>
      </c>
      <c r="P63" s="133" t="str">
        <f>IFERROR(IF(Baseline!$G$3="Variable Margin",IF(C3="Project",J64,J64*C4),M63/$M$64*Baseline!$D$14),"TBD")</f>
        <v>TBD</v>
      </c>
      <c r="Q63" s="53" t="str">
        <f>IFERROR(P63/$C$4,"TBD")</f>
        <v>TBD</v>
      </c>
    </row>
    <row r="64" spans="2:17">
      <c r="B64" s="6"/>
      <c r="C64" s="135"/>
      <c r="D64" s="6" t="str">
        <f>IF(C3="Project",C2&amp;" Material &amp; Other Cost:",C2&amp;" Per Unit Material &amp; Other Cost:")</f>
        <v>Startup Material &amp; Other Cost:</v>
      </c>
      <c r="E64" s="378">
        <f>SUM(E56:E63)</f>
        <v>0</v>
      </c>
      <c r="F64" s="386"/>
      <c r="G64" s="143" t="s">
        <v>416</v>
      </c>
      <c r="H64" s="142" t="str">
        <f>IFERROR((J64-E64)/J64,"TBD")</f>
        <v>TBD</v>
      </c>
      <c r="I64" s="8" t="s">
        <v>417</v>
      </c>
      <c r="J64" s="137">
        <f>SUM(J56:J63)</f>
        <v>0</v>
      </c>
      <c r="L64" s="137" t="s">
        <v>418</v>
      </c>
      <c r="M64" s="137">
        <f>SUM($M$60:$M$63)</f>
        <v>0</v>
      </c>
      <c r="N64" s="8">
        <f>IFERROR(M64/C4,"TBD")</f>
        <v>0</v>
      </c>
      <c r="O64" s="77" t="str">
        <f>IFERROR((P64-M64)/P64,"TBD")</f>
        <v>TBD</v>
      </c>
      <c r="P64" s="143">
        <f>SUM(P60:P63)</f>
        <v>0</v>
      </c>
      <c r="Q64" s="8">
        <f>SUM(Q60:Q63)</f>
        <v>0</v>
      </c>
    </row>
  </sheetData>
  <sheetProtection algorithmName="SHA-512" hashValue="PAeny0wfKf8MaXQUub/Ad0SUTVDqFYX83Z4QfjpsJMlstcjQGJfvJHgqYw9ap7/yH+kzG3EQRfpvWEVpgR5Pqw==" saltValue="oOmW5QJ6SSWx9Gx1MsuiTA==" spinCount="100000" sheet="1" objects="1" scenarios="1"/>
  <dataConsolidate/>
  <mergeCells count="74">
    <mergeCell ref="K31:L31"/>
    <mergeCell ref="L50:Q50"/>
    <mergeCell ref="K8:L8"/>
    <mergeCell ref="K9:L9"/>
    <mergeCell ref="K10:L10"/>
    <mergeCell ref="K11:L11"/>
    <mergeCell ref="K12:L12"/>
    <mergeCell ref="K13:L13"/>
    <mergeCell ref="K14:L14"/>
    <mergeCell ref="K15:L15"/>
    <mergeCell ref="K16:L16"/>
    <mergeCell ref="K17:L17"/>
    <mergeCell ref="K18:L18"/>
    <mergeCell ref="K19:L19"/>
    <mergeCell ref="K20:L20"/>
    <mergeCell ref="K21:L21"/>
    <mergeCell ref="K22:L22"/>
    <mergeCell ref="L56:Q56"/>
    <mergeCell ref="L51:Q51"/>
    <mergeCell ref="L52:Q52"/>
    <mergeCell ref="L53:Q53"/>
    <mergeCell ref="L54:Q54"/>
    <mergeCell ref="L55:Q55"/>
    <mergeCell ref="L49:Q49"/>
    <mergeCell ref="N39:Q39"/>
    <mergeCell ref="N31:Q31"/>
    <mergeCell ref="N32:Q32"/>
    <mergeCell ref="N38:Q38"/>
    <mergeCell ref="L44:Q44"/>
    <mergeCell ref="L45:Q45"/>
    <mergeCell ref="L46:Q46"/>
    <mergeCell ref="L47:Q47"/>
    <mergeCell ref="E49:F49"/>
    <mergeCell ref="E50:F50"/>
    <mergeCell ref="E51:F51"/>
    <mergeCell ref="J3:K3"/>
    <mergeCell ref="J4:K4"/>
    <mergeCell ref="K23:L23"/>
    <mergeCell ref="K24:L24"/>
    <mergeCell ref="K25:L25"/>
    <mergeCell ref="K26:L26"/>
    <mergeCell ref="K27:L27"/>
    <mergeCell ref="K32:L32"/>
    <mergeCell ref="K33:L33"/>
    <mergeCell ref="K34:L34"/>
    <mergeCell ref="K35:L35"/>
    <mergeCell ref="K36:L36"/>
    <mergeCell ref="K37:L37"/>
    <mergeCell ref="N8:Q8"/>
    <mergeCell ref="N24:Q24"/>
    <mergeCell ref="N25:Q25"/>
    <mergeCell ref="N26:Q26"/>
    <mergeCell ref="N27:Q27"/>
    <mergeCell ref="K38:L38"/>
    <mergeCell ref="K39:L39"/>
    <mergeCell ref="L48:Q48"/>
    <mergeCell ref="E43:F43"/>
    <mergeCell ref="E44:F44"/>
    <mergeCell ref="E45:F45"/>
    <mergeCell ref="E46:F46"/>
    <mergeCell ref="E47:F47"/>
    <mergeCell ref="E48:F48"/>
    <mergeCell ref="L43:Q43"/>
    <mergeCell ref="E52:F52"/>
    <mergeCell ref="E55:F55"/>
    <mergeCell ref="E56:F56"/>
    <mergeCell ref="E57:F57"/>
    <mergeCell ref="E58:F58"/>
    <mergeCell ref="E64:F64"/>
    <mergeCell ref="E59:F59"/>
    <mergeCell ref="E60:F60"/>
    <mergeCell ref="E61:F61"/>
    <mergeCell ref="E62:F62"/>
    <mergeCell ref="E63:F63"/>
  </mergeCells>
  <conditionalFormatting sqref="G32:G39">
    <cfRule type="expression" dxfId="235" priority="146">
      <formula>B32="Partner"</formula>
    </cfRule>
  </conditionalFormatting>
  <conditionalFormatting sqref="D44:D51">
    <cfRule type="expression" dxfId="234" priority="137">
      <formula>OR(B44="Roundtrip Airfare",B44="Metro City Hotel",B44="Non-Metro City Hotel",B44="Vehicle/Taxi/Uber",B44="Per Diem")=TRUE</formula>
    </cfRule>
  </conditionalFormatting>
  <conditionalFormatting sqref="D56:D63">
    <cfRule type="expression" dxfId="233" priority="125">
      <formula>OR(B56="Background Check",B56="Storage (Per Pallet)")=TRUE</formula>
    </cfRule>
  </conditionalFormatting>
  <conditionalFormatting sqref="B8">
    <cfRule type="expression" dxfId="232" priority="122">
      <formula>$C$2="Managed Staffing"</formula>
    </cfRule>
  </conditionalFormatting>
  <conditionalFormatting sqref="H3:H4">
    <cfRule type="expression" dxfId="231" priority="91">
      <formula>C3="Partner"</formula>
    </cfRule>
  </conditionalFormatting>
  <conditionalFormatting sqref="M3">
    <cfRule type="expression" dxfId="230" priority="90">
      <formula>H3="Partner"</formula>
    </cfRule>
  </conditionalFormatting>
  <conditionalFormatting sqref="J3">
    <cfRule type="cellIs" dxfId="229" priority="89" operator="lessThan">
      <formula>0.375</formula>
    </cfRule>
  </conditionalFormatting>
  <conditionalFormatting sqref="J8:J27">
    <cfRule type="expression" dxfId="228" priority="86">
      <formula>I8="Specified Sell Rate"</formula>
    </cfRule>
  </conditionalFormatting>
  <conditionalFormatting sqref="J32:J39">
    <cfRule type="expression" dxfId="227" priority="64">
      <formula>I32="Specified Sell Rate"</formula>
    </cfRule>
  </conditionalFormatting>
  <conditionalFormatting sqref="H44:H51">
    <cfRule type="expression" dxfId="226" priority="60">
      <formula>G44="Specified Sell Rate"</formula>
    </cfRule>
  </conditionalFormatting>
  <conditionalFormatting sqref="K32:K39 I44:I51 K8:K27">
    <cfRule type="expression" dxfId="225" priority="58">
      <formula>I8="Enter Sell Rate"</formula>
    </cfRule>
    <cfRule type="expression" dxfId="224" priority="59">
      <formula>G8="Specified Margin"</formula>
    </cfRule>
  </conditionalFormatting>
  <conditionalFormatting sqref="H56:H63">
    <cfRule type="expression" dxfId="223" priority="55">
      <formula>G56="Specified Sell Rate"</formula>
    </cfRule>
  </conditionalFormatting>
  <conditionalFormatting sqref="I56:I63">
    <cfRule type="expression" dxfId="222" priority="53">
      <formula>I56="Enter Sell Rate"</formula>
    </cfRule>
    <cfRule type="expression" dxfId="221" priority="54">
      <formula>G56="Specified Margin"</formula>
    </cfRule>
  </conditionalFormatting>
  <conditionalFormatting sqref="K8:M8">
    <cfRule type="expression" dxfId="220" priority="4">
      <formula>$K$8="Enter QTYs on Baseline"</formula>
    </cfRule>
  </conditionalFormatting>
  <dataValidations count="9">
    <dataValidation type="list" allowBlank="1" showInputMessage="1" sqref="C3" xr:uid="{70B178DD-3DCD-4EAB-91B2-88D868B91638}">
      <formula1>"Project, Per Unit"</formula1>
    </dataValidation>
    <dataValidation type="list" allowBlank="1" showInputMessage="1" showErrorMessage="1" sqref="B32:B39" xr:uid="{7D816635-9BD5-4895-97B1-DA07F46167D9}">
      <formula1>"Field Nation,Partner"</formula1>
    </dataValidation>
    <dataValidation type="list" allowBlank="1" showInputMessage="1" showErrorMessage="1" sqref="E32:E39" xr:uid="{1E578694-2000-402B-85D8-316B0B2DBAA4}">
      <formula1>"Regular,OT"</formula1>
    </dataValidation>
    <dataValidation type="list" allowBlank="1" showInputMessage="1" showErrorMessage="1" sqref="G56:G63 G44:G51 I32:I39 I8:I27" xr:uid="{6B28615D-52F7-4B4F-B704-848476528FC2}">
      <formula1>"Specified Margin, Specified Sell Rate"</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9:L27" xr:uid="{79761BCB-8561-4FA1-90F8-EC2A082FBE4E}">
      <formula1>I9="Specified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A4B6DC27-CC17-4510-9144-5FC259242D90}">
      <formula1>I8="Specified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K32:L39 I56:I63 I44:I51" xr:uid="{BB73FECA-4179-45C0-883F-4DB13A7C4894}">
      <formula1>G32="Specified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C15308EE-9F66-4927-A502-4CC24A262EA2}">
      <formula1>G32="Specified Margin"</formula1>
    </dataValidation>
    <dataValidation allowBlank="1" showInputMessage="1" showErrorMessage="1" errorTitle="Change Sell Calculation Method" error="To input a Resource Hourly Sell price update the corresponding Sell Calculation Method cell to Specified Sell Rate. Hit Cancel to continue." sqref="K8:L8" xr:uid="{405B6AE1-CDC8-40A1-8393-85521420336A}"/>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382" id="{45C8E03D-C17B-46B1-A6DE-AC129F31526B}">
            <xm:f>AND(C8='Data Tables'!$C$16,N8:Q8="")</xm:f>
            <x14:dxf>
              <font>
                <color rgb="FF9C0006"/>
              </font>
              <fill>
                <patternFill>
                  <fgColor auto="1"/>
                  <bgColor rgb="FFFFC7CE"/>
                </patternFill>
              </fill>
            </x14:dxf>
          </x14:cfRule>
          <xm:sqref>N8:N24</xm:sqref>
        </x14:conditionalFormatting>
        <x14:conditionalFormatting xmlns:xm="http://schemas.microsoft.com/office/excel/2006/main">
          <x14:cfRule type="expression" priority="383" id="{EB99A933-979D-4830-BF40-4D9F19721208}">
            <xm:f>AND(C25='Data Tables'!$C$16,N25:Q25="")</xm:f>
            <x14:dxf>
              <font>
                <color rgb="FF9C0006"/>
              </font>
              <fill>
                <patternFill>
                  <bgColor rgb="FFFFC7CE"/>
                </patternFill>
              </fill>
            </x14:dxf>
          </x14:cfRule>
          <xm:sqref>N25:Q27</xm:sqref>
        </x14:conditionalFormatting>
        <x14:conditionalFormatting xmlns:xm="http://schemas.microsoft.com/office/excel/2006/main">
          <x14:cfRule type="expression" priority="404" id="{A639FEF4-844E-4035-9993-9214C0415398}">
            <xm:f>Baseline!$D$6="Department Based"</xm:f>
            <x14:dxf>
              <font>
                <color theme="3" tint="0.59996337778862885"/>
              </font>
            </x14:dxf>
          </x14:cfRule>
          <xm:sqref>D2:D3</xm:sqref>
        </x14:conditionalFormatting>
        <x14:conditionalFormatting xmlns:xm="http://schemas.microsoft.com/office/excel/2006/main">
          <x14:cfRule type="expression" priority="405" id="{4AA8D85D-FAAC-47C8-A775-9549588119BA}">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06" id="{0AB7832F-C1F2-4D49-95DA-0AFB9B2FFFCD}">
            <xm:f>Baseline!$D$6="Phase Based"</xm:f>
            <x14:dxf>
              <fill>
                <patternFill>
                  <bgColor theme="2" tint="-0.24994659260841701"/>
                </patternFill>
              </fill>
            </x14:dxf>
          </x14:cfRule>
          <xm:sqref>B8</xm:sqref>
        </x14:conditionalFormatting>
        <x14:conditionalFormatting xmlns:xm="http://schemas.microsoft.com/office/excel/2006/main">
          <x14:cfRule type="expression" priority="3" id="{8958D7F9-ED9A-49ED-B880-18F7451B49AE}">
            <xm:f>Baseline!$D$6="ZBaaS"</xm:f>
            <x14:dxf>
              <fill>
                <patternFill>
                  <bgColor theme="2" tint="-0.24994659260841701"/>
                </patternFill>
              </fill>
            </x14:dxf>
          </x14:cfRule>
          <xm:sqref>C8</xm:sqref>
        </x14:conditionalFormatting>
        <x14:conditionalFormatting xmlns:xm="http://schemas.microsoft.com/office/excel/2006/main">
          <x14:cfRule type="expression" priority="2" id="{DE32CD33-21A2-451D-87DB-A50C039FE7B6}">
            <xm:f>'COLA (WIP)'!$C$4="Yes"</xm:f>
            <x14:dxf>
              <fill>
                <patternFill>
                  <bgColor theme="0"/>
                </patternFill>
              </fill>
            </x14:dxf>
          </x14:cfRule>
          <xm:sqref>E4</xm:sqref>
        </x14:conditionalFormatting>
        <x14:conditionalFormatting xmlns:xm="http://schemas.microsoft.com/office/excel/2006/main">
          <x14:cfRule type="expression" priority="1" id="{2148B247-45E6-4DF0-BF08-97F17E663B73}">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FEA95AE1-E59C-48D3-9225-8DE3CE05913F}">
          <x14:formula1>
            <xm:f>'Expenses &amp; Materials'!$B$14:$B$16</xm:f>
          </x14:formula1>
          <xm:sqref>B56:B63</xm:sqref>
        </x14:dataValidation>
        <x14:dataValidation type="list" allowBlank="1" showInputMessage="1" xr:uid="{BA09EFB0-37E8-4240-A650-490C6C4BF61A}">
          <x14:formula1>
            <xm:f>'Expenses &amp; Materials'!$B$4:$B$10</xm:f>
          </x14:formula1>
          <xm:sqref>B44:B51</xm:sqref>
        </x14:dataValidation>
        <x14:dataValidation type="list" allowBlank="1" showInputMessage="1" xr:uid="{3F0F15DF-5428-45D7-96DA-E98BABEEFF00}">
          <x14:formula1>
            <xm:f>IF(B32="Field Nation",'Resource Descriptions'!$D$116:$D$119,'Resource Descriptions'!$D$120)</xm:f>
          </x14:formula1>
          <xm:sqref>C32:C39</xm:sqref>
        </x14:dataValidation>
        <x14:dataValidation type="list" allowBlank="1" showInputMessage="1" showErrorMessage="1" xr:uid="{382E6BBB-9F05-481C-81F4-43F833BA8855}">
          <x14:formula1>
            <xm:f>IF($C$2="Managed Staffing",'Data Tables'!$B$6:$B$16,'Data Tables'!$B$4:$B$15)</xm:f>
          </x14:formula1>
          <xm:sqref>B8</xm:sqref>
        </x14:dataValidation>
        <x14:dataValidation type="list" allowBlank="1" showInputMessage="1" showErrorMessage="1" xr:uid="{E7970AE2-533A-48A1-83F6-845EEC084A90}">
          <x14:formula1>
            <xm:f>IF($C$2="Managed Staffing",'Data Tables'!$B$6:$B$17,'Data Tables'!$B$4:$B$15)</xm:f>
          </x14:formula1>
          <xm:sqref>B9:B27</xm:sqref>
        </x14:dataValidation>
        <x14:dataValidation type="list" allowBlank="1" showInputMessage="1" showErrorMessage="1" xr:uid="{946DC29F-E158-497D-A7AF-9B094F6E9FA2}">
          <x14:formula1>
            <xm:f>IF(B8="Managed Staffing",'Data Tables'!$C$16,OFFSET('Resource Descriptions'!$D$6,VLOOKUP(B8,'Data Tables'!$B$3:$E$17,2,FALSE),0,VLOOKUP(B8,'Data Tables'!$B$3:$E$17,4,FALSE),1))</xm:f>
          </x14:formula1>
          <xm:sqref>C8:C27</xm:sqref>
        </x14:dataValidation>
        <x14:dataValidation type="list" allowBlank="1" showInputMessage="1" showErrorMessage="1" xr:uid="{1DC72D9B-A50E-4F86-B8D2-398F40FD51C1}">
          <x14:formula1>
            <xm:f>OFFSET('Data Tables'!$C$20,VLOOKUP(C8,'Data Tables'!$G$17:$J$118,2,FALSE),0,VLOOKUP(C8,'Data Tables'!$G$17:$J$118,4,FALSE),1)</xm:f>
          </x14:formula1>
          <xm:sqref>E8:E27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Q64"/>
  <sheetViews>
    <sheetView showGridLines="0" zoomScale="80" zoomScaleNormal="80" workbookViewId="0">
      <selection activeCell="C2" sqref="C2"/>
    </sheetView>
  </sheetViews>
  <sheetFormatPr defaultColWidth="8.85546875" defaultRowHeight="15"/>
  <cols>
    <col min="1" max="1" width="3.42578125" style="33" customWidth="1"/>
    <col min="2" max="2" width="28.42578125" style="33" bestFit="1" customWidth="1"/>
    <col min="3" max="3" width="32.140625" style="33" bestFit="1" customWidth="1"/>
    <col min="4" max="5" width="20.42578125" style="33" customWidth="1"/>
    <col min="6" max="6" width="3.42578125" style="33" customWidth="1"/>
    <col min="7" max="10" width="23.42578125" style="33" customWidth="1"/>
    <col min="11" max="11" width="3.42578125" style="33" customWidth="1"/>
    <col min="12" max="18" width="23.42578125" style="33" customWidth="1"/>
    <col min="19" max="16384" width="8.85546875" style="33"/>
  </cols>
  <sheetData>
    <row r="2" spans="1:17">
      <c r="A2" s="109"/>
      <c r="B2" s="121" t="s">
        <v>370</v>
      </c>
      <c r="C2" s="110" t="str">
        <f>IF(Baseline!D6='Data Tables'!L3,'Data Tables'!L5,IF(Baseline!D6='Data Tables'!M3,'Data Tables'!M5,'Data Tables'!N5))</f>
        <v>Pilot</v>
      </c>
      <c r="D2" s="34" t="s">
        <v>371</v>
      </c>
      <c r="E2" s="111" t="s">
        <v>372</v>
      </c>
      <c r="G2" s="122" t="s">
        <v>373</v>
      </c>
      <c r="H2" s="122"/>
      <c r="I2" s="122"/>
      <c r="J2" s="123"/>
      <c r="K2" s="7"/>
      <c r="L2" s="7"/>
      <c r="M2" s="7"/>
      <c r="N2" s="7"/>
    </row>
    <row r="3" spans="1:17">
      <c r="B3" s="4" t="s">
        <v>374</v>
      </c>
      <c r="C3" s="39" t="str">
        <f>IF(Baseline!D6="ZBaaS","Per Unit","Project")</f>
        <v>Project</v>
      </c>
      <c r="D3" s="34" t="s">
        <v>375</v>
      </c>
      <c r="E3" s="39">
        <v>0</v>
      </c>
      <c r="G3" s="4" t="str">
        <f>C2&amp;" Price:"</f>
        <v>Pilot Price:</v>
      </c>
      <c r="H3" s="124">
        <f>P64</f>
        <v>0</v>
      </c>
      <c r="I3" s="124"/>
      <c r="J3" s="4" t="s">
        <v>303</v>
      </c>
      <c r="K3" s="384">
        <f>Baseline!$G$24</f>
        <v>0.41046428571428573</v>
      </c>
      <c r="L3" s="385"/>
      <c r="M3" s="4" t="s">
        <v>376</v>
      </c>
      <c r="N3" s="124">
        <f>Baseline!$D$24</f>
        <v>28000</v>
      </c>
    </row>
    <row r="4" spans="1:17">
      <c r="B4" s="4" t="s">
        <v>322</v>
      </c>
      <c r="C4" s="110">
        <f>Baseline!D8</f>
        <v>1</v>
      </c>
      <c r="D4" s="224" t="s">
        <v>377</v>
      </c>
      <c r="E4" s="225"/>
      <c r="G4" s="4" t="str">
        <f>C2&amp;" Blended Margin %:"</f>
        <v>Pilot Blended Margin %:</v>
      </c>
      <c r="H4" s="125" t="str">
        <f>O64</f>
        <v>TBD</v>
      </c>
      <c r="I4" s="125"/>
      <c r="J4" s="4" t="s">
        <v>306</v>
      </c>
      <c r="K4" s="384">
        <f ca="1">Baseline!$G$27</f>
        <v>0.37715551785714285</v>
      </c>
      <c r="L4" s="385"/>
      <c r="M4" s="4" t="s">
        <v>378</v>
      </c>
      <c r="N4" s="77">
        <f ca="1">Baseline!$J$5</f>
        <v>8.6024110983219243E-2</v>
      </c>
    </row>
    <row r="6" spans="1:17">
      <c r="B6" s="7" t="str">
        <f>C2&amp;" Resource Cost Factors:"</f>
        <v>Pilot Resource Cost Factors:</v>
      </c>
      <c r="C6" s="7"/>
      <c r="D6" s="126"/>
      <c r="E6" s="126"/>
      <c r="F6" s="126"/>
      <c r="G6" s="126"/>
      <c r="H6" s="126"/>
      <c r="I6" s="126"/>
      <c r="J6" s="126"/>
      <c r="K6" s="126"/>
      <c r="L6" s="126"/>
      <c r="M6" s="126"/>
      <c r="N6" s="126"/>
      <c r="O6" s="126"/>
      <c r="P6" s="126"/>
      <c r="Q6" s="127"/>
    </row>
    <row r="7" spans="1:17">
      <c r="B7" s="4" t="s">
        <v>379</v>
      </c>
      <c r="C7" s="4" t="s">
        <v>280</v>
      </c>
      <c r="D7" s="4" t="s">
        <v>380</v>
      </c>
      <c r="E7" s="128" t="s">
        <v>381</v>
      </c>
      <c r="F7" s="128"/>
      <c r="G7" s="49" t="s">
        <v>382</v>
      </c>
      <c r="H7" s="49" t="s">
        <v>383</v>
      </c>
      <c r="I7" s="4" t="s">
        <v>384</v>
      </c>
      <c r="J7" s="4" t="s">
        <v>385</v>
      </c>
      <c r="K7" s="129"/>
      <c r="L7" s="129" t="s">
        <v>386</v>
      </c>
      <c r="M7" s="4" t="s">
        <v>387</v>
      </c>
      <c r="N7" s="381" t="s">
        <v>388</v>
      </c>
      <c r="O7" s="382"/>
      <c r="P7" s="382"/>
      <c r="Q7" s="383"/>
    </row>
    <row r="8" spans="1:17">
      <c r="B8" s="112" t="str">
        <f>IF(Baseline!$D$6="Department Based","PMO","PMO")</f>
        <v>PMO</v>
      </c>
      <c r="C8" s="39"/>
      <c r="D8" s="113">
        <v>0</v>
      </c>
      <c r="E8" s="113" t="s">
        <v>389</v>
      </c>
      <c r="F8" s="130"/>
      <c r="G8" s="131">
        <f>IFERROR(IF(E8="Regular",VLOOKUP(C8,Resource_Rates_Table[],3,FALSE),(IF(Pilot!E8="OT",VLOOKUP(C8,Resource_Rates_Table[],4,FALSE),IF(E8="Regular/1st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0</v>
      </c>
      <c r="H8" s="132">
        <f>D8*G8</f>
        <v>0</v>
      </c>
      <c r="I8" s="141" t="s">
        <v>390</v>
      </c>
      <c r="J8" s="144">
        <f>IFERROR(IF(I8="Specified Margin",IFERROR(_xlfn.IFS(ISNUMBER(SEARCH("India",C8))=TRUE,Baseline!$G$6,ISNUMBER(SEARCH("Pakistan",C8))=TRUE,Baseline!$G$7),Baseline!$G$5),(K8-G8)/K8),"TBD")</f>
        <v>0.35</v>
      </c>
      <c r="K8" s="511">
        <f>IFERROR(IF(I8="Specified Margin",G8/(1-J8),"Enter Sell Rate"),"TBD")</f>
        <v>0</v>
      </c>
      <c r="L8" s="512"/>
      <c r="M8" s="149">
        <f>IFERROR(D8*K8,"TBD")</f>
        <v>0</v>
      </c>
      <c r="N8" s="340"/>
      <c r="O8" s="380"/>
      <c r="P8" s="380"/>
      <c r="Q8" s="341"/>
    </row>
    <row r="9" spans="1:17">
      <c r="B9" s="39"/>
      <c r="C9" s="39"/>
      <c r="D9" s="113">
        <v>0</v>
      </c>
      <c r="E9" s="113" t="s">
        <v>389</v>
      </c>
      <c r="F9" s="130"/>
      <c r="G9" s="131">
        <f>IFERROR(IF(E9="Regular",VLOOKUP(C9,Resource_Rates_Table[],3,FALSE),(IF(Pilot!E9="OT",VLOOKUP(C9,Resource_Rates_Table[],4,FALSE),IF(E9="Regular/1st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0</v>
      </c>
      <c r="H9" s="62">
        <f>D9*G9</f>
        <v>0</v>
      </c>
      <c r="I9" s="141" t="s">
        <v>390</v>
      </c>
      <c r="J9" s="144">
        <f>IFERROR(IF(I9="Specified Margin",IFERROR(_xlfn.IFS(ISNUMBER(SEARCH("India",C9))=TRUE,Baseline!$G$6,ISNUMBER(SEARCH("Pakistan",C9))=TRUE,Baseline!$G$7),Baseline!$G$5),(K9-G9)/K9),"TBD")</f>
        <v>0.35</v>
      </c>
      <c r="K9" s="511">
        <f>IFERROR(IF(I9="Specified Margin",G9/(1-J9),"Enter Sell Rate"),"TBD")</f>
        <v>0</v>
      </c>
      <c r="L9" s="512"/>
      <c r="M9" s="149">
        <f t="shared" ref="M9:M27" si="0">IFERROR(D9*K9,"TBD")</f>
        <v>0</v>
      </c>
      <c r="N9" s="116"/>
      <c r="O9" s="117"/>
      <c r="P9" s="117"/>
      <c r="Q9" s="118"/>
    </row>
    <row r="10" spans="1:17">
      <c r="B10" s="39"/>
      <c r="C10" s="39"/>
      <c r="D10" s="113">
        <v>0</v>
      </c>
      <c r="E10" s="113" t="s">
        <v>389</v>
      </c>
      <c r="F10" s="130"/>
      <c r="G10" s="131">
        <f>IFERROR(IF(E10="Regular",VLOOKUP(C10,Resource_Rates_Table[],3,FALSE),(IF(Pilot!E10="OT",VLOOKUP(C10,Resource_Rates_Table[],4,FALSE),IF(E10="Regular/1st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0</v>
      </c>
      <c r="H10" s="62">
        <f t="shared" ref="H10:H19" si="1">D10*G10</f>
        <v>0</v>
      </c>
      <c r="I10" s="141" t="s">
        <v>390</v>
      </c>
      <c r="J10" s="144" cm="1">
        <f t="array" ref="J10">IFERROR(IF(I10="Specified Margin",IFERROR(_xlfn.IFS(ISNUMBER(SEARCH("India",C10))=TRUE,Baseline!$G$6,ISNUMBER(SEARCH("Pakistan",C10))=TRUE,Baseline!$G$7),Baseline!$G$5),(K10-G10)/K10),"TBD")</f>
        <v>0.35</v>
      </c>
      <c r="K10" s="511">
        <f t="shared" ref="K10:K27" si="2">IFERROR(IF(I10="Specified Margin",G10/(1-J10),"Enter Sell Rate"),"TBD")</f>
        <v>0</v>
      </c>
      <c r="L10" s="512"/>
      <c r="M10" s="149">
        <f t="shared" si="0"/>
        <v>0</v>
      </c>
      <c r="N10" s="116"/>
      <c r="O10" s="117"/>
      <c r="P10" s="117"/>
      <c r="Q10" s="118"/>
    </row>
    <row r="11" spans="1:17">
      <c r="B11" s="39"/>
      <c r="C11" s="39"/>
      <c r="D11" s="113">
        <v>0</v>
      </c>
      <c r="E11" s="113" t="s">
        <v>389</v>
      </c>
      <c r="F11" s="130"/>
      <c r="G11" s="131">
        <f>IFERROR(IF(E11="Regular",VLOOKUP(C11,Resource_Rates_Table[],3,FALSE),(IF(Pilot!E11="OT",VLOOKUP(C11,Resource_Rates_Table[],4,FALSE),IF(E11="Regular/1st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0</v>
      </c>
      <c r="H11" s="62">
        <f t="shared" si="1"/>
        <v>0</v>
      </c>
      <c r="I11" s="141" t="s">
        <v>390</v>
      </c>
      <c r="J11" s="144" cm="1">
        <f t="array" ref="J11">IFERROR(IF(I11="Specified Margin",IFERROR(_xlfn.IFS(ISNUMBER(SEARCH("India",C11))=TRUE,Baseline!$G$6,ISNUMBER(SEARCH("Pakistan",C11))=TRUE,Baseline!$G$7),Baseline!$G$5),(K11-G11)/K11),"TBD")</f>
        <v>0.35</v>
      </c>
      <c r="K11" s="511">
        <f t="shared" si="2"/>
        <v>0</v>
      </c>
      <c r="L11" s="512"/>
      <c r="M11" s="149">
        <f t="shared" si="0"/>
        <v>0</v>
      </c>
      <c r="N11" s="116"/>
      <c r="O11" s="117"/>
      <c r="P11" s="117"/>
      <c r="Q11" s="118"/>
    </row>
    <row r="12" spans="1:17">
      <c r="B12" s="39"/>
      <c r="C12" s="39"/>
      <c r="D12" s="113">
        <v>0</v>
      </c>
      <c r="E12" s="113" t="s">
        <v>389</v>
      </c>
      <c r="F12" s="130"/>
      <c r="G12" s="131">
        <f>IFERROR(IF(E12="Regular",VLOOKUP(C12,Resource_Rates_Table[],3,FALSE),(IF(Pilot!E12="OT",VLOOKUP(C12,Resource_Rates_Table[],4,FALSE),IF(E12="Regular/1st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 t="shared" si="1"/>
        <v>0</v>
      </c>
      <c r="I12" s="141" t="s">
        <v>390</v>
      </c>
      <c r="J12" s="144" cm="1">
        <f t="array" ref="J12">IFERROR(IF(I12="Specified Margin",IFERROR(_xlfn.IFS(ISNUMBER(SEARCH("India",C12))=TRUE,Baseline!$G$6,ISNUMBER(SEARCH("Pakistan",C12))=TRUE,Baseline!$G$7),Baseline!$G$5),(K12-G12)/K12),"TBD")</f>
        <v>0.35</v>
      </c>
      <c r="K12" s="511">
        <f t="shared" si="2"/>
        <v>0</v>
      </c>
      <c r="L12" s="512"/>
      <c r="M12" s="149">
        <f t="shared" si="0"/>
        <v>0</v>
      </c>
      <c r="N12" s="116"/>
      <c r="O12" s="117"/>
      <c r="P12" s="117"/>
      <c r="Q12" s="118"/>
    </row>
    <row r="13" spans="1:17">
      <c r="B13" s="39"/>
      <c r="C13" s="39"/>
      <c r="D13" s="113">
        <v>0</v>
      </c>
      <c r="E13" s="113" t="s">
        <v>389</v>
      </c>
      <c r="F13" s="130"/>
      <c r="G13" s="131">
        <f>IFERROR(IF(E13="Regular",VLOOKUP(C13,Resource_Rates_Table[],3,FALSE),(IF(Pilot!E13="OT",VLOOKUP(C13,Resource_Rates_Table[],4,FALSE),IF(E13="Regular/1st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si="1"/>
        <v>0</v>
      </c>
      <c r="I13" s="141" t="s">
        <v>390</v>
      </c>
      <c r="J13" s="144" cm="1">
        <f t="array" ref="J13">IFERROR(IF(I13="Specified Margin",IFERROR(_xlfn.IFS(ISNUMBER(SEARCH("India",C13))=TRUE,Baseline!$G$6,ISNUMBER(SEARCH("Pakistan",C13))=TRUE,Baseline!$G$7),Baseline!$G$5),(K13-G13)/K13),"TBD")</f>
        <v>0.35</v>
      </c>
      <c r="K13" s="511">
        <f t="shared" si="2"/>
        <v>0</v>
      </c>
      <c r="L13" s="512"/>
      <c r="M13" s="149">
        <f t="shared" si="0"/>
        <v>0</v>
      </c>
      <c r="N13" s="116"/>
      <c r="O13" s="117"/>
      <c r="P13" s="117"/>
      <c r="Q13" s="118"/>
    </row>
    <row r="14" spans="1:17">
      <c r="B14" s="39"/>
      <c r="C14" s="39"/>
      <c r="D14" s="113">
        <v>0</v>
      </c>
      <c r="E14" s="113" t="s">
        <v>389</v>
      </c>
      <c r="F14" s="130"/>
      <c r="G14" s="131">
        <f>IFERROR(IF(E14="Regular",VLOOKUP(C14,Resource_Rates_Table[],3,FALSE),(IF(Pilot!E14="OT",VLOOKUP(C14,Resource_Rates_Table[],4,FALSE),IF(E14="Regular/1st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1"/>
        <v>0</v>
      </c>
      <c r="I14" s="141" t="s">
        <v>390</v>
      </c>
      <c r="J14" s="144" cm="1">
        <f t="array" ref="J14">IFERROR(IF(I14="Specified Margin",IFERROR(_xlfn.IFS(ISNUMBER(SEARCH("India",C14))=TRUE,Baseline!$G$6,ISNUMBER(SEARCH("Pakistan",C14))=TRUE,Baseline!$G$7),Baseline!$G$5),(K14-G14)/K14),"TBD")</f>
        <v>0.35</v>
      </c>
      <c r="K14" s="511">
        <f t="shared" si="2"/>
        <v>0</v>
      </c>
      <c r="L14" s="512"/>
      <c r="M14" s="149">
        <f t="shared" si="0"/>
        <v>0</v>
      </c>
      <c r="N14" s="116"/>
      <c r="O14" s="117"/>
      <c r="P14" s="117"/>
      <c r="Q14" s="118"/>
    </row>
    <row r="15" spans="1:17">
      <c r="B15" s="39"/>
      <c r="C15" s="39"/>
      <c r="D15" s="113">
        <v>0</v>
      </c>
      <c r="E15" s="113" t="s">
        <v>389</v>
      </c>
      <c r="F15" s="130"/>
      <c r="G15" s="131">
        <f>IFERROR(IF(E15="Regular",VLOOKUP(C15,Resource_Rates_Table[],3,FALSE),(IF(Pilot!E15="OT",VLOOKUP(C15,Resource_Rates_Table[],4,FALSE),IF(E15="Regular/1st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1"/>
        <v>0</v>
      </c>
      <c r="I15" s="141" t="s">
        <v>390</v>
      </c>
      <c r="J15" s="144" cm="1">
        <f t="array" ref="J15">IFERROR(IF(I15="Specified Margin",IFERROR(_xlfn.IFS(ISNUMBER(SEARCH("India",C15))=TRUE,Baseline!$G$6,ISNUMBER(SEARCH("Pakistan",C15))=TRUE,Baseline!$G$7),Baseline!$G$5),(K15-G15)/K15),"TBD")</f>
        <v>0.35</v>
      </c>
      <c r="K15" s="511">
        <f t="shared" si="2"/>
        <v>0</v>
      </c>
      <c r="L15" s="512"/>
      <c r="M15" s="149">
        <f t="shared" si="0"/>
        <v>0</v>
      </c>
      <c r="N15" s="116"/>
      <c r="O15" s="117"/>
      <c r="P15" s="117"/>
      <c r="Q15" s="118"/>
    </row>
    <row r="16" spans="1:17">
      <c r="B16" s="39"/>
      <c r="C16" s="39"/>
      <c r="D16" s="113">
        <v>0</v>
      </c>
      <c r="E16" s="113" t="s">
        <v>389</v>
      </c>
      <c r="F16" s="130"/>
      <c r="G16" s="131">
        <f>IFERROR(IF(E16="Regular",VLOOKUP(C16,Resource_Rates_Table[],3,FALSE),(IF(Pilot!E16="OT",VLOOKUP(C16,Resource_Rates_Table[],4,FALSE),IF(E16="Regular/1st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1"/>
        <v>0</v>
      </c>
      <c r="I16" s="141" t="s">
        <v>390</v>
      </c>
      <c r="J16" s="144">
        <f>IFERROR(IF(I16="Specified Margin",IFERROR(_xlfn.IFS(ISNUMBER(SEARCH("India",C16))=TRUE,Baseline!$G$6,ISNUMBER(SEARCH("Pakistan",C16))=TRUE,Baseline!$G$7),Baseline!$G$5),(K16-G16)/K16),"TBD")</f>
        <v>0.35</v>
      </c>
      <c r="K16" s="511">
        <f>IFERROR(IF(I16="Specified Margin",G16/(1-J16),"Enter Sell Rate"),"TBD")</f>
        <v>0</v>
      </c>
      <c r="L16" s="512"/>
      <c r="M16" s="149">
        <f t="shared" si="0"/>
        <v>0</v>
      </c>
      <c r="N16" s="116"/>
      <c r="O16" s="117"/>
      <c r="P16" s="117"/>
      <c r="Q16" s="118"/>
    </row>
    <row r="17" spans="2:17">
      <c r="B17" s="39"/>
      <c r="C17" s="39"/>
      <c r="D17" s="113">
        <v>0</v>
      </c>
      <c r="E17" s="113" t="s">
        <v>389</v>
      </c>
      <c r="F17" s="130"/>
      <c r="G17" s="131">
        <f>IFERROR(IF(E17="Regular",VLOOKUP(C17,Resource_Rates_Table[],3,FALSE),(IF(Pilot!E17="OT",VLOOKUP(C17,Resource_Rates_Table[],4,FALSE),IF(E17="Regular/1st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1"/>
        <v>0</v>
      </c>
      <c r="I17" s="141" t="s">
        <v>390</v>
      </c>
      <c r="J17" s="144" cm="1">
        <f t="array" ref="J17">IFERROR(IF(I17="Specified Margin",IFERROR(_xlfn.IFS(ISNUMBER(SEARCH("India",C17))=TRUE,Baseline!$G$6,ISNUMBER(SEARCH("Pakistan",C17))=TRUE,Baseline!$G$7),Baseline!$G$5),(K17-G17)/K17),"TBD")</f>
        <v>0.35</v>
      </c>
      <c r="K17" s="511">
        <f>IFERROR(IF(I17="Specified Margin",G17/(1-J17),"Enter Sell Rate"),"TBD")</f>
        <v>0</v>
      </c>
      <c r="L17" s="512"/>
      <c r="M17" s="149">
        <f t="shared" si="0"/>
        <v>0</v>
      </c>
      <c r="N17" s="116"/>
      <c r="O17" s="117"/>
      <c r="P17" s="117"/>
      <c r="Q17" s="118"/>
    </row>
    <row r="18" spans="2:17">
      <c r="B18" s="39"/>
      <c r="C18" s="39"/>
      <c r="D18" s="113">
        <v>0</v>
      </c>
      <c r="E18" s="113" t="s">
        <v>389</v>
      </c>
      <c r="F18" s="130"/>
      <c r="G18" s="131">
        <f>IFERROR(IF(E18="Regular",VLOOKUP(C18,Resource_Rates_Table[],3,FALSE),(IF(Pilot!E18="OT",VLOOKUP(C18,Resource_Rates_Table[],4,FALSE),IF(E18="Regular/1st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1"/>
        <v>0</v>
      </c>
      <c r="I18" s="141" t="s">
        <v>390</v>
      </c>
      <c r="J18" s="144" cm="1">
        <f t="array" ref="J18">IFERROR(IF(I18="Specified Margin",IFERROR(_xlfn.IFS(ISNUMBER(SEARCH("India",C18))=TRUE,Baseline!$G$6,ISNUMBER(SEARCH("Pakistan",C18))=TRUE,Baseline!$G$7),Baseline!$G$5),(K18-G18)/K18),"TBD")</f>
        <v>0.35</v>
      </c>
      <c r="K18" s="511">
        <f t="shared" si="2"/>
        <v>0</v>
      </c>
      <c r="L18" s="512"/>
      <c r="M18" s="149">
        <f t="shared" si="0"/>
        <v>0</v>
      </c>
      <c r="N18" s="116"/>
      <c r="O18" s="117"/>
      <c r="P18" s="117"/>
      <c r="Q18" s="118"/>
    </row>
    <row r="19" spans="2:17">
      <c r="B19" s="39"/>
      <c r="C19" s="39"/>
      <c r="D19" s="113">
        <v>0</v>
      </c>
      <c r="E19" s="113" t="s">
        <v>389</v>
      </c>
      <c r="F19" s="130"/>
      <c r="G19" s="131">
        <f>IFERROR(IF(E19="Regular",VLOOKUP(C19,Resource_Rates_Table[],3,FALSE),(IF(Pilot!E19="OT",VLOOKUP(C19,Resource_Rates_Table[],4,FALSE),IF(E19="Regular/1st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1"/>
        <v>0</v>
      </c>
      <c r="I19" s="141" t="s">
        <v>390</v>
      </c>
      <c r="J19" s="144" cm="1">
        <f t="array" ref="J19">IFERROR(IF(I19="Specified Margin",IFERROR(_xlfn.IFS(ISNUMBER(SEARCH("India",C19))=TRUE,Baseline!$G$6,ISNUMBER(SEARCH("Pakistan",C19))=TRUE,Baseline!$G$7),Baseline!$G$5),(K19-G19)/K19),"TBD")</f>
        <v>0.35</v>
      </c>
      <c r="K19" s="511">
        <f t="shared" si="2"/>
        <v>0</v>
      </c>
      <c r="L19" s="512"/>
      <c r="M19" s="149">
        <f t="shared" si="0"/>
        <v>0</v>
      </c>
      <c r="N19" s="116"/>
      <c r="O19" s="117"/>
      <c r="P19" s="117"/>
      <c r="Q19" s="118"/>
    </row>
    <row r="20" spans="2:17">
      <c r="B20" s="39"/>
      <c r="C20" s="39"/>
      <c r="D20" s="113">
        <v>0</v>
      </c>
      <c r="E20" s="113" t="s">
        <v>389</v>
      </c>
      <c r="F20" s="130"/>
      <c r="G20" s="131">
        <f>IFERROR(IF(E20="Regular",VLOOKUP(C20,Resource_Rates_Table[],3,FALSE),(IF(Pilot!E20="OT",VLOOKUP(C20,Resource_Rates_Table[],4,FALSE),IF(E20="Regular/1st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ref="H20:H27" si="3">D20*G20</f>
        <v>0</v>
      </c>
      <c r="I20" s="141" t="s">
        <v>390</v>
      </c>
      <c r="J20" s="144" cm="1">
        <f t="array" ref="J20">IFERROR(IF(I20="Specified Margin",IFERROR(_xlfn.IFS(ISNUMBER(SEARCH("India",C20))=TRUE,Baseline!$G$6,ISNUMBER(SEARCH("Pakistan",C20))=TRUE,Baseline!$G$7),Baseline!$G$5),(K20-G20)/K20),"TBD")</f>
        <v>0.35</v>
      </c>
      <c r="K20" s="511">
        <f t="shared" si="2"/>
        <v>0</v>
      </c>
      <c r="L20" s="512"/>
      <c r="M20" s="149">
        <f t="shared" si="0"/>
        <v>0</v>
      </c>
      <c r="N20" s="116"/>
      <c r="O20" s="117"/>
      <c r="P20" s="117"/>
      <c r="Q20" s="118"/>
    </row>
    <row r="21" spans="2:17">
      <c r="B21" s="39"/>
      <c r="C21" s="39"/>
      <c r="D21" s="113">
        <v>0</v>
      </c>
      <c r="E21" s="113" t="s">
        <v>389</v>
      </c>
      <c r="F21" s="130"/>
      <c r="G21" s="131">
        <f>IFERROR(IF(E21="Regular",VLOOKUP(C21,Resource_Rates_Table[],3,FALSE),(IF(Pilot!E21="OT",VLOOKUP(C21,Resource_Rates_Table[],4,FALSE),IF(E21="Regular/1st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3"/>
        <v>0</v>
      </c>
      <c r="I21" s="141" t="s">
        <v>390</v>
      </c>
      <c r="J21" s="144" cm="1">
        <f t="array" ref="J21">IFERROR(IF(I21="Specified Margin",IFERROR(_xlfn.IFS(ISNUMBER(SEARCH("India",C21))=TRUE,Baseline!$G$6,ISNUMBER(SEARCH("Pakistan",C21))=TRUE,Baseline!$G$7),Baseline!$G$5),(K21-G21)/K21),"TBD")</f>
        <v>0.35</v>
      </c>
      <c r="K21" s="511">
        <f t="shared" si="2"/>
        <v>0</v>
      </c>
      <c r="L21" s="512"/>
      <c r="M21" s="149">
        <f t="shared" si="0"/>
        <v>0</v>
      </c>
      <c r="N21" s="116"/>
      <c r="O21" s="117"/>
      <c r="P21" s="117"/>
      <c r="Q21" s="118"/>
    </row>
    <row r="22" spans="2:17">
      <c r="B22" s="39"/>
      <c r="C22" s="39"/>
      <c r="D22" s="113">
        <v>0</v>
      </c>
      <c r="E22" s="113" t="s">
        <v>389</v>
      </c>
      <c r="F22" s="130"/>
      <c r="G22" s="131">
        <f>IFERROR(IF(E22="Regular",VLOOKUP(C22,Resource_Rates_Table[],3,FALSE),(IF(Pilot!E22="OT",VLOOKUP(C22,Resource_Rates_Table[],4,FALSE),IF(E22="Regular/1st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si="3"/>
        <v>0</v>
      </c>
      <c r="I22" s="141" t="s">
        <v>390</v>
      </c>
      <c r="J22" s="144" cm="1">
        <f t="array" ref="J22">IFERROR(IF(I22="Specified Margin",IFERROR(_xlfn.IFS(ISNUMBER(SEARCH("India",C22))=TRUE,Baseline!$G$6,ISNUMBER(SEARCH("Pakistan",C22))=TRUE,Baseline!$G$7),Baseline!$G$5),(K22-G22)/K22),"TBD")</f>
        <v>0.35</v>
      </c>
      <c r="K22" s="511">
        <f t="shared" si="2"/>
        <v>0</v>
      </c>
      <c r="L22" s="512"/>
      <c r="M22" s="149">
        <f t="shared" si="0"/>
        <v>0</v>
      </c>
      <c r="N22" s="116"/>
      <c r="O22" s="117"/>
      <c r="P22" s="117"/>
      <c r="Q22" s="118"/>
    </row>
    <row r="23" spans="2:17">
      <c r="B23" s="39"/>
      <c r="C23" s="39"/>
      <c r="D23" s="113">
        <v>0</v>
      </c>
      <c r="E23" s="113" t="s">
        <v>389</v>
      </c>
      <c r="F23" s="130"/>
      <c r="G23" s="131">
        <f>IFERROR(IF(E23="Regular",VLOOKUP(C23,Resource_Rates_Table[],3,FALSE),(IF(Pilot!E23="OT",VLOOKUP(C23,Resource_Rates_Table[],4,FALSE),IF(E23="Regular/1st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390</v>
      </c>
      <c r="J23" s="144" cm="1">
        <f t="array" ref="J23">IFERROR(IF(I23="Specified Margin",IFERROR(_xlfn.IFS(ISNUMBER(SEARCH("India",C23))=TRUE,Baseline!$G$6,ISNUMBER(SEARCH("Pakistan",C23))=TRUE,Baseline!$G$7),Baseline!$G$5),(K23-G23)/K23),"TBD")</f>
        <v>0.35</v>
      </c>
      <c r="K23" s="511">
        <f t="shared" si="2"/>
        <v>0</v>
      </c>
      <c r="L23" s="512"/>
      <c r="M23" s="149">
        <f t="shared" si="0"/>
        <v>0</v>
      </c>
      <c r="N23" s="116"/>
      <c r="O23" s="117"/>
      <c r="P23" s="117"/>
      <c r="Q23" s="118"/>
    </row>
    <row r="24" spans="2:17">
      <c r="B24" s="39"/>
      <c r="C24" s="39"/>
      <c r="D24" s="113">
        <v>0</v>
      </c>
      <c r="E24" s="113" t="s">
        <v>389</v>
      </c>
      <c r="F24" s="133"/>
      <c r="G24" s="131">
        <f>IFERROR(IF(E24="Regular",VLOOKUP(C24,Resource_Rates_Table[],3,FALSE),(IF(Pilot!E24="OT",VLOOKUP(C24,Resource_Rates_Table[],4,FALSE),IF(E24="Regular/1st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390</v>
      </c>
      <c r="J24" s="144" cm="1">
        <f t="array" ref="J24">IFERROR(IF(I24="Specified Margin",IFERROR(_xlfn.IFS(ISNUMBER(SEARCH("India",C24))=TRUE,Baseline!$G$6,ISNUMBER(SEARCH("Pakistan",C24))=TRUE,Baseline!$G$7),Baseline!$G$5),(K24-G24)/K24),"TBD")</f>
        <v>0.35</v>
      </c>
      <c r="K24" s="511">
        <f t="shared" si="2"/>
        <v>0</v>
      </c>
      <c r="L24" s="512"/>
      <c r="M24" s="149">
        <f t="shared" si="0"/>
        <v>0</v>
      </c>
      <c r="N24" s="340"/>
      <c r="O24" s="380"/>
      <c r="P24" s="380"/>
      <c r="Q24" s="341"/>
    </row>
    <row r="25" spans="2:17">
      <c r="B25" s="39"/>
      <c r="C25" s="39"/>
      <c r="D25" s="113">
        <v>0</v>
      </c>
      <c r="E25" s="113" t="s">
        <v>389</v>
      </c>
      <c r="F25" s="133"/>
      <c r="G25" s="131">
        <f>IFERROR(IF(E25="Regular",VLOOKUP(C25,Resource_Rates_Table[],3,FALSE),(IF(Pilot!E25="OT",VLOOKUP(C25,Resource_Rates_Table[],4,FALSE),IF(E25="Regular/1st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390</v>
      </c>
      <c r="J25" s="144" cm="1">
        <f t="array" ref="J25">IFERROR(IF(I25="Specified Margin",IFERROR(_xlfn.IFS(ISNUMBER(SEARCH("India",C25))=TRUE,Baseline!$G$6,ISNUMBER(SEARCH("Pakistan",C25))=TRUE,Baseline!$G$7),Baseline!$G$5),(K25-G25)/K25),"TBD")</f>
        <v>0.35</v>
      </c>
      <c r="K25" s="511">
        <f t="shared" si="2"/>
        <v>0</v>
      </c>
      <c r="L25" s="512"/>
      <c r="M25" s="149">
        <f t="shared" si="0"/>
        <v>0</v>
      </c>
      <c r="N25" s="340"/>
      <c r="O25" s="380"/>
      <c r="P25" s="380"/>
      <c r="Q25" s="341"/>
    </row>
    <row r="26" spans="2:17">
      <c r="B26" s="39"/>
      <c r="C26" s="39"/>
      <c r="D26" s="113">
        <v>0</v>
      </c>
      <c r="E26" s="113" t="s">
        <v>389</v>
      </c>
      <c r="F26" s="133"/>
      <c r="G26" s="131">
        <f>IFERROR(IF(E26="Regular",VLOOKUP(C26,Resource_Rates_Table[],3,FALSE),(IF(Pilot!E26="OT",VLOOKUP(C26,Resource_Rates_Table[],4,FALSE),IF(E26="Regular/1st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390</v>
      </c>
      <c r="J26" s="144" cm="1">
        <f t="array" ref="J26">IFERROR(IF(I26="Specified Margin",IFERROR(_xlfn.IFS(ISNUMBER(SEARCH("India",C26))=TRUE,Baseline!$G$6,ISNUMBER(SEARCH("Pakistan",C26))=TRUE,Baseline!$G$7),Baseline!$G$5),(K26-G26)/K26),"TBD")</f>
        <v>0.35</v>
      </c>
      <c r="K26" s="511">
        <f t="shared" si="2"/>
        <v>0</v>
      </c>
      <c r="L26" s="512"/>
      <c r="M26" s="149">
        <f t="shared" si="0"/>
        <v>0</v>
      </c>
      <c r="N26" s="340"/>
      <c r="O26" s="380"/>
      <c r="P26" s="380"/>
      <c r="Q26" s="341"/>
    </row>
    <row r="27" spans="2:17">
      <c r="B27" s="39"/>
      <c r="C27" s="39"/>
      <c r="D27" s="113">
        <v>0</v>
      </c>
      <c r="E27" s="113" t="s">
        <v>389</v>
      </c>
      <c r="F27" s="133"/>
      <c r="G27" s="131">
        <f>IFERROR(IF(E27="Regular",VLOOKUP(C27,Resource_Rates_Table[],3,FALSE),(IF(Pilot!E27="OT",VLOOKUP(C27,Resource_Rates_Table[],4,FALSE),IF(E27="Regular/1st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390</v>
      </c>
      <c r="J27" s="144" cm="1">
        <f t="array" ref="J27">IFERROR(IF(I27="Specified Margin",IFERROR(_xlfn.IFS(ISNUMBER(SEARCH("India",C27))=TRUE,Baseline!$G$6,ISNUMBER(SEARCH("Pakistan",C27))=TRUE,Baseline!$G$7),Baseline!$G$5),(K27-G27)/K27),"TBD")</f>
        <v>0.35</v>
      </c>
      <c r="K27" s="511">
        <f t="shared" si="2"/>
        <v>0</v>
      </c>
      <c r="L27" s="512"/>
      <c r="M27" s="149">
        <f t="shared" si="0"/>
        <v>0</v>
      </c>
      <c r="N27" s="340"/>
      <c r="O27" s="380"/>
      <c r="P27" s="380"/>
      <c r="Q27" s="341"/>
    </row>
    <row r="28" spans="2:17">
      <c r="B28" s="6"/>
      <c r="C28" s="6" t="s">
        <v>391</v>
      </c>
      <c r="D28" s="134">
        <f>SUM(D8:D27)</f>
        <v>0</v>
      </c>
      <c r="E28" s="135"/>
      <c r="F28" s="135"/>
      <c r="G28" s="136" t="str">
        <f>IF(C3="Project",C2&amp;" Resource Cost:",C2&amp;" Per Unit Resource Cost:")</f>
        <v>Pilot Resource Cost:</v>
      </c>
      <c r="H28" s="137">
        <f>SUM(H8:H27)</f>
        <v>0</v>
      </c>
      <c r="I28" s="137" t="s">
        <v>392</v>
      </c>
      <c r="J28" s="152" t="str">
        <f>IFERROR((M28-H28)/M28,"TBD")</f>
        <v>TBD</v>
      </c>
      <c r="K28" s="386" t="s">
        <v>393</v>
      </c>
      <c r="L28" s="379"/>
      <c r="M28" s="137">
        <f>SUM(M8:M27)</f>
        <v>0</v>
      </c>
      <c r="N28" s="135"/>
      <c r="O28" s="135"/>
      <c r="P28" s="135"/>
      <c r="Q28" s="135"/>
    </row>
    <row r="29" spans="2:17">
      <c r="D29" s="119"/>
    </row>
    <row r="30" spans="2:17">
      <c r="B30" s="7" t="str">
        <f>C2&amp;" Partner Cost Factors:"</f>
        <v>Pilot Partner Cost Factors:</v>
      </c>
      <c r="C30" s="7"/>
      <c r="D30" s="126"/>
      <c r="E30" s="126"/>
      <c r="F30" s="126"/>
      <c r="G30" s="126"/>
      <c r="H30" s="126"/>
      <c r="I30" s="126"/>
      <c r="J30" s="126"/>
      <c r="K30" s="126"/>
      <c r="L30" s="126"/>
      <c r="M30" s="126"/>
      <c r="N30" s="126"/>
      <c r="O30" s="126"/>
      <c r="P30" s="126"/>
      <c r="Q30" s="127"/>
    </row>
    <row r="31" spans="2:17">
      <c r="B31" s="4" t="s">
        <v>394</v>
      </c>
      <c r="C31" s="4" t="s">
        <v>395</v>
      </c>
      <c r="D31" s="4" t="s">
        <v>396</v>
      </c>
      <c r="E31" s="128" t="s">
        <v>381</v>
      </c>
      <c r="F31" s="128"/>
      <c r="G31" s="49" t="s">
        <v>397</v>
      </c>
      <c r="H31" s="49" t="s">
        <v>398</v>
      </c>
      <c r="I31" s="4" t="s">
        <v>384</v>
      </c>
      <c r="J31" s="4" t="s">
        <v>385</v>
      </c>
      <c r="K31" s="513" t="s">
        <v>399</v>
      </c>
      <c r="L31" s="514"/>
      <c r="M31" s="4" t="s">
        <v>400</v>
      </c>
      <c r="N31" s="381" t="s">
        <v>401</v>
      </c>
      <c r="O31" s="382"/>
      <c r="P31" s="382"/>
      <c r="Q31" s="383"/>
    </row>
    <row r="32" spans="2:17">
      <c r="B32" s="39"/>
      <c r="C32" s="39" t="str">
        <f>IF(B32="Field Nation",'Resource Descriptions'!$D$116,IF(B32="Partner",'Resource Descriptions'!$D$120,""))</f>
        <v/>
      </c>
      <c r="D32" s="113">
        <v>0</v>
      </c>
      <c r="E32" s="113" t="s">
        <v>389</v>
      </c>
      <c r="F32" s="115"/>
      <c r="G32" s="114">
        <f>IFERROR(IF(B32="Partner","Enter Partner Price",IF(B32="Field Nation",IF(E32="Regular",VLOOKUP(C32,'Resource Descriptions'!$D$116:$I$119,3,FALSE),IF(E32="OT",VLOOKUP(C32,'Resource Descriptions'!$D$116:$I$119,4,FALSE),0)),0)),0)</f>
        <v>0</v>
      </c>
      <c r="H32" s="53">
        <f t="shared" ref="H32:H39" si="4">IFERROR(D32*G32,"TBD")</f>
        <v>0</v>
      </c>
      <c r="I32" s="141" t="s">
        <v>390</v>
      </c>
      <c r="J32" s="144">
        <f>IFERROR(IF(I32="Specified Margin",Baseline!$G$8,(K32-G32)/K32),"TBD")</f>
        <v>0.3</v>
      </c>
      <c r="K32" s="511">
        <f>IFERROR(IF(I32="Specified Margin",G32/(1-J32),"Enter Sell Rate"),"TBD")</f>
        <v>0</v>
      </c>
      <c r="L32" s="512"/>
      <c r="M32" s="160">
        <f>IFERROR(D32*K32,"TBD")</f>
        <v>0</v>
      </c>
      <c r="N32" s="340"/>
      <c r="O32" s="380"/>
      <c r="P32" s="380"/>
      <c r="Q32" s="341"/>
    </row>
    <row r="33" spans="2:17">
      <c r="B33" s="39"/>
      <c r="C33" s="39" t="str">
        <f>IF(B33="Field Nation",'Resource Descriptions'!$D$116,IF(B33="Partner",'Resource Descriptions'!$D$120,""))</f>
        <v/>
      </c>
      <c r="D33" s="113">
        <v>0</v>
      </c>
      <c r="E33" s="113" t="s">
        <v>389</v>
      </c>
      <c r="F33" s="115"/>
      <c r="G33" s="114">
        <f>IFERROR(IF(B33="Partner","Enter Partner Price",IF(B33="Field Nation",IF(E33="Regular",VLOOKUP(C33,'Resource Descriptions'!$D$116:$I$119,3,FALSE),IF(E33="OT",VLOOKUP(C33,'Resource Descriptions'!$D$116:$I$119,4,FALSE),0)),0)),0)</f>
        <v>0</v>
      </c>
      <c r="H33" s="53">
        <f t="shared" si="4"/>
        <v>0</v>
      </c>
      <c r="I33" s="141" t="s">
        <v>390</v>
      </c>
      <c r="J33" s="144">
        <f>IFERROR(IF(I33="Specified Margin",Baseline!$G$8,(K33-G33)/K33),"TBD")</f>
        <v>0.3</v>
      </c>
      <c r="K33" s="511">
        <f t="shared" ref="K33:K39" si="5">IFERROR(IF(I33="Specified Margin",G33/(1-J33),"Enter Sell Rate"),"TBD")</f>
        <v>0</v>
      </c>
      <c r="L33" s="512"/>
      <c r="M33" s="160">
        <f t="shared" ref="M33:M39" si="6">IFERROR(D33*K33,"TBD")</f>
        <v>0</v>
      </c>
      <c r="N33" s="116"/>
      <c r="O33" s="117"/>
      <c r="P33" s="117"/>
      <c r="Q33" s="118"/>
    </row>
    <row r="34" spans="2:17">
      <c r="B34" s="39"/>
      <c r="C34" s="39" t="str">
        <f>IF(B34="Field Nation",'Resource Descriptions'!$D$116,IF(B34="Partner",'Resource Descriptions'!$D$120,""))</f>
        <v/>
      </c>
      <c r="D34" s="113">
        <v>0</v>
      </c>
      <c r="E34" s="113" t="s">
        <v>389</v>
      </c>
      <c r="F34" s="115"/>
      <c r="G34" s="114">
        <f>IFERROR(IF(B34="Partner","Enter Partner Price",IF(B34="Field Nation",IF(E34="Regular",VLOOKUP(C34,'Resource Descriptions'!$D$116:$I$119,3,FALSE),IF(E34="OT",VLOOKUP(C34,'Resource Descriptions'!$D$116:$I$119,4,FALSE),0)),0)),0)</f>
        <v>0</v>
      </c>
      <c r="H34" s="53">
        <f t="shared" si="4"/>
        <v>0</v>
      </c>
      <c r="I34" s="141" t="s">
        <v>390</v>
      </c>
      <c r="J34" s="144">
        <f>IFERROR(IF(I34="Specified Margin",Baseline!$G$8,(K34-G34)/K34),"TBD")</f>
        <v>0.3</v>
      </c>
      <c r="K34" s="511">
        <f t="shared" si="5"/>
        <v>0</v>
      </c>
      <c r="L34" s="512"/>
      <c r="M34" s="160">
        <f t="shared" si="6"/>
        <v>0</v>
      </c>
      <c r="N34" s="116"/>
      <c r="O34" s="117"/>
      <c r="P34" s="117"/>
      <c r="Q34" s="118"/>
    </row>
    <row r="35" spans="2:17">
      <c r="B35" s="39"/>
      <c r="C35" s="39" t="str">
        <f>IF(B35="Field Nation",'Resource Descriptions'!$D$116,IF(B35="Partner",'Resource Descriptions'!$D$120,""))</f>
        <v/>
      </c>
      <c r="D35" s="113">
        <v>0</v>
      </c>
      <c r="E35" s="113" t="s">
        <v>389</v>
      </c>
      <c r="F35" s="115"/>
      <c r="G35" s="114">
        <f>IFERROR(IF(B35="Partner","Enter Partner Price",IF(B35="Field Nation",IF(E35="Regular",VLOOKUP(C35,'Resource Descriptions'!$D$116:$I$119,3,FALSE),IF(E35="OT",VLOOKUP(C35,'Resource Descriptions'!$D$116:$I$119,4,FALSE),0)),0)),0)</f>
        <v>0</v>
      </c>
      <c r="H35" s="53">
        <f t="shared" si="4"/>
        <v>0</v>
      </c>
      <c r="I35" s="141" t="s">
        <v>390</v>
      </c>
      <c r="J35" s="144">
        <f>IFERROR(IF(I35="Specified Margin",Baseline!$G$8,(K35-G35)/K35),"TBD")</f>
        <v>0.3</v>
      </c>
      <c r="K35" s="511">
        <f t="shared" si="5"/>
        <v>0</v>
      </c>
      <c r="L35" s="512"/>
      <c r="M35" s="160">
        <f t="shared" si="6"/>
        <v>0</v>
      </c>
      <c r="N35" s="116"/>
      <c r="O35" s="117"/>
      <c r="P35" s="117"/>
      <c r="Q35" s="118"/>
    </row>
    <row r="36" spans="2:17">
      <c r="B36" s="39"/>
      <c r="C36" s="39" t="str">
        <f>IF(B36="Field Nation",'Resource Descriptions'!$D$116,IF(B36="Partner",'Resource Descriptions'!$D$120,""))</f>
        <v/>
      </c>
      <c r="D36" s="113">
        <v>0</v>
      </c>
      <c r="E36" s="113" t="s">
        <v>389</v>
      </c>
      <c r="F36" s="115"/>
      <c r="G36" s="114">
        <f>IFERROR(IF(B36="Partner","Enter Partner Price",IF(B36="Field Nation",IF(E36="Regular",VLOOKUP(C36,'Resource Descriptions'!$D$116:$I$119,3,FALSE),IF(E36="OT",VLOOKUP(C36,'Resource Descriptions'!$D$116:$I$119,4,FALSE),0)),0)),0)</f>
        <v>0</v>
      </c>
      <c r="H36" s="53">
        <f t="shared" si="4"/>
        <v>0</v>
      </c>
      <c r="I36" s="141" t="s">
        <v>390</v>
      </c>
      <c r="J36" s="144">
        <f>IFERROR(IF(I36="Specified Margin",Baseline!$G$8,(K36-G36)/K36),"TBD")</f>
        <v>0.3</v>
      </c>
      <c r="K36" s="511">
        <f t="shared" si="5"/>
        <v>0</v>
      </c>
      <c r="L36" s="512"/>
      <c r="M36" s="160">
        <f t="shared" si="6"/>
        <v>0</v>
      </c>
      <c r="N36" s="116"/>
      <c r="O36" s="117"/>
      <c r="P36" s="117"/>
      <c r="Q36" s="118"/>
    </row>
    <row r="37" spans="2:17">
      <c r="B37" s="39"/>
      <c r="C37" s="39" t="str">
        <f>IF(B37="Field Nation",'Resource Descriptions'!$D$116,IF(B37="Partner",'Resource Descriptions'!$D$120,""))</f>
        <v/>
      </c>
      <c r="D37" s="113">
        <v>0</v>
      </c>
      <c r="E37" s="113" t="s">
        <v>389</v>
      </c>
      <c r="F37" s="115"/>
      <c r="G37" s="114">
        <f>IFERROR(IF(B37="Partner","Enter Partner Price",IF(B37="Field Nation",IF(E37="Regular",VLOOKUP(C37,'Resource Descriptions'!$D$116:$I$119,3,FALSE),IF(E37="OT",VLOOKUP(C37,'Resource Descriptions'!$D$116:$I$119,4,FALSE),0)),0)),0)</f>
        <v>0</v>
      </c>
      <c r="H37" s="53">
        <f t="shared" si="4"/>
        <v>0</v>
      </c>
      <c r="I37" s="141" t="s">
        <v>390</v>
      </c>
      <c r="J37" s="144">
        <f>IFERROR(IF(I37="Specified Margin",Baseline!$G$8,(K37-G37)/K37),"TBD")</f>
        <v>0.3</v>
      </c>
      <c r="K37" s="511">
        <f t="shared" si="5"/>
        <v>0</v>
      </c>
      <c r="L37" s="512"/>
      <c r="M37" s="160">
        <f t="shared" si="6"/>
        <v>0</v>
      </c>
      <c r="N37" s="116"/>
      <c r="O37" s="117"/>
      <c r="P37" s="117"/>
      <c r="Q37" s="118"/>
    </row>
    <row r="38" spans="2:17">
      <c r="B38" s="39"/>
      <c r="C38" s="39" t="str">
        <f>IF(B38="Field Nation",'Resource Descriptions'!$D$116,IF(B38="Partner",'Resource Descriptions'!$D$120,""))</f>
        <v/>
      </c>
      <c r="D38" s="113">
        <v>0</v>
      </c>
      <c r="E38" s="113" t="s">
        <v>389</v>
      </c>
      <c r="F38" s="115"/>
      <c r="G38" s="114">
        <f>IFERROR(IF(B38="Partner","Enter Partner Price",IF(B38="Field Nation",IF(E38="Regular",VLOOKUP(C38,'Resource Descriptions'!$D$116:$I$119,3,FALSE),IF(E38="OT",VLOOKUP(C38,'Resource Descriptions'!$D$116:$I$119,4,FALSE),0)),0)),0)</f>
        <v>0</v>
      </c>
      <c r="H38" s="53">
        <f t="shared" si="4"/>
        <v>0</v>
      </c>
      <c r="I38" s="141" t="s">
        <v>390</v>
      </c>
      <c r="J38" s="144">
        <f>IFERROR(IF(I38="Specified Margin",Baseline!$G$8,(K38-G38)/K38),"TBD")</f>
        <v>0.3</v>
      </c>
      <c r="K38" s="511">
        <f t="shared" si="5"/>
        <v>0</v>
      </c>
      <c r="L38" s="512"/>
      <c r="M38" s="160">
        <f t="shared" si="6"/>
        <v>0</v>
      </c>
      <c r="N38" s="340"/>
      <c r="O38" s="380"/>
      <c r="P38" s="380"/>
      <c r="Q38" s="341"/>
    </row>
    <row r="39" spans="2:17">
      <c r="B39" s="39"/>
      <c r="C39" s="39" t="str">
        <f>IF(B39="Field Nation",'Resource Descriptions'!$D$116,IF(B39="Partner",'Resource Descriptions'!$D$120,""))</f>
        <v/>
      </c>
      <c r="D39" s="113">
        <v>0</v>
      </c>
      <c r="E39" s="113" t="s">
        <v>389</v>
      </c>
      <c r="F39" s="115"/>
      <c r="G39" s="114">
        <f>IFERROR(IF(B39="Partner","Enter Partner Price",IF(B39="Field Nation",IF(E39="Regular",VLOOKUP(C39,'Resource Descriptions'!$D$116:$I$119,3,FALSE),IF(E39="OT",VLOOKUP(C39,'Resource Descriptions'!$D$116:$I$119,4,FALSE),0)),0)),0)</f>
        <v>0</v>
      </c>
      <c r="H39" s="53">
        <f t="shared" si="4"/>
        <v>0</v>
      </c>
      <c r="I39" s="141" t="s">
        <v>390</v>
      </c>
      <c r="J39" s="144">
        <f>IFERROR(IF(I39="Specified Margin",Baseline!$G$8,(K39-G39)/K39),"TBD")</f>
        <v>0.3</v>
      </c>
      <c r="K39" s="511">
        <f t="shared" si="5"/>
        <v>0</v>
      </c>
      <c r="L39" s="512"/>
      <c r="M39" s="160">
        <f t="shared" si="6"/>
        <v>0</v>
      </c>
      <c r="N39" s="340"/>
      <c r="O39" s="380"/>
      <c r="P39" s="380"/>
      <c r="Q39" s="341"/>
    </row>
    <row r="40" spans="2:17">
      <c r="B40" s="6"/>
      <c r="C40" s="159"/>
      <c r="D40" s="135"/>
      <c r="E40" s="135"/>
      <c r="F40" s="135"/>
      <c r="G40" s="136" t="str">
        <f>IF(C3="Project",C2&amp;" Partner Cost:",C2&amp;" Per Unit Partner Cost:")</f>
        <v>Pilot Partner Cost:</v>
      </c>
      <c r="H40" s="137">
        <f>SUM(H32:H39)</f>
        <v>0</v>
      </c>
      <c r="I40" s="137" t="s">
        <v>402</v>
      </c>
      <c r="J40" s="152" t="str">
        <f>IFERROR((M40-H40)/M40,"TBD")</f>
        <v>TBD</v>
      </c>
      <c r="K40" s="386" t="s">
        <v>403</v>
      </c>
      <c r="L40" s="379"/>
      <c r="M40" s="137">
        <f>SUM(M32:M39)</f>
        <v>0</v>
      </c>
      <c r="N40" s="135"/>
      <c r="O40" s="135"/>
      <c r="P40" s="135"/>
      <c r="Q40" s="135"/>
    </row>
    <row r="41" spans="2:17">
      <c r="D41" s="119"/>
    </row>
    <row r="42" spans="2:17">
      <c r="B42" s="7" t="str">
        <f>C2&amp;" Travel &amp; Living Cost Factors:"</f>
        <v>Pilot Travel &amp; Living Cost Factors:</v>
      </c>
      <c r="C42" s="126"/>
      <c r="D42" s="126"/>
      <c r="E42" s="126"/>
      <c r="F42" s="126"/>
      <c r="G42" s="126"/>
      <c r="H42" s="126"/>
      <c r="I42" s="126"/>
      <c r="J42" s="126"/>
      <c r="L42" s="32" t="str">
        <f>C2&amp;" Assumptions:"</f>
        <v>Pilot Assumptions:</v>
      </c>
      <c r="M42" s="32"/>
      <c r="N42" s="32"/>
      <c r="O42" s="32"/>
      <c r="P42" s="32"/>
      <c r="Q42" s="32"/>
    </row>
    <row r="43" spans="2:17">
      <c r="B43" s="4" t="s">
        <v>404</v>
      </c>
      <c r="C43" s="4" t="s">
        <v>405</v>
      </c>
      <c r="D43" s="4" t="s">
        <v>406</v>
      </c>
      <c r="E43" s="381" t="s">
        <v>407</v>
      </c>
      <c r="F43" s="392"/>
      <c r="G43" s="4" t="s">
        <v>384</v>
      </c>
      <c r="H43" s="13" t="s">
        <v>385</v>
      </c>
      <c r="I43" s="4" t="s">
        <v>408</v>
      </c>
      <c r="J43" s="4" t="s">
        <v>409</v>
      </c>
      <c r="L43" s="375"/>
      <c r="M43" s="376"/>
      <c r="N43" s="376"/>
      <c r="O43" s="376"/>
      <c r="P43" s="376"/>
      <c r="Q43" s="377"/>
    </row>
    <row r="44" spans="2:17">
      <c r="B44" s="39"/>
      <c r="C44" s="113">
        <v>0</v>
      </c>
      <c r="D44" s="120">
        <f>IFERROR(VLOOKUP(B44,'Expenses &amp; Materials'!$B$3:$C$9,2,FALSE),0)</f>
        <v>0</v>
      </c>
      <c r="E44" s="390">
        <f>C44*D44</f>
        <v>0</v>
      </c>
      <c r="F44" s="391"/>
      <c r="G44" s="141" t="s">
        <v>390</v>
      </c>
      <c r="H44" s="153">
        <f>IFERROR(IF(G44="Specified Margin",Baseline!$G$9,(I44-D44)/I44),"TBD")</f>
        <v>0.15</v>
      </c>
      <c r="I44" s="163">
        <f>IFERROR(IF(G44="Specified Margin",D44/(1-H44),"Enter Sell Rate"),"TBD")</f>
        <v>0</v>
      </c>
      <c r="J44" s="62">
        <f>IFERROR(C44*I44,"TBD")</f>
        <v>0</v>
      </c>
      <c r="L44" s="375"/>
      <c r="M44" s="376"/>
      <c r="N44" s="376"/>
      <c r="O44" s="376"/>
      <c r="P44" s="376"/>
      <c r="Q44" s="377"/>
    </row>
    <row r="45" spans="2:17">
      <c r="B45" s="39"/>
      <c r="C45" s="113">
        <v>0</v>
      </c>
      <c r="D45" s="120">
        <f>IFERROR(VLOOKUP(B45,'Expenses &amp; Materials'!$B$3:$C$9,2,FALSE),0)</f>
        <v>0</v>
      </c>
      <c r="E45" s="390">
        <f t="shared" ref="E45:E50" si="7">C45*D45</f>
        <v>0</v>
      </c>
      <c r="F45" s="391"/>
      <c r="G45" s="141" t="s">
        <v>390</v>
      </c>
      <c r="H45" s="153">
        <f>Baseline!$G$9</f>
        <v>0.15</v>
      </c>
      <c r="I45" s="163">
        <f t="shared" ref="I45:I51" si="8">IFERROR(IF(G45="Specified Margin",D45/(1-H45),"Enter Sell Rate"),"TBD")</f>
        <v>0</v>
      </c>
      <c r="J45" s="62">
        <f t="shared" ref="J45:J51" si="9">IFERROR(C45*I45,"TBD")</f>
        <v>0</v>
      </c>
      <c r="L45" s="375"/>
      <c r="M45" s="376"/>
      <c r="N45" s="376"/>
      <c r="O45" s="376"/>
      <c r="P45" s="376"/>
      <c r="Q45" s="377"/>
    </row>
    <row r="46" spans="2:17">
      <c r="B46" s="39"/>
      <c r="C46" s="113">
        <v>0</v>
      </c>
      <c r="D46" s="120">
        <f>IFERROR(VLOOKUP(B46,'Expenses &amp; Materials'!$B$3:$C$9,2,FALSE),0)</f>
        <v>0</v>
      </c>
      <c r="E46" s="390">
        <f t="shared" si="7"/>
        <v>0</v>
      </c>
      <c r="F46" s="391"/>
      <c r="G46" s="141" t="s">
        <v>390</v>
      </c>
      <c r="H46" s="153">
        <f>Baseline!$G$9</f>
        <v>0.15</v>
      </c>
      <c r="I46" s="163">
        <f t="shared" si="8"/>
        <v>0</v>
      </c>
      <c r="J46" s="62">
        <f t="shared" si="9"/>
        <v>0</v>
      </c>
      <c r="L46" s="375"/>
      <c r="M46" s="376"/>
      <c r="N46" s="376"/>
      <c r="O46" s="376"/>
      <c r="P46" s="376"/>
      <c r="Q46" s="377"/>
    </row>
    <row r="47" spans="2:17">
      <c r="B47" s="39"/>
      <c r="C47" s="113">
        <v>0</v>
      </c>
      <c r="D47" s="120">
        <f>IFERROR(VLOOKUP(B47,'Expenses &amp; Materials'!$B$3:$C$9,2,FALSE),0)</f>
        <v>0</v>
      </c>
      <c r="E47" s="390">
        <f t="shared" si="7"/>
        <v>0</v>
      </c>
      <c r="F47" s="391"/>
      <c r="G47" s="141" t="s">
        <v>390</v>
      </c>
      <c r="H47" s="153">
        <f>Baseline!$G$9</f>
        <v>0.15</v>
      </c>
      <c r="I47" s="163">
        <f t="shared" si="8"/>
        <v>0</v>
      </c>
      <c r="J47" s="62">
        <f t="shared" si="9"/>
        <v>0</v>
      </c>
      <c r="L47" s="375"/>
      <c r="M47" s="376"/>
      <c r="N47" s="376"/>
      <c r="O47" s="376"/>
      <c r="P47" s="376"/>
      <c r="Q47" s="377"/>
    </row>
    <row r="48" spans="2:17">
      <c r="B48" s="39"/>
      <c r="C48" s="113">
        <v>0</v>
      </c>
      <c r="D48" s="120">
        <f>IFERROR(VLOOKUP(B48,'Expenses &amp; Materials'!$B$3:$C$9,2,FALSE),0)</f>
        <v>0</v>
      </c>
      <c r="E48" s="390">
        <f t="shared" si="7"/>
        <v>0</v>
      </c>
      <c r="F48" s="391"/>
      <c r="G48" s="141" t="s">
        <v>390</v>
      </c>
      <c r="H48" s="153">
        <f>Baseline!$G$9</f>
        <v>0.15</v>
      </c>
      <c r="I48" s="163">
        <f t="shared" si="8"/>
        <v>0</v>
      </c>
      <c r="J48" s="62">
        <f t="shared" si="9"/>
        <v>0</v>
      </c>
      <c r="L48" s="375"/>
      <c r="M48" s="376"/>
      <c r="N48" s="376"/>
      <c r="O48" s="376"/>
      <c r="P48" s="376"/>
      <c r="Q48" s="377"/>
    </row>
    <row r="49" spans="2:17">
      <c r="B49" s="39"/>
      <c r="C49" s="113">
        <v>0</v>
      </c>
      <c r="D49" s="120">
        <f>IFERROR(VLOOKUP(B49,'Expenses &amp; Materials'!$B$3:$C$9,2,FALSE),0)</f>
        <v>0</v>
      </c>
      <c r="E49" s="390">
        <f t="shared" si="7"/>
        <v>0</v>
      </c>
      <c r="F49" s="391"/>
      <c r="G49" s="141" t="s">
        <v>390</v>
      </c>
      <c r="H49" s="153">
        <f>Baseline!$G$9</f>
        <v>0.15</v>
      </c>
      <c r="I49" s="163">
        <f t="shared" si="8"/>
        <v>0</v>
      </c>
      <c r="J49" s="62">
        <f t="shared" si="9"/>
        <v>0</v>
      </c>
      <c r="L49" s="375"/>
      <c r="M49" s="376"/>
      <c r="N49" s="376"/>
      <c r="O49" s="376"/>
      <c r="P49" s="376"/>
      <c r="Q49" s="377"/>
    </row>
    <row r="50" spans="2:17">
      <c r="B50" s="39"/>
      <c r="C50" s="113">
        <v>0</v>
      </c>
      <c r="D50" s="120">
        <f>IFERROR(VLOOKUP(B50,'Expenses &amp; Materials'!$B$3:$C$9,2,FALSE),0)</f>
        <v>0</v>
      </c>
      <c r="E50" s="390">
        <f t="shared" si="7"/>
        <v>0</v>
      </c>
      <c r="F50" s="391"/>
      <c r="G50" s="141" t="s">
        <v>390</v>
      </c>
      <c r="H50" s="153">
        <f>Baseline!$G$9</f>
        <v>0.15</v>
      </c>
      <c r="I50" s="163">
        <f t="shared" si="8"/>
        <v>0</v>
      </c>
      <c r="J50" s="62">
        <f t="shared" si="9"/>
        <v>0</v>
      </c>
      <c r="L50" s="375"/>
      <c r="M50" s="376"/>
      <c r="N50" s="376"/>
      <c r="O50" s="376"/>
      <c r="P50" s="376"/>
      <c r="Q50" s="377"/>
    </row>
    <row r="51" spans="2:17">
      <c r="B51" s="39"/>
      <c r="C51" s="113">
        <v>0</v>
      </c>
      <c r="D51" s="120">
        <f>IFERROR(VLOOKUP(B51,'Expenses &amp; Materials'!$B$3:$C$9,2,FALSE),0)</f>
        <v>0</v>
      </c>
      <c r="E51" s="390">
        <f>C51*D51</f>
        <v>0</v>
      </c>
      <c r="F51" s="391"/>
      <c r="G51" s="141" t="s">
        <v>390</v>
      </c>
      <c r="H51" s="153">
        <f>Baseline!$G$9</f>
        <v>0.15</v>
      </c>
      <c r="I51" s="163">
        <f t="shared" si="8"/>
        <v>0</v>
      </c>
      <c r="J51" s="62">
        <f t="shared" si="9"/>
        <v>0</v>
      </c>
      <c r="L51" s="375"/>
      <c r="M51" s="376"/>
      <c r="N51" s="376"/>
      <c r="O51" s="376"/>
      <c r="P51" s="376"/>
      <c r="Q51" s="377"/>
    </row>
    <row r="52" spans="2:17">
      <c r="B52" s="6"/>
      <c r="C52" s="135"/>
      <c r="D52" s="136" t="str">
        <f>IF(C3="Project",C2&amp;" Travel &amp; Living Cost:",C2&amp;" Per Unit Travel &amp; Living Cost:")</f>
        <v>Pilot Travel &amp; Living Cost:</v>
      </c>
      <c r="E52" s="378">
        <f>SUM(E44:E51)</f>
        <v>0</v>
      </c>
      <c r="F52" s="379"/>
      <c r="G52" s="143" t="s">
        <v>410</v>
      </c>
      <c r="H52" s="142" t="str">
        <f>IFERROR((J52-E52)/J52,"TBD")</f>
        <v>TBD</v>
      </c>
      <c r="I52" s="8" t="s">
        <v>411</v>
      </c>
      <c r="J52" s="137">
        <f>SUM(J44:J51)</f>
        <v>0</v>
      </c>
      <c r="L52" s="375"/>
      <c r="M52" s="376"/>
      <c r="N52" s="376"/>
      <c r="O52" s="376"/>
      <c r="P52" s="376"/>
      <c r="Q52" s="377"/>
    </row>
    <row r="53" spans="2:17">
      <c r="L53" s="375"/>
      <c r="M53" s="376"/>
      <c r="N53" s="376"/>
      <c r="O53" s="376"/>
      <c r="P53" s="376"/>
      <c r="Q53" s="377"/>
    </row>
    <row r="54" spans="2:17">
      <c r="B54" s="7" t="str">
        <f>C2&amp;" Material &amp; Other Cost Factors:"</f>
        <v>Pilot Material &amp; Other Cost Factors:</v>
      </c>
      <c r="C54" s="126"/>
      <c r="D54" s="126"/>
      <c r="E54" s="126"/>
      <c r="F54" s="126"/>
      <c r="G54" s="126"/>
      <c r="H54" s="126"/>
      <c r="I54" s="126"/>
      <c r="J54" s="126"/>
      <c r="L54" s="375"/>
      <c r="M54" s="376"/>
      <c r="N54" s="376"/>
      <c r="O54" s="376"/>
      <c r="P54" s="376"/>
      <c r="Q54" s="377"/>
    </row>
    <row r="55" spans="2:17">
      <c r="B55" s="4" t="s">
        <v>404</v>
      </c>
      <c r="C55" s="4" t="s">
        <v>405</v>
      </c>
      <c r="D55" s="4" t="s">
        <v>406</v>
      </c>
      <c r="E55" s="381" t="s">
        <v>424</v>
      </c>
      <c r="F55" s="392"/>
      <c r="G55" s="4" t="s">
        <v>384</v>
      </c>
      <c r="H55" s="13" t="s">
        <v>385</v>
      </c>
      <c r="I55" s="4" t="s">
        <v>412</v>
      </c>
      <c r="J55" s="4" t="s">
        <v>413</v>
      </c>
      <c r="L55" s="375"/>
      <c r="M55" s="376"/>
      <c r="N55" s="376"/>
      <c r="O55" s="376"/>
      <c r="P55" s="376"/>
      <c r="Q55" s="377"/>
    </row>
    <row r="56" spans="2:17">
      <c r="B56" s="39" t="str">
        <f>IF(Baseline!D6='Data Tables'!N3,"ZBaaS Licensing and Managed Services","")</f>
        <v/>
      </c>
      <c r="C56" s="113">
        <f>IF(Baseline!D6='Data Tables'!N3,IF(Baseline!E8="Enter QTY of Users",0,Baseline!E8),0)</f>
        <v>0</v>
      </c>
      <c r="D56" s="120">
        <f>IFERROR(IF(Baseline!D6='Data Tables'!N3,'Data Tables'!M22,VLOOKUP(B56,'Expenses &amp; Materials'!$B$13:$C$18,2,FALSE)),0)</f>
        <v>0</v>
      </c>
      <c r="E56" s="390">
        <f>IFERROR(C56*D56,0)</f>
        <v>0</v>
      </c>
      <c r="F56" s="391"/>
      <c r="G56" s="141" t="s">
        <v>390</v>
      </c>
      <c r="H56" s="153">
        <f>IFERROR(IF(Baseline!D6='Data Tables'!N3,'Data Tables'!N22,IF(G56="Specified Margin",Baseline!$G$10,(I56-D56)/I56)),"TBD")</f>
        <v>0.15</v>
      </c>
      <c r="I56" s="163">
        <f>IFERROR(IF(G56="Specified Margin",D56/(1-H56),"Enter Sell Rate"),"TBD")</f>
        <v>0</v>
      </c>
      <c r="J56" s="62">
        <f>IFERROR(C56*I56,"TBD")</f>
        <v>0</v>
      </c>
      <c r="L56" s="375"/>
      <c r="M56" s="376"/>
      <c r="N56" s="376"/>
      <c r="O56" s="376"/>
      <c r="P56" s="376"/>
      <c r="Q56" s="377"/>
    </row>
    <row r="57" spans="2:17">
      <c r="B57" s="39"/>
      <c r="C57" s="113">
        <v>0</v>
      </c>
      <c r="D57" s="120">
        <f>IFERROR(VLOOKUP(B57,'Expenses &amp; Materials'!$B$13:$C$18,2,FALSE),0)</f>
        <v>0</v>
      </c>
      <c r="E57" s="390">
        <f t="shared" ref="E57:E63" si="10">C57*D57</f>
        <v>0</v>
      </c>
      <c r="F57" s="391"/>
      <c r="G57" s="141" t="s">
        <v>390</v>
      </c>
      <c r="H57" s="153">
        <f>IFERROR(IF(G57="Specified Margin",Baseline!$G$10,(I57-D57)/I57),"TBD")</f>
        <v>0.15</v>
      </c>
      <c r="I57" s="163">
        <f>IFERROR(IF(G57="Specified Margin",D57/(1-H57),"Enter Sell Rate"),"TBD")</f>
        <v>0</v>
      </c>
      <c r="J57" s="62">
        <f t="shared" ref="J57:J63" si="11">IFERROR(C57*I57,"TBD")</f>
        <v>0</v>
      </c>
    </row>
    <row r="58" spans="2:17">
      <c r="B58" s="39"/>
      <c r="C58" s="113">
        <v>0</v>
      </c>
      <c r="D58" s="120">
        <f>IFERROR(VLOOKUP(B58,'Expenses &amp; Materials'!$B$13:$C$18,2,FALSE),0)</f>
        <v>0</v>
      </c>
      <c r="E58" s="390">
        <f t="shared" si="10"/>
        <v>0</v>
      </c>
      <c r="F58" s="391"/>
      <c r="G58" s="141" t="s">
        <v>390</v>
      </c>
      <c r="H58" s="153">
        <f>IFERROR(IF(G58="Specified Margin",Baseline!$G$10,(I58-E58)/I58),"TBD")</f>
        <v>0.15</v>
      </c>
      <c r="I58" s="163">
        <f t="shared" ref="I58:I63" si="12">IFERROR(IF(G58="Specified Margin",D58/(1-H58),"Enter Sell Rate"),"TBD")</f>
        <v>0</v>
      </c>
      <c r="J58" s="62">
        <f t="shared" si="11"/>
        <v>0</v>
      </c>
      <c r="L58" s="7" t="str">
        <f>C2&amp;" Financial Breakdown:"</f>
        <v>Pilot Financial Breakdown:</v>
      </c>
      <c r="M58" s="126"/>
      <c r="N58" s="126"/>
      <c r="O58" s="126"/>
      <c r="P58" s="126"/>
      <c r="Q58" s="126"/>
    </row>
    <row r="59" spans="2:17">
      <c r="B59" s="39"/>
      <c r="C59" s="113">
        <v>0</v>
      </c>
      <c r="D59" s="120">
        <f>IFERROR(VLOOKUP(B59,'Expenses &amp; Materials'!$B$13:$C$18,2,FALSE),0)</f>
        <v>0</v>
      </c>
      <c r="E59" s="390">
        <f t="shared" si="10"/>
        <v>0</v>
      </c>
      <c r="F59" s="391"/>
      <c r="G59" s="141" t="s">
        <v>390</v>
      </c>
      <c r="H59" s="153">
        <f>IFERROR(IF(G59="Specified Margin",Baseline!$G$10,(I59-D59)/I59),"TBD")</f>
        <v>0.15</v>
      </c>
      <c r="I59" s="163">
        <f>IFERROR(IF(G59="Specified Margin",D59/(1-H59),"Enter Sell Rate"),"TBD")</f>
        <v>0</v>
      </c>
      <c r="J59" s="62">
        <f t="shared" si="11"/>
        <v>0</v>
      </c>
      <c r="L59" s="4" t="str">
        <f>C2&amp;" Cost Factors:"</f>
        <v>Pilot Cost Factors:</v>
      </c>
      <c r="M59" s="4" t="str">
        <f>"Total "&amp;C2&amp;" Cost:"</f>
        <v>Total Pilot Cost:</v>
      </c>
      <c r="N59" s="4" t="str">
        <f>C2&amp;" Cost/Unit:"</f>
        <v>Pilot Cost/Unit:</v>
      </c>
      <c r="O59" s="4" t="str">
        <f>IF(Baseline!G3="Variable Margin",C2&amp;" Blended Margin %:","Blended Margin %")</f>
        <v>Blended Margin %</v>
      </c>
      <c r="P59" s="128" t="str">
        <f>"Total "&amp;C2&amp;" Sell Price:"</f>
        <v>Total Pilot Sell Price:</v>
      </c>
      <c r="Q59" s="4" t="str">
        <f>C2&amp;" Sell Price/Unit:"</f>
        <v>Pilot Sell Price/Unit:</v>
      </c>
    </row>
    <row r="60" spans="2:17">
      <c r="B60" s="39"/>
      <c r="C60" s="113">
        <v>0</v>
      </c>
      <c r="D60" s="120">
        <f>IFERROR(VLOOKUP(B60,'Expenses &amp; Materials'!$B$13:$C$18,2,FALSE),0)</f>
        <v>0</v>
      </c>
      <c r="E60" s="390">
        <f t="shared" si="10"/>
        <v>0</v>
      </c>
      <c r="F60" s="391"/>
      <c r="G60" s="141" t="s">
        <v>390</v>
      </c>
      <c r="H60" s="153">
        <f>Baseline!$G$10</f>
        <v>0.15</v>
      </c>
      <c r="I60" s="163">
        <f t="shared" si="12"/>
        <v>0</v>
      </c>
      <c r="J60" s="62">
        <f t="shared" si="11"/>
        <v>0</v>
      </c>
      <c r="L60" s="137" t="s">
        <v>280</v>
      </c>
      <c r="M60" s="62">
        <f>IF($C$3="Project",$H$28,$H$28*$C$4)</f>
        <v>0</v>
      </c>
      <c r="N60" s="53">
        <f>IF(C3="Project",$H$28/$C$4,$H$28)</f>
        <v>0</v>
      </c>
      <c r="O60" s="79" t="str">
        <f>J28</f>
        <v>TBD</v>
      </c>
      <c r="P60" s="133" t="str">
        <f>IFERROR(IF(Baseline!$G$3="Variable Margin",IF(C3="Project",M28,M28*C4),M60/$M$64*Baseline!$D$14),"TBD")</f>
        <v>TBD</v>
      </c>
      <c r="Q60" s="53" t="str">
        <f>IFERROR(P60/$C$4,"TBD")</f>
        <v>TBD</v>
      </c>
    </row>
    <row r="61" spans="2:17">
      <c r="B61" s="39"/>
      <c r="C61" s="113">
        <v>0</v>
      </c>
      <c r="D61" s="120">
        <f>IFERROR(VLOOKUP(B61,'Expenses &amp; Materials'!$B$13:$C$18,2,FALSE),0)</f>
        <v>0</v>
      </c>
      <c r="E61" s="390">
        <f t="shared" si="10"/>
        <v>0</v>
      </c>
      <c r="F61" s="391"/>
      <c r="G61" s="141" t="s">
        <v>390</v>
      </c>
      <c r="H61" s="153">
        <f>Baseline!$G$10</f>
        <v>0.15</v>
      </c>
      <c r="I61" s="163">
        <f t="shared" si="12"/>
        <v>0</v>
      </c>
      <c r="J61" s="62">
        <f t="shared" si="11"/>
        <v>0</v>
      </c>
      <c r="L61" s="137" t="s">
        <v>394</v>
      </c>
      <c r="M61" s="62">
        <f>IF($C$3="Project",$H$40,$H$40*$C$4)</f>
        <v>0</v>
      </c>
      <c r="N61" s="53">
        <f>IF(C3="Project",$H$40/$C$4,$H$40)</f>
        <v>0</v>
      </c>
      <c r="O61" s="79" t="str">
        <f>J40</f>
        <v>TBD</v>
      </c>
      <c r="P61" s="133" t="str">
        <f>IFERROR(IF(Baseline!$G$3="Variable Margin",IF(C3="Project",M40,M40*C4),M61/$M$64*Baseline!$D$14),"TBD")</f>
        <v>TBD</v>
      </c>
      <c r="Q61" s="53" t="str">
        <f>IFERROR(P61/$C$4,"TBD")</f>
        <v>TBD</v>
      </c>
    </row>
    <row r="62" spans="2:17">
      <c r="B62" s="39"/>
      <c r="C62" s="113">
        <v>0</v>
      </c>
      <c r="D62" s="120">
        <f>IFERROR(VLOOKUP(B62,'Expenses &amp; Materials'!$B$13:$C$18,2,FALSE),0)</f>
        <v>0</v>
      </c>
      <c r="E62" s="390">
        <f t="shared" si="10"/>
        <v>0</v>
      </c>
      <c r="F62" s="391"/>
      <c r="G62" s="141" t="s">
        <v>390</v>
      </c>
      <c r="H62" s="153">
        <f>Baseline!$G$10</f>
        <v>0.15</v>
      </c>
      <c r="I62" s="163">
        <f t="shared" si="12"/>
        <v>0</v>
      </c>
      <c r="J62" s="62">
        <f t="shared" si="11"/>
        <v>0</v>
      </c>
      <c r="L62" s="137" t="s">
        <v>238</v>
      </c>
      <c r="M62" s="62">
        <f>IF($C$3="Project",$E$52,$E$52*$C$4)</f>
        <v>0</v>
      </c>
      <c r="N62" s="53">
        <f>IF(C3="Project",$E$52/$C$4,$E$52)</f>
        <v>0</v>
      </c>
      <c r="O62" s="79" t="str">
        <f>H52</f>
        <v>TBD</v>
      </c>
      <c r="P62" s="133" t="str">
        <f>IFERROR(IF(Baseline!$G$3="Variable Margin",IF(C3="Project",J52,J52*C4),M62/$M$64*Baseline!$D$14),"TBD")</f>
        <v>TBD</v>
      </c>
      <c r="Q62" s="53" t="str">
        <f>IFERROR(P62/$C$4,"TBD")</f>
        <v>TBD</v>
      </c>
    </row>
    <row r="63" spans="2:17">
      <c r="B63" s="39"/>
      <c r="C63" s="113">
        <v>0</v>
      </c>
      <c r="D63" s="120">
        <f>IFERROR(VLOOKUP(B63,'Expenses &amp; Materials'!$B$13:$C$18,2,FALSE),0)</f>
        <v>0</v>
      </c>
      <c r="E63" s="390">
        <f t="shared" si="10"/>
        <v>0</v>
      </c>
      <c r="F63" s="391"/>
      <c r="G63" s="141" t="s">
        <v>390</v>
      </c>
      <c r="H63" s="153">
        <f>Baseline!$G$10</f>
        <v>0.15</v>
      </c>
      <c r="I63" s="163">
        <f t="shared" si="12"/>
        <v>0</v>
      </c>
      <c r="J63" s="62">
        <f t="shared" si="11"/>
        <v>0</v>
      </c>
      <c r="L63" s="137" t="s">
        <v>415</v>
      </c>
      <c r="M63" s="62">
        <f>IF($C$3="Project",$E$64,$E$64*$C$4)</f>
        <v>0</v>
      </c>
      <c r="N63" s="53">
        <f>IF(C3="Project",$E$64/$C$4,$E$64)</f>
        <v>0</v>
      </c>
      <c r="O63" s="79" t="str">
        <f>H64</f>
        <v>TBD</v>
      </c>
      <c r="P63" s="133" t="str">
        <f>IFERROR(IF(Baseline!$G$3="Variable Margin",IF(C3="Project",J64,J64*C4),M63/$M$64*Baseline!$D$14),"TBD")</f>
        <v>TBD</v>
      </c>
      <c r="Q63" s="53" t="str">
        <f>IFERROR(P63/$C$4,"TBD")</f>
        <v>TBD</v>
      </c>
    </row>
    <row r="64" spans="2:17">
      <c r="B64" s="6"/>
      <c r="C64" s="135"/>
      <c r="D64" s="6" t="str">
        <f>IF(C3="Project",C2&amp;" Material &amp; Other Cost:",C2&amp;" Per Unit Material &amp; Other Cost:")</f>
        <v>Pilot Material &amp; Other Cost:</v>
      </c>
      <c r="E64" s="378">
        <f>SUM(E56:E63)</f>
        <v>0</v>
      </c>
      <c r="F64" s="379"/>
      <c r="G64" s="143" t="s">
        <v>416</v>
      </c>
      <c r="H64" s="142" t="str">
        <f>IFERROR((J64-E64)/J64,"TBD")</f>
        <v>TBD</v>
      </c>
      <c r="I64" s="8" t="s">
        <v>417</v>
      </c>
      <c r="J64" s="137">
        <f>SUM(J56:J63)</f>
        <v>0</v>
      </c>
      <c r="L64" s="137" t="s">
        <v>418</v>
      </c>
      <c r="M64" s="137">
        <f>IFERROR(SUM(M60:M63),"TBD")</f>
        <v>0</v>
      </c>
      <c r="N64" s="8">
        <f>IFERROR(M64/C4,"TBD")</f>
        <v>0</v>
      </c>
      <c r="O64" s="77" t="str">
        <f>IFERROR((P64-M64)/P64,"TBD")</f>
        <v>TBD</v>
      </c>
      <c r="P64" s="143">
        <f>SUM(P60:P63)</f>
        <v>0</v>
      </c>
      <c r="Q64" s="8">
        <f>SUM(Q60:Q63)</f>
        <v>0</v>
      </c>
    </row>
  </sheetData>
  <sheetProtection algorithmName="SHA-512" hashValue="FkoWjGp3x6dnaHz1HB4Dr/8aVSZBKyutSA7xtlqc6+ostMRRTr11Scs/y8O0vqyNiwTpIUZvW1viojK5PYkn3g==" saltValue="RNs699giy4NrWvum7ZG1DA==" spinCount="100000" sheet="1" objects="1" scenarios="1"/>
  <mergeCells count="77">
    <mergeCell ref="K20:L20"/>
    <mergeCell ref="K21:L21"/>
    <mergeCell ref="K22:L22"/>
    <mergeCell ref="K23:L23"/>
    <mergeCell ref="K15:L15"/>
    <mergeCell ref="K16:L16"/>
    <mergeCell ref="K17:L17"/>
    <mergeCell ref="K18:L18"/>
    <mergeCell ref="K19:L19"/>
    <mergeCell ref="K10:L10"/>
    <mergeCell ref="K11:L11"/>
    <mergeCell ref="K12:L12"/>
    <mergeCell ref="K13:L13"/>
    <mergeCell ref="K14:L14"/>
    <mergeCell ref="E60:F60"/>
    <mergeCell ref="E61:F61"/>
    <mergeCell ref="E62:F62"/>
    <mergeCell ref="E63:F63"/>
    <mergeCell ref="E64:F64"/>
    <mergeCell ref="E43:F43"/>
    <mergeCell ref="E55:F55"/>
    <mergeCell ref="E44:F44"/>
    <mergeCell ref="E45:F45"/>
    <mergeCell ref="E46:F46"/>
    <mergeCell ref="E47:F47"/>
    <mergeCell ref="E48:F48"/>
    <mergeCell ref="E49:F49"/>
    <mergeCell ref="E50:F50"/>
    <mergeCell ref="E51:F51"/>
    <mergeCell ref="E52:F52"/>
    <mergeCell ref="N24:Q24"/>
    <mergeCell ref="K34:L34"/>
    <mergeCell ref="K35:L35"/>
    <mergeCell ref="K36:L36"/>
    <mergeCell ref="K37:L37"/>
    <mergeCell ref="K24:L24"/>
    <mergeCell ref="N27:Q27"/>
    <mergeCell ref="K31:L31"/>
    <mergeCell ref="L47:Q47"/>
    <mergeCell ref="L48:Q48"/>
    <mergeCell ref="K32:L32"/>
    <mergeCell ref="K38:L38"/>
    <mergeCell ref="K39:L39"/>
    <mergeCell ref="K40:L40"/>
    <mergeCell ref="K33:L33"/>
    <mergeCell ref="N7:Q7"/>
    <mergeCell ref="N8:Q8"/>
    <mergeCell ref="N25:Q25"/>
    <mergeCell ref="N26:Q26"/>
    <mergeCell ref="L56:Q56"/>
    <mergeCell ref="L50:Q50"/>
    <mergeCell ref="L51:Q51"/>
    <mergeCell ref="L52:Q52"/>
    <mergeCell ref="L53:Q53"/>
    <mergeCell ref="L54:Q54"/>
    <mergeCell ref="L55:Q55"/>
    <mergeCell ref="L49:Q49"/>
    <mergeCell ref="N31:Q31"/>
    <mergeCell ref="N32:Q32"/>
    <mergeCell ref="N38:Q38"/>
    <mergeCell ref="N39:Q39"/>
    <mergeCell ref="E56:F56"/>
    <mergeCell ref="E57:F57"/>
    <mergeCell ref="E58:F58"/>
    <mergeCell ref="E59:F59"/>
    <mergeCell ref="K3:L3"/>
    <mergeCell ref="K4:L4"/>
    <mergeCell ref="K8:L8"/>
    <mergeCell ref="K9:L9"/>
    <mergeCell ref="K25:L25"/>
    <mergeCell ref="K26:L26"/>
    <mergeCell ref="K27:L27"/>
    <mergeCell ref="K28:L28"/>
    <mergeCell ref="L43:Q43"/>
    <mergeCell ref="L44:Q44"/>
    <mergeCell ref="L45:Q45"/>
    <mergeCell ref="L46:Q46"/>
  </mergeCells>
  <conditionalFormatting sqref="G32:G39">
    <cfRule type="expression" dxfId="211" priority="48">
      <formula>B32="Partner"</formula>
    </cfRule>
  </conditionalFormatting>
  <conditionalFormatting sqref="B56">
    <cfRule type="expression" dxfId="210" priority="37">
      <formula>$B$56="Enter Quantities on Baseline"</formula>
    </cfRule>
  </conditionalFormatting>
  <conditionalFormatting sqref="D44:D51">
    <cfRule type="expression" dxfId="209" priority="44">
      <formula>OR(B44="Roundtrip Airfare",B44="Metro City Hotel",B44="Non-Metro City Hotel",B44="Vehicle/Taxi/Uber",B44="Per Diem")=TRUE</formula>
    </cfRule>
  </conditionalFormatting>
  <conditionalFormatting sqref="D56">
    <cfRule type="expression" dxfId="208" priority="43">
      <formula>OR(B56="Background Check",B56="Storage (Per Pallet)")=TRUE</formula>
    </cfRule>
  </conditionalFormatting>
  <conditionalFormatting sqref="D57:D63">
    <cfRule type="expression" dxfId="207" priority="42">
      <formula>OR(B57="Background Check",B57="Storage (Per Pallet)")=TRUE</formula>
    </cfRule>
  </conditionalFormatting>
  <conditionalFormatting sqref="B8">
    <cfRule type="expression" dxfId="206" priority="41">
      <formula>$C$2="Managed Staffing"</formula>
    </cfRule>
  </conditionalFormatting>
  <conditionalFormatting sqref="H44:H51 H56:H63">
    <cfRule type="expression" dxfId="205" priority="51">
      <formula>OR(E44="Roundtrip Airfare",E44="Metro City Hotel",E44="Non-Metro City Hotel",E44="Vehicle/Taxi/Uber",E44="Per Diem")=TRUE</formula>
    </cfRule>
  </conditionalFormatting>
  <conditionalFormatting sqref="H3:I4">
    <cfRule type="expression" dxfId="204" priority="40">
      <formula>C3="Partner"</formula>
    </cfRule>
  </conditionalFormatting>
  <conditionalFormatting sqref="N3">
    <cfRule type="expression" dxfId="203" priority="39">
      <formula>H3="Partner"</formula>
    </cfRule>
  </conditionalFormatting>
  <conditionalFormatting sqref="K3">
    <cfRule type="cellIs" dxfId="202" priority="38" operator="lessThan">
      <formula>0.375</formula>
    </cfRule>
  </conditionalFormatting>
  <conditionalFormatting sqref="K8">
    <cfRule type="expression" dxfId="201" priority="27">
      <formula>K8="Enter Sell Rate"</formula>
    </cfRule>
    <cfRule type="expression" dxfId="200" priority="28">
      <formula>I8="Specified Margin"</formula>
    </cfRule>
  </conditionalFormatting>
  <conditionalFormatting sqref="K9:K27">
    <cfRule type="expression" dxfId="199" priority="25">
      <formula>K9="Enter Sell Rate"</formula>
    </cfRule>
    <cfRule type="expression" dxfId="198" priority="26">
      <formula>I9="Specified Margin"</formula>
    </cfRule>
  </conditionalFormatting>
  <conditionalFormatting sqref="J32:J39">
    <cfRule type="expression" dxfId="197" priority="22">
      <formula>I32="Specified Sell Rate"</formula>
    </cfRule>
  </conditionalFormatting>
  <conditionalFormatting sqref="K32:K39">
    <cfRule type="expression" dxfId="196" priority="20">
      <formula>K32="Enter Sell Rate"</formula>
    </cfRule>
    <cfRule type="expression" dxfId="195" priority="21">
      <formula>I32="Specified Margin"</formula>
    </cfRule>
  </conditionalFormatting>
  <conditionalFormatting sqref="I44:I51">
    <cfRule type="expression" dxfId="194" priority="8">
      <formula>I44="Enter Sell Rate"</formula>
    </cfRule>
    <cfRule type="expression" dxfId="193" priority="9">
      <formula>G44="Specified Sell Rate"</formula>
    </cfRule>
  </conditionalFormatting>
  <conditionalFormatting sqref="I56:I63">
    <cfRule type="expression" dxfId="192" priority="4">
      <formula>I56="Enter Sell Rate"</formula>
    </cfRule>
    <cfRule type="expression" dxfId="191" priority="5">
      <formula>G56="Specified Sell Rate"</formula>
    </cfRule>
  </conditionalFormatting>
  <conditionalFormatting sqref="J8:J27">
    <cfRule type="expression" dxfId="190" priority="3">
      <formula>I8="Specified Sell Rate"</formula>
    </cfRule>
  </conditionalFormatting>
  <dataValidations count="8">
    <dataValidation type="list" allowBlank="1" showInputMessage="1" showErrorMessage="1" sqref="E32:E39" xr:uid="{00000000-0002-0000-0400-000000000000}">
      <formula1>"Regular,OT"</formula1>
    </dataValidation>
    <dataValidation type="list" allowBlank="1" showInputMessage="1" showErrorMessage="1" sqref="B32:B39" xr:uid="{00000000-0002-0000-0400-000001000000}">
      <formula1>"Field Nation,Partner"</formula1>
    </dataValidation>
    <dataValidation type="list" allowBlank="1" showInputMessage="1" sqref="C3" xr:uid="{00000000-0002-0000-0400-000002000000}">
      <formula1>"Project, Per Unit"</formula1>
    </dataValidation>
    <dataValidation type="list" allowBlank="1" showInputMessage="1" showErrorMessage="1" sqref="G56:G63 G44:G51 I32:I39 I8:I27" xr:uid="{288D50E1-CC86-476C-AE6B-D3A459F4126C}">
      <formula1>"Specified Margin, Specified Sell Rate"</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CF5B5AC3-E713-42A0-B1C2-E8B48933FB42}">
      <formula1>I8="Specified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DC87C617-18F1-4D2A-923D-20E105925C8E}">
      <formula1>I8="Specified Margin"</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DE3E3A3C-D62D-4F44-943E-5E5A47816974}">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320250FF-D921-4B11-B001-14D37FDD6253}">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9" id="{E10BC301-30BC-490F-A5B0-0CC1689B121B}">
            <xm:f>AND(C8='Data Tables'!$C$16,N8:Q8="")</xm:f>
            <x14:dxf>
              <font>
                <color rgb="FF9C0006"/>
              </font>
              <fill>
                <patternFill>
                  <fgColor auto="1"/>
                  <bgColor rgb="FFFFC7CE"/>
                </patternFill>
              </fill>
            </x14:dxf>
          </x14:cfRule>
          <xm:sqref>N8:N24</xm:sqref>
        </x14:conditionalFormatting>
        <x14:conditionalFormatting xmlns:xm="http://schemas.microsoft.com/office/excel/2006/main">
          <x14:cfRule type="expression" priority="368" id="{BDADA7D2-1E7B-4120-A9F8-A97DDA61D2DF}">
            <xm:f>AND(C25='Data Tables'!$C$16,N25:Q25="")</xm:f>
            <x14:dxf>
              <font>
                <color rgb="FF9C0006"/>
              </font>
              <fill>
                <patternFill>
                  <bgColor rgb="FFFFC7CE"/>
                </patternFill>
              </fill>
            </x14:dxf>
          </x14:cfRule>
          <xm:sqref>N25:Q27</xm:sqref>
        </x14:conditionalFormatting>
        <x14:conditionalFormatting xmlns:xm="http://schemas.microsoft.com/office/excel/2006/main">
          <x14:cfRule type="expression" priority="407" id="{FC984859-EA82-4939-B147-18FD7E4C74AD}">
            <xm:f>Baseline!$D$6="Department Based"</xm:f>
            <x14:dxf>
              <font>
                <color theme="3" tint="0.59996337778862885"/>
              </font>
            </x14:dxf>
          </x14:cfRule>
          <xm:sqref>D2:D3</xm:sqref>
        </x14:conditionalFormatting>
        <x14:conditionalFormatting xmlns:xm="http://schemas.microsoft.com/office/excel/2006/main">
          <x14:cfRule type="expression" priority="408" id="{ACEB34E4-BF35-4D7F-A62C-03A2B28C2158}">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09" id="{ADF15087-7E6A-46CC-8197-D92BD2079E1D}">
            <xm:f>Baseline!$D$6="Phase Based"</xm:f>
            <x14:dxf>
              <fill>
                <patternFill>
                  <bgColor theme="2" tint="-0.24994659260841701"/>
                </patternFill>
              </fill>
            </x14:dxf>
          </x14:cfRule>
          <xm:sqref>B8</xm:sqref>
        </x14:conditionalFormatting>
        <x14:conditionalFormatting xmlns:xm="http://schemas.microsoft.com/office/excel/2006/main">
          <x14:cfRule type="expression" priority="2" id="{98E0C9F5-B557-4428-B1E4-8DBB32A9F472}">
            <xm:f>'COLA (WIP)'!$C$4="Yes"</xm:f>
            <x14:dxf>
              <fill>
                <patternFill>
                  <bgColor theme="0"/>
                </patternFill>
              </fill>
            </x14:dxf>
          </x14:cfRule>
          <xm:sqref>E4</xm:sqref>
        </x14:conditionalFormatting>
        <x14:conditionalFormatting xmlns:xm="http://schemas.microsoft.com/office/excel/2006/main">
          <x14:cfRule type="expression" priority="1" id="{BAE155B6-5637-4227-9D9E-066BFE38B593}">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400-000003000000}">
          <x14:formula1>
            <xm:f>IF(B32="Field Nation",'Resource Descriptions'!$D$116:$D$119,'Resource Descriptions'!$D$120)</xm:f>
          </x14:formula1>
          <xm:sqref>C32:C39</xm:sqref>
        </x14:dataValidation>
        <x14:dataValidation type="list" allowBlank="1" showInputMessage="1" xr:uid="{00000000-0002-0000-0400-000007000000}">
          <x14:formula1>
            <xm:f>'Expenses &amp; Materials'!$B$4:$B$10</xm:f>
          </x14:formula1>
          <xm:sqref>B44:B51</xm:sqref>
        </x14:dataValidation>
        <x14:dataValidation type="list" allowBlank="1" showInputMessage="1" xr:uid="{00000000-0002-0000-0400-000006000000}">
          <x14:formula1>
            <xm:f>'Expenses &amp; Materials'!$B$14:$B$16</xm:f>
          </x14:formula1>
          <xm:sqref>B56:B63</xm:sqref>
        </x14:dataValidation>
        <x14:dataValidation type="list" allowBlank="1" showInputMessage="1" showErrorMessage="1" xr:uid="{C7AF1315-FD38-4051-85C8-856CFB614FC0}">
          <x14:formula1>
            <xm:f>'Data Tables'!$B$4:$B$15</xm:f>
          </x14:formula1>
          <xm:sqref>B8:B27</xm:sqref>
        </x14:dataValidation>
        <x14:dataValidation type="list" allowBlank="1" showInputMessage="1" showErrorMessage="1" xr:uid="{4BA15F87-2F74-4DB6-85C0-65CBEDCFD5D0}">
          <x14:formula1>
            <xm:f>OFFSET('Resource Descriptions'!$D$6,VLOOKUP(B8,'Data Tables'!$B$3:$E$17,2,FALSE),0,VLOOKUP(B8,'Data Tables'!$B$3:$E$17,4,FALSE),1)</xm:f>
          </x14:formula1>
          <xm:sqref>C8:C27</xm:sqref>
        </x14:dataValidation>
        <x14:dataValidation type="list" allowBlank="1" showInputMessage="1" showErrorMessage="1" xr:uid="{F74AE016-3A79-450B-8C92-20E4A108493A}">
          <x14:formula1>
            <xm:f>OFFSET('Data Tables'!$C$20,VLOOKUP(C8,'Data Tables'!$G$17:$J$118,2,FALSE),0,VLOOKUP(C8,'Data Tables'!$G$17:$J$118,4,FALSE),1)</xm:f>
          </x14:formula1>
          <xm:sqref>E8:E27</xm:sqref>
        </x14:dataValidation>
        <x14:dataValidation type="list" allowBlank="1" showInputMessage="1" showErrorMessage="1" xr:uid="{0A3D5DC8-B121-474C-B2CE-1C46745AB5C1}">
          <x14:formula1>
            <xm:f>IF('COLA (WIP)'!C4="Yes",'COLA (WIP)'!$D$10:$M$10,"")</xm:f>
          </x14:formula1>
          <xm:sqref>E4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Q64"/>
  <sheetViews>
    <sheetView showGridLines="0" zoomScale="80" zoomScaleNormal="80" workbookViewId="0">
      <selection activeCell="C2" sqref="C2"/>
    </sheetView>
  </sheetViews>
  <sheetFormatPr defaultColWidth="8.85546875" defaultRowHeight="15"/>
  <cols>
    <col min="1" max="1" width="3.42578125" style="33" customWidth="1"/>
    <col min="2" max="2" width="28.42578125" style="33" bestFit="1" customWidth="1"/>
    <col min="3" max="3" width="32.140625" style="33" bestFit="1" customWidth="1"/>
    <col min="4" max="5" width="20.42578125" style="33" customWidth="1"/>
    <col min="6" max="6" width="3.42578125" style="33" customWidth="1"/>
    <col min="7" max="10" width="23.42578125" style="33" customWidth="1"/>
    <col min="11" max="11" width="3.42578125" style="33" customWidth="1"/>
    <col min="12" max="17" width="23.42578125" style="33" customWidth="1"/>
    <col min="18" max="16384" width="8.85546875" style="33"/>
  </cols>
  <sheetData>
    <row r="2" spans="1:17">
      <c r="A2" s="109"/>
      <c r="B2" s="121" t="s">
        <v>370</v>
      </c>
      <c r="C2" s="110" t="str">
        <f>IF(Baseline!D6='Data Tables'!L3,'Data Tables'!L6,IF(Baseline!D6='Data Tables'!M3,'Data Tables'!M6,'Data Tables'!N6))</f>
        <v>PMO</v>
      </c>
      <c r="D2" s="4" t="s">
        <v>371</v>
      </c>
      <c r="E2" s="111" t="s">
        <v>372</v>
      </c>
      <c r="G2" s="122" t="s">
        <v>373</v>
      </c>
      <c r="H2" s="122"/>
      <c r="I2" s="123"/>
      <c r="J2" s="7"/>
      <c r="K2" s="7"/>
      <c r="L2" s="7"/>
      <c r="M2" s="7"/>
    </row>
    <row r="3" spans="1:17">
      <c r="B3" s="4" t="s">
        <v>374</v>
      </c>
      <c r="C3" s="39" t="str">
        <f>IF(Baseline!D6="Phase Based","Project","Project")</f>
        <v>Project</v>
      </c>
      <c r="D3" s="4" t="s">
        <v>375</v>
      </c>
      <c r="E3" s="39">
        <v>0</v>
      </c>
      <c r="G3" s="4" t="str">
        <f>C2&amp;" Price:"</f>
        <v>PMO Price:</v>
      </c>
      <c r="H3" s="124">
        <f>P64</f>
        <v>0</v>
      </c>
      <c r="I3" s="4" t="s">
        <v>303</v>
      </c>
      <c r="J3" s="384">
        <f>Baseline!$G$24</f>
        <v>0.41046428571428573</v>
      </c>
      <c r="K3" s="385"/>
      <c r="L3" s="4" t="s">
        <v>376</v>
      </c>
      <c r="M3" s="124">
        <f>Baseline!$D$24</f>
        <v>28000</v>
      </c>
    </row>
    <row r="4" spans="1:17">
      <c r="B4" s="4" t="s">
        <v>322</v>
      </c>
      <c r="C4" s="110">
        <f>Baseline!D8</f>
        <v>1</v>
      </c>
      <c r="D4" s="224" t="s">
        <v>377</v>
      </c>
      <c r="E4" s="225"/>
      <c r="G4" s="4" t="str">
        <f>C2&amp;" Blended Margin %:"</f>
        <v>PMO Blended Margin %:</v>
      </c>
      <c r="H4" s="125" t="str">
        <f>O64</f>
        <v>TBD</v>
      </c>
      <c r="I4" s="4" t="s">
        <v>306</v>
      </c>
      <c r="J4" s="384">
        <f ca="1">Baseline!$G$27</f>
        <v>0.37715551785714285</v>
      </c>
      <c r="K4" s="385"/>
      <c r="L4" s="4" t="s">
        <v>378</v>
      </c>
      <c r="M4" s="77">
        <f ca="1">Baseline!$J$5</f>
        <v>8.6024110983219243E-2</v>
      </c>
    </row>
    <row r="6" spans="1:17">
      <c r="B6" s="7" t="str">
        <f>C2&amp;" Resource Cost Factors:"</f>
        <v>PMO Resource Cost Factors:</v>
      </c>
      <c r="C6" s="7"/>
      <c r="D6" s="126"/>
      <c r="E6" s="126"/>
      <c r="F6" s="126"/>
      <c r="G6" s="126"/>
      <c r="H6" s="126"/>
      <c r="I6" s="126"/>
      <c r="J6" s="126"/>
      <c r="K6" s="126"/>
      <c r="L6" s="126"/>
      <c r="M6" s="126"/>
      <c r="N6" s="126"/>
      <c r="O6" s="126"/>
      <c r="P6" s="126"/>
      <c r="Q6" s="127"/>
    </row>
    <row r="7" spans="1:17">
      <c r="B7" s="4" t="s">
        <v>379</v>
      </c>
      <c r="C7" s="4" t="s">
        <v>280</v>
      </c>
      <c r="D7" s="4" t="s">
        <v>380</v>
      </c>
      <c r="E7" s="128" t="s">
        <v>381</v>
      </c>
      <c r="F7" s="128"/>
      <c r="G7" s="49" t="s">
        <v>382</v>
      </c>
      <c r="H7" s="49" t="s">
        <v>383</v>
      </c>
      <c r="I7" s="4" t="s">
        <v>384</v>
      </c>
      <c r="J7" s="4" t="s">
        <v>385</v>
      </c>
      <c r="K7" s="516" t="s">
        <v>386</v>
      </c>
      <c r="L7" s="516"/>
      <c r="M7" s="4" t="s">
        <v>387</v>
      </c>
      <c r="N7" s="381" t="s">
        <v>388</v>
      </c>
      <c r="O7" s="382"/>
      <c r="P7" s="382"/>
      <c r="Q7" s="383"/>
    </row>
    <row r="8" spans="1:17">
      <c r="B8" s="39" t="s">
        <v>207</v>
      </c>
      <c r="C8" s="39" t="str">
        <f>IF(Baseline!$D$6="Department Based","Program Manager","")</f>
        <v>Program Manager</v>
      </c>
      <c r="D8" s="113">
        <v>0</v>
      </c>
      <c r="E8" s="113" t="s">
        <v>389</v>
      </c>
      <c r="F8" s="130"/>
      <c r="G8" s="131">
        <f>IFERROR(IF(E8="Regular",VLOOKUP(C8,Resource_Rates_Table[],3,FALSE),(IF(PMO!E8="OT",VLOOKUP(C8,Resource_Rates_Table[],4,FALSE),IF(E8="Regular/1st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104.43</v>
      </c>
      <c r="H8" s="132">
        <f>D8*G8</f>
        <v>0</v>
      </c>
      <c r="I8" s="141" t="s">
        <v>390</v>
      </c>
      <c r="J8" s="144">
        <f>IFERROR(IF(I8="Specified Margin",IFERROR(_xlfn.IFS(ISNUMBER(SEARCH("India",C8))=TRUE,Baseline!$G$6,ISNUMBER(SEARCH("Pakistan",C8))=TRUE,Baseline!$G$7),Baseline!$G$5),(K8-G8)/K8),"TBD")</f>
        <v>0.35</v>
      </c>
      <c r="K8" s="511">
        <f>IFERROR(IF(I8="Specified Margin",G8/(1-J8),"Enter Sell Rate"),"TBD")</f>
        <v>160.66153846153847</v>
      </c>
      <c r="L8" s="512"/>
      <c r="M8" s="149">
        <f>IFERROR(D8*K8,"TBD")</f>
        <v>0</v>
      </c>
      <c r="N8" s="340"/>
      <c r="O8" s="380"/>
      <c r="P8" s="380"/>
      <c r="Q8" s="341"/>
    </row>
    <row r="9" spans="1:17">
      <c r="B9" s="39" t="str">
        <f>IF(Baseline!$D$6="Department Based","PMO","")</f>
        <v>PMO</v>
      </c>
      <c r="C9" s="39" t="s">
        <v>219</v>
      </c>
      <c r="D9" s="113">
        <v>0</v>
      </c>
      <c r="E9" s="113" t="s">
        <v>389</v>
      </c>
      <c r="F9" s="130"/>
      <c r="G9" s="131">
        <f>IFERROR(IF(E9="Regular",VLOOKUP(C9,Resource_Rates_Table[],3,FALSE),(IF(PMO!E9="OT",VLOOKUP(C9,Resource_Rates_Table[],4,FALSE),IF(E9="Regular/1st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104.43</v>
      </c>
      <c r="H9" s="62">
        <f>D9*G9</f>
        <v>0</v>
      </c>
      <c r="I9" s="141" t="s">
        <v>390</v>
      </c>
      <c r="J9" s="144">
        <f>IFERROR(IF(I9="Specified Margin",IFERROR(_xlfn.IFS(ISNUMBER(SEARCH("India",C9))=TRUE,Baseline!$G$6,ISNUMBER(SEARCH("Pakistan",C9))=TRUE,Baseline!$G$7),Baseline!$G$5),(K9-G9)/K9),"TBD")</f>
        <v>0.35</v>
      </c>
      <c r="K9" s="511">
        <f t="shared" ref="K9:K27" si="0">IFERROR(IF(I9="Specified Margin",G9/(1-J9),"Enter Sell Rate"),"TBD")</f>
        <v>160.66153846153847</v>
      </c>
      <c r="L9" s="512"/>
      <c r="M9" s="149">
        <f>IFERROR(D9*K9,"TBD")</f>
        <v>0</v>
      </c>
      <c r="N9" s="116"/>
      <c r="O9" s="117"/>
      <c r="P9" s="117"/>
      <c r="Q9" s="118"/>
    </row>
    <row r="10" spans="1:17">
      <c r="B10" s="39" t="str">
        <f>IF(Baseline!$D$6="Department Based","PMO","")</f>
        <v>PMO</v>
      </c>
      <c r="C10" s="39" t="s">
        <v>286</v>
      </c>
      <c r="D10" s="113">
        <v>0</v>
      </c>
      <c r="E10" s="113" t="s">
        <v>389</v>
      </c>
      <c r="F10" s="130"/>
      <c r="G10" s="131">
        <f>IFERROR(IF(E10="Regular",VLOOKUP(C10,Resource_Rates_Table[],3,FALSE),(IF(PMO!E10="OT",VLOOKUP(C10,Resource_Rates_Table[],4,FALSE),IF(E10="Regular/1st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59.08</v>
      </c>
      <c r="H10" s="62">
        <f>D10*G10</f>
        <v>0</v>
      </c>
      <c r="I10" s="141" t="s">
        <v>390</v>
      </c>
      <c r="J10" s="144" cm="1">
        <f t="array" ref="J10">IFERROR(IF(I10="Specified Margin",IFERROR(_xlfn.IFS(ISNUMBER(SEARCH("India",C10))=TRUE,Baseline!$G$6,ISNUMBER(SEARCH("Pakistan",C10))=TRUE,Baseline!$G$7),Baseline!$G$5),(K10-G10)/K10),"TBD")</f>
        <v>0.35</v>
      </c>
      <c r="K10" s="511">
        <f t="shared" si="0"/>
        <v>90.892307692307682</v>
      </c>
      <c r="L10" s="512"/>
      <c r="M10" s="149">
        <f t="shared" ref="M10:M27" si="1">IFERROR(D10*K10,"TBD")</f>
        <v>0</v>
      </c>
      <c r="N10" s="116"/>
      <c r="O10" s="117"/>
      <c r="P10" s="117"/>
      <c r="Q10" s="118"/>
    </row>
    <row r="11" spans="1:17">
      <c r="B11" s="39" t="str">
        <f>IF(Baseline!$D$6="Department Based","PMO","")</f>
        <v>PMO</v>
      </c>
      <c r="C11" s="39" t="s">
        <v>212</v>
      </c>
      <c r="D11" s="113">
        <v>0</v>
      </c>
      <c r="E11" s="113" t="s">
        <v>389</v>
      </c>
      <c r="F11" s="130"/>
      <c r="G11" s="131">
        <f>IFERROR(IF(E11="Regular",VLOOKUP(C11,Resource_Rates_Table[],3,FALSE),(IF(PMO!E11="OT",VLOOKUP(C11,Resource_Rates_Table[],4,FALSE),IF(E11="Regular/1st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8</v>
      </c>
      <c r="H11" s="62">
        <f>D11*G11</f>
        <v>0</v>
      </c>
      <c r="I11" s="141" t="s">
        <v>390</v>
      </c>
      <c r="J11" s="144" cm="1">
        <f t="array" ref="J11">IFERROR(IF(I11="Specified Margin",IFERROR(_xlfn.IFS(ISNUMBER(SEARCH("India",C11))=TRUE,Baseline!$G$6,ISNUMBER(SEARCH("Pakistan",C11))=TRUE,Baseline!$G$7),Baseline!$G$5),(K11-G11)/K11),"TBD")</f>
        <v>0.6</v>
      </c>
      <c r="K11" s="511">
        <f t="shared" si="0"/>
        <v>20</v>
      </c>
      <c r="L11" s="512"/>
      <c r="M11" s="149">
        <f t="shared" si="1"/>
        <v>0</v>
      </c>
      <c r="N11" s="116"/>
      <c r="O11" s="117"/>
      <c r="P11" s="117"/>
      <c r="Q11" s="118"/>
    </row>
    <row r="12" spans="1:17">
      <c r="B12" s="39" t="str">
        <f>IF(Baseline!$D$6="Department Based","PMO","")</f>
        <v>PMO</v>
      </c>
      <c r="C12" s="39" t="s">
        <v>211</v>
      </c>
      <c r="D12" s="113">
        <v>0</v>
      </c>
      <c r="E12" s="113" t="s">
        <v>389</v>
      </c>
      <c r="F12" s="130"/>
      <c r="G12" s="131">
        <f>IFERROR(IF(E12="Regular",VLOOKUP(C12,Resource_Rates_Table[],3,FALSE),(IF(PMO!E12="OT",VLOOKUP(C12,Resource_Rates_Table[],4,FALSE),IF(E12="Regular/1st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3</v>
      </c>
      <c r="H12" s="62">
        <f>D12*G12</f>
        <v>0</v>
      </c>
      <c r="I12" s="141" t="s">
        <v>390</v>
      </c>
      <c r="J12" s="144" cm="1">
        <f t="array" ref="J12">IFERROR(IF(I12="Specified Margin",IFERROR(_xlfn.IFS(ISNUMBER(SEARCH("India",C12))=TRUE,Baseline!$G$6,ISNUMBER(SEARCH("Pakistan",C12))=TRUE,Baseline!$G$7),Baseline!$G$5),(K12-G12)/K12),"TBD")</f>
        <v>0.6</v>
      </c>
      <c r="K12" s="511">
        <f t="shared" si="0"/>
        <v>7.5</v>
      </c>
      <c r="L12" s="512"/>
      <c r="M12" s="149">
        <f t="shared" si="1"/>
        <v>0</v>
      </c>
      <c r="N12" s="116"/>
      <c r="O12" s="117"/>
      <c r="P12" s="117"/>
      <c r="Q12" s="118"/>
    </row>
    <row r="13" spans="1:17">
      <c r="B13" s="39"/>
      <c r="C13" s="39"/>
      <c r="D13" s="113">
        <v>0</v>
      </c>
      <c r="E13" s="113" t="s">
        <v>389</v>
      </c>
      <c r="F13" s="130"/>
      <c r="G13" s="131">
        <f>IFERROR(IF(E13="Regular",VLOOKUP(C13,Resource_Rates_Table[],3,FALSE),(IF(PMO!E13="OT",VLOOKUP(C13,Resource_Rates_Table[],4,FALSE),IF(E13="Regular/1st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ref="H13:H22" si="2">D13*G13</f>
        <v>0</v>
      </c>
      <c r="I13" s="141" t="s">
        <v>390</v>
      </c>
      <c r="J13" s="144" cm="1">
        <f t="array" ref="J13">IFERROR(IF(I13="Specified Margin",IFERROR(_xlfn.IFS(ISNUMBER(SEARCH("India",C13))=TRUE,Baseline!$G$6,ISNUMBER(SEARCH("Pakistan",C13))=TRUE,Baseline!$G$7),Baseline!$G$5),(K13-G13)/K13),"TBD")</f>
        <v>0.35</v>
      </c>
      <c r="K13" s="511">
        <f t="shared" si="0"/>
        <v>0</v>
      </c>
      <c r="L13" s="512"/>
      <c r="M13" s="149">
        <f t="shared" si="1"/>
        <v>0</v>
      </c>
      <c r="N13" s="116"/>
      <c r="O13" s="117"/>
      <c r="P13" s="117"/>
      <c r="Q13" s="118"/>
    </row>
    <row r="14" spans="1:17">
      <c r="B14" s="39"/>
      <c r="C14" s="39"/>
      <c r="D14" s="113">
        <v>0</v>
      </c>
      <c r="E14" s="113" t="s">
        <v>389</v>
      </c>
      <c r="F14" s="133"/>
      <c r="G14" s="131">
        <f>IFERROR(IF(E14="Regular",VLOOKUP(C14,Resource_Rates_Table[],3,FALSE),(IF(PMO!E14="OT",VLOOKUP(C14,Resource_Rates_Table[],4,FALSE),IF(E14="Regular/1st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390</v>
      </c>
      <c r="J14" s="144" cm="1">
        <f t="array" ref="J14">IFERROR(IF(I14="Specified Margin",IFERROR(_xlfn.IFS(ISNUMBER(SEARCH("India",C14))=TRUE,Baseline!$G$6,ISNUMBER(SEARCH("Pakistan",C14))=TRUE,Baseline!$G$7),Baseline!$G$5),(K14-G14)/K14),"TBD")</f>
        <v>0.35</v>
      </c>
      <c r="K14" s="511">
        <f t="shared" si="0"/>
        <v>0</v>
      </c>
      <c r="L14" s="512"/>
      <c r="M14" s="149">
        <f t="shared" si="1"/>
        <v>0</v>
      </c>
      <c r="N14" s="116"/>
      <c r="O14" s="117"/>
      <c r="P14" s="117"/>
      <c r="Q14" s="118"/>
    </row>
    <row r="15" spans="1:17">
      <c r="B15" s="39"/>
      <c r="C15" s="39"/>
      <c r="D15" s="113">
        <v>0</v>
      </c>
      <c r="E15" s="113" t="s">
        <v>389</v>
      </c>
      <c r="F15" s="130"/>
      <c r="G15" s="131">
        <f>IFERROR(IF(E15="Regular",VLOOKUP(C15,Resource_Rates_Table[],3,FALSE),(IF(PMO!E15="OT",VLOOKUP(C15,Resource_Rates_Table[],4,FALSE),IF(E15="Regular/1st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390</v>
      </c>
      <c r="J15" s="144" cm="1">
        <f t="array" ref="J15">IFERROR(IF(I15="Specified Margin",IFERROR(_xlfn.IFS(ISNUMBER(SEARCH("India",C15))=TRUE,Baseline!$G$6,ISNUMBER(SEARCH("Pakistan",C15))=TRUE,Baseline!$G$7),Baseline!$G$5),(K15-G15)/K15),"TBD")</f>
        <v>0.35</v>
      </c>
      <c r="K15" s="511">
        <f t="shared" si="0"/>
        <v>0</v>
      </c>
      <c r="L15" s="512"/>
      <c r="M15" s="149">
        <f t="shared" si="1"/>
        <v>0</v>
      </c>
      <c r="N15" s="116"/>
      <c r="O15" s="117"/>
      <c r="P15" s="117"/>
      <c r="Q15" s="118"/>
    </row>
    <row r="16" spans="1:17">
      <c r="B16" s="39"/>
      <c r="C16" s="39"/>
      <c r="D16" s="113">
        <v>0</v>
      </c>
      <c r="E16" s="113" t="s">
        <v>389</v>
      </c>
      <c r="F16" s="133"/>
      <c r="G16" s="131">
        <f>IFERROR(IF(E16="Regular",VLOOKUP(C16,Resource_Rates_Table[],3,FALSE),(IF(PMO!E16="OT",VLOOKUP(C16,Resource_Rates_Table[],4,FALSE),IF(E16="Regular/1st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390</v>
      </c>
      <c r="J16" s="144" cm="1">
        <f t="array" ref="J16">IFERROR(IF(I16="Specified Margin",IFERROR(_xlfn.IFS(ISNUMBER(SEARCH("India",C16))=TRUE,Baseline!$G$6,ISNUMBER(SEARCH("Pakistan",C16))=TRUE,Baseline!$G$7),Baseline!$G$5),(K16-G16)/K16),"TBD")</f>
        <v>0.35</v>
      </c>
      <c r="K16" s="511">
        <f t="shared" si="0"/>
        <v>0</v>
      </c>
      <c r="L16" s="512"/>
      <c r="M16" s="149">
        <f t="shared" si="1"/>
        <v>0</v>
      </c>
      <c r="N16" s="116"/>
      <c r="O16" s="117"/>
      <c r="P16" s="117"/>
      <c r="Q16" s="118"/>
    </row>
    <row r="17" spans="2:17">
      <c r="B17" s="39"/>
      <c r="C17" s="39"/>
      <c r="D17" s="113">
        <v>0</v>
      </c>
      <c r="E17" s="113" t="s">
        <v>389</v>
      </c>
      <c r="F17" s="130"/>
      <c r="G17" s="131">
        <f>IFERROR(IF(E17="Regular",VLOOKUP(C17,Resource_Rates_Table[],3,FALSE),(IF(PMO!E17="OT",VLOOKUP(C17,Resource_Rates_Table[],4,FALSE),IF(E17="Regular/1st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390</v>
      </c>
      <c r="J17" s="144" cm="1">
        <f t="array" ref="J17">IFERROR(IF(I17="Specified Margin",IFERROR(_xlfn.IFS(ISNUMBER(SEARCH("India",C17))=TRUE,Baseline!$G$6,ISNUMBER(SEARCH("Pakistan",C17))=TRUE,Baseline!$G$7),Baseline!$G$5),(K17-G17)/K17),"TBD")</f>
        <v>0.35</v>
      </c>
      <c r="K17" s="511">
        <f t="shared" si="0"/>
        <v>0</v>
      </c>
      <c r="L17" s="512"/>
      <c r="M17" s="149">
        <f t="shared" si="1"/>
        <v>0</v>
      </c>
      <c r="N17" s="116"/>
      <c r="O17" s="117"/>
      <c r="P17" s="117"/>
      <c r="Q17" s="118"/>
    </row>
    <row r="18" spans="2:17">
      <c r="B18" s="39"/>
      <c r="C18" s="39"/>
      <c r="D18" s="113">
        <v>0</v>
      </c>
      <c r="E18" s="113" t="s">
        <v>389</v>
      </c>
      <c r="F18" s="133"/>
      <c r="G18" s="131">
        <f>IFERROR(IF(E18="Regular",VLOOKUP(C18,Resource_Rates_Table[],3,FALSE),(IF(PMO!E18="OT",VLOOKUP(C18,Resource_Rates_Table[],4,FALSE),IF(E18="Regular/1st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390</v>
      </c>
      <c r="J18" s="144" cm="1">
        <f t="array" ref="J18">IFERROR(IF(I18="Specified Margin",IFERROR(_xlfn.IFS(ISNUMBER(SEARCH("India",C18))=TRUE,Baseline!$G$6,ISNUMBER(SEARCH("Pakistan",C18))=TRUE,Baseline!$G$7),Baseline!$G$5),(K18-G18)/K18),"TBD")</f>
        <v>0.35</v>
      </c>
      <c r="K18" s="511">
        <f t="shared" si="0"/>
        <v>0</v>
      </c>
      <c r="L18" s="512"/>
      <c r="M18" s="149">
        <f t="shared" si="1"/>
        <v>0</v>
      </c>
      <c r="N18" s="116"/>
      <c r="O18" s="117"/>
      <c r="P18" s="117"/>
      <c r="Q18" s="118"/>
    </row>
    <row r="19" spans="2:17">
      <c r="B19" s="39"/>
      <c r="C19" s="39"/>
      <c r="D19" s="113">
        <v>0</v>
      </c>
      <c r="E19" s="113" t="s">
        <v>389</v>
      </c>
      <c r="F19" s="130"/>
      <c r="G19" s="131">
        <f>IFERROR(IF(E19="Regular",VLOOKUP(C19,Resource_Rates_Table[],3,FALSE),(IF(PMO!E19="OT",VLOOKUP(C19,Resource_Rates_Table[],4,FALSE),IF(E19="Regular/1st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390</v>
      </c>
      <c r="J19" s="144" cm="1">
        <f t="array" ref="J19">IFERROR(IF(I19="Specified Margin",IFERROR(_xlfn.IFS(ISNUMBER(SEARCH("India",C19))=TRUE,Baseline!$G$6,ISNUMBER(SEARCH("Pakistan",C19))=TRUE,Baseline!$G$7),Baseline!$G$5),(K19-G19)/K19),"TBD")</f>
        <v>0.35</v>
      </c>
      <c r="K19" s="511">
        <f t="shared" si="0"/>
        <v>0</v>
      </c>
      <c r="L19" s="512"/>
      <c r="M19" s="149">
        <f t="shared" si="1"/>
        <v>0</v>
      </c>
      <c r="N19" s="116"/>
      <c r="O19" s="117"/>
      <c r="P19" s="117"/>
      <c r="Q19" s="118"/>
    </row>
    <row r="20" spans="2:17">
      <c r="B20" s="39"/>
      <c r="C20" s="39"/>
      <c r="D20" s="113">
        <v>0</v>
      </c>
      <c r="E20" s="113" t="s">
        <v>389</v>
      </c>
      <c r="F20" s="133"/>
      <c r="G20" s="131">
        <f>IFERROR(IF(E20="Regular",VLOOKUP(C20,Resource_Rates_Table[],3,FALSE),(IF(PMO!E20="OT",VLOOKUP(C20,Resource_Rates_Table[],4,FALSE),IF(E20="Regular/1st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390</v>
      </c>
      <c r="J20" s="144" cm="1">
        <f t="array" ref="J20">IFERROR(IF(I20="Specified Margin",IFERROR(_xlfn.IFS(ISNUMBER(SEARCH("India",C20))=TRUE,Baseline!$G$6,ISNUMBER(SEARCH("Pakistan",C20))=TRUE,Baseline!$G$7),Baseline!$G$5),(K20-G20)/K20),"TBD")</f>
        <v>0.35</v>
      </c>
      <c r="K20" s="511">
        <f t="shared" si="0"/>
        <v>0</v>
      </c>
      <c r="L20" s="512"/>
      <c r="M20" s="149">
        <f t="shared" si="1"/>
        <v>0</v>
      </c>
      <c r="N20" s="116"/>
      <c r="O20" s="117"/>
      <c r="P20" s="117"/>
      <c r="Q20" s="118"/>
    </row>
    <row r="21" spans="2:17">
      <c r="B21" s="39"/>
      <c r="C21" s="39"/>
      <c r="D21" s="113">
        <v>0</v>
      </c>
      <c r="E21" s="113" t="s">
        <v>389</v>
      </c>
      <c r="F21" s="130"/>
      <c r="G21" s="131">
        <f>IFERROR(IF(E21="Regular",VLOOKUP(C21,Resource_Rates_Table[],3,FALSE),(IF(PMO!E21="OT",VLOOKUP(C21,Resource_Rates_Table[],4,FALSE),IF(E21="Regular/1st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390</v>
      </c>
      <c r="J21" s="144" cm="1">
        <f t="array" ref="J21">IFERROR(IF(I21="Specified Margin",IFERROR(_xlfn.IFS(ISNUMBER(SEARCH("India",C21))=TRUE,Baseline!$G$6,ISNUMBER(SEARCH("Pakistan",C21))=TRUE,Baseline!$G$7),Baseline!$G$5),(K21-G21)/K21),"TBD")</f>
        <v>0.35</v>
      </c>
      <c r="K21" s="511">
        <f t="shared" si="0"/>
        <v>0</v>
      </c>
      <c r="L21" s="512"/>
      <c r="M21" s="149">
        <f t="shared" si="1"/>
        <v>0</v>
      </c>
      <c r="N21" s="116"/>
      <c r="O21" s="117"/>
      <c r="P21" s="117"/>
      <c r="Q21" s="118"/>
    </row>
    <row r="22" spans="2:17">
      <c r="B22" s="39"/>
      <c r="C22" s="39"/>
      <c r="D22" s="113">
        <v>0</v>
      </c>
      <c r="E22" s="113" t="s">
        <v>389</v>
      </c>
      <c r="F22" s="133"/>
      <c r="G22" s="131">
        <f>IFERROR(IF(E22="Regular",VLOOKUP(C22,Resource_Rates_Table[],3,FALSE),(IF(PMO!E22="OT",VLOOKUP(C22,Resource_Rates_Table[],4,FALSE),IF(E22="Regular/1st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si="2"/>
        <v>0</v>
      </c>
      <c r="I22" s="141" t="s">
        <v>390</v>
      </c>
      <c r="J22" s="144" cm="1">
        <f t="array" ref="J22">IFERROR(IF(I22="Specified Margin",IFERROR(_xlfn.IFS(ISNUMBER(SEARCH("India",C22))=TRUE,Baseline!$G$6,ISNUMBER(SEARCH("Pakistan",C22))=TRUE,Baseline!$G$7),Baseline!$G$5),(K22-G22)/K22),"TBD")</f>
        <v>0.35</v>
      </c>
      <c r="K22" s="511">
        <f t="shared" si="0"/>
        <v>0</v>
      </c>
      <c r="L22" s="512"/>
      <c r="M22" s="149">
        <f t="shared" si="1"/>
        <v>0</v>
      </c>
      <c r="N22" s="116"/>
      <c r="O22" s="117"/>
      <c r="P22" s="117"/>
      <c r="Q22" s="118"/>
    </row>
    <row r="23" spans="2:17">
      <c r="B23" s="39"/>
      <c r="C23" s="39"/>
      <c r="D23" s="113">
        <v>0</v>
      </c>
      <c r="E23" s="113" t="s">
        <v>389</v>
      </c>
      <c r="F23" s="130"/>
      <c r="G23" s="131">
        <f>IFERROR(IF(E23="Regular",VLOOKUP(C23,Resource_Rates_Table[],3,FALSE),(IF(PMO!E23="OT",VLOOKUP(C23,Resource_Rates_Table[],4,FALSE),IF(E23="Regular/1st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D23*G23</f>
        <v>0</v>
      </c>
      <c r="I23" s="141" t="s">
        <v>390</v>
      </c>
      <c r="J23" s="144" cm="1">
        <f t="array" ref="J23">IFERROR(IF(I23="Specified Margin",IFERROR(_xlfn.IFS(ISNUMBER(SEARCH("India",C23))=TRUE,Baseline!$G$6,ISNUMBER(SEARCH("Pakistan",C23))=TRUE,Baseline!$G$7),Baseline!$G$5),(K23-G23)/K23),"TBD")</f>
        <v>0.35</v>
      </c>
      <c r="K23" s="511">
        <f t="shared" si="0"/>
        <v>0</v>
      </c>
      <c r="L23" s="512"/>
      <c r="M23" s="149">
        <f t="shared" si="1"/>
        <v>0</v>
      </c>
      <c r="N23" s="116"/>
      <c r="O23" s="117"/>
      <c r="P23" s="117"/>
      <c r="Q23" s="118"/>
    </row>
    <row r="24" spans="2:17">
      <c r="B24" s="39"/>
      <c r="C24" s="39"/>
      <c r="D24" s="113">
        <v>0</v>
      </c>
      <c r="E24" s="113" t="s">
        <v>389</v>
      </c>
      <c r="F24" s="133"/>
      <c r="G24" s="131">
        <f>IFERROR(IF(E24="Regular",VLOOKUP(C24,Resource_Rates_Table[],3,FALSE),(IF(PMO!E24="OT",VLOOKUP(C24,Resource_Rates_Table[],4,FALSE),IF(E24="Regular/1st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D24*G24</f>
        <v>0</v>
      </c>
      <c r="I24" s="141" t="s">
        <v>390</v>
      </c>
      <c r="J24" s="144" cm="1">
        <f t="array" ref="J24">IFERROR(IF(I24="Specified Margin",IFERROR(_xlfn.IFS(ISNUMBER(SEARCH("India",C24))=TRUE,Baseline!$G$6,ISNUMBER(SEARCH("Pakistan",C24))=TRUE,Baseline!$G$7),Baseline!$G$5),(K24-G24)/K24),"TBD")</f>
        <v>0.35</v>
      </c>
      <c r="K24" s="511">
        <f t="shared" si="0"/>
        <v>0</v>
      </c>
      <c r="L24" s="512"/>
      <c r="M24" s="149">
        <f t="shared" si="1"/>
        <v>0</v>
      </c>
      <c r="N24" s="340"/>
      <c r="O24" s="380"/>
      <c r="P24" s="380"/>
      <c r="Q24" s="341"/>
    </row>
    <row r="25" spans="2:17">
      <c r="B25" s="39"/>
      <c r="C25" s="39"/>
      <c r="D25" s="113">
        <v>0</v>
      </c>
      <c r="E25" s="113" t="s">
        <v>389</v>
      </c>
      <c r="F25" s="133"/>
      <c r="G25" s="131">
        <f>IFERROR(IF(E25="Regular",VLOOKUP(C25,Resource_Rates_Table[],3,FALSE),(IF(PMO!E25="OT",VLOOKUP(C25,Resource_Rates_Table[],4,FALSE),IF(E25="Regular/1st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D25*G25</f>
        <v>0</v>
      </c>
      <c r="I25" s="141" t="s">
        <v>390</v>
      </c>
      <c r="J25" s="144" cm="1">
        <f t="array" ref="J25">IFERROR(IF(I25="Specified Margin",IFERROR(_xlfn.IFS(ISNUMBER(SEARCH("India",C25))=TRUE,Baseline!$G$6,ISNUMBER(SEARCH("Pakistan",C25))=TRUE,Baseline!$G$7),Baseline!$G$5),(K25-G25)/K25),"TBD")</f>
        <v>0.35</v>
      </c>
      <c r="K25" s="511">
        <f t="shared" si="0"/>
        <v>0</v>
      </c>
      <c r="L25" s="512"/>
      <c r="M25" s="149">
        <f t="shared" si="1"/>
        <v>0</v>
      </c>
      <c r="N25" s="340"/>
      <c r="O25" s="380"/>
      <c r="P25" s="380"/>
      <c r="Q25" s="341"/>
    </row>
    <row r="26" spans="2:17">
      <c r="B26" s="39"/>
      <c r="C26" s="39"/>
      <c r="D26" s="113">
        <v>0</v>
      </c>
      <c r="E26" s="113" t="s">
        <v>389</v>
      </c>
      <c r="F26" s="133"/>
      <c r="G26" s="131">
        <f>IFERROR(IF(E26="Regular",VLOOKUP(C26,Resource_Rates_Table[],3,FALSE),(IF(PMO!E26="OT",VLOOKUP(C26,Resource_Rates_Table[],4,FALSE),IF(E26="Regular/1st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D26*G26</f>
        <v>0</v>
      </c>
      <c r="I26" s="141" t="s">
        <v>390</v>
      </c>
      <c r="J26" s="144" cm="1">
        <f t="array" ref="J26">IFERROR(IF(I26="Specified Margin",IFERROR(_xlfn.IFS(ISNUMBER(SEARCH("India",C26))=TRUE,Baseline!$G$6,ISNUMBER(SEARCH("Pakistan",C26))=TRUE,Baseline!$G$7),Baseline!$G$5),(K26-G26)/K26),"TBD")</f>
        <v>0.35</v>
      </c>
      <c r="K26" s="511">
        <f t="shared" si="0"/>
        <v>0</v>
      </c>
      <c r="L26" s="512"/>
      <c r="M26" s="149">
        <f t="shared" si="1"/>
        <v>0</v>
      </c>
      <c r="N26" s="340"/>
      <c r="O26" s="380"/>
      <c r="P26" s="380"/>
      <c r="Q26" s="341"/>
    </row>
    <row r="27" spans="2:17">
      <c r="B27" s="39"/>
      <c r="C27" s="39"/>
      <c r="D27" s="113">
        <v>0</v>
      </c>
      <c r="E27" s="113" t="s">
        <v>389</v>
      </c>
      <c r="F27" s="133"/>
      <c r="G27" s="131">
        <f>IFERROR(IF(E27="Regular",VLOOKUP(C27,Resource_Rates_Table[],3,FALSE),(IF(PMO!E27="OT",VLOOKUP(C27,Resource_Rates_Table[],4,FALSE),IF(E27="Regular/1st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D27*G27</f>
        <v>0</v>
      </c>
      <c r="I27" s="141" t="s">
        <v>390</v>
      </c>
      <c r="J27" s="144" cm="1">
        <f t="array" ref="J27">IFERROR(IF(I27="Specified Margin",IFERROR(_xlfn.IFS(ISNUMBER(SEARCH("India",C27))=TRUE,Baseline!$G$6,ISNUMBER(SEARCH("Pakistan",C27))=TRUE,Baseline!$G$7),Baseline!$G$5),(K27-G27)/K27),"TBD")</f>
        <v>0.35</v>
      </c>
      <c r="K27" s="511">
        <f t="shared" si="0"/>
        <v>0</v>
      </c>
      <c r="L27" s="512"/>
      <c r="M27" s="149">
        <f t="shared" si="1"/>
        <v>0</v>
      </c>
      <c r="N27" s="340"/>
      <c r="O27" s="380"/>
      <c r="P27" s="380"/>
      <c r="Q27" s="341"/>
    </row>
    <row r="28" spans="2:17">
      <c r="B28" s="6"/>
      <c r="C28" s="6" t="s">
        <v>391</v>
      </c>
      <c r="D28" s="134">
        <f>SUM(D8:D27)</f>
        <v>0</v>
      </c>
      <c r="E28" s="135"/>
      <c r="F28" s="135"/>
      <c r="G28" s="136" t="str">
        <f>IF(C3="Project",C2&amp;" Resource Cost:",C2&amp;" Per Unit Resource Cost:")</f>
        <v>PMO Resource Cost:</v>
      </c>
      <c r="H28" s="137">
        <f>SUM(H8:H27)</f>
        <v>0</v>
      </c>
      <c r="I28" s="137" t="s">
        <v>392</v>
      </c>
      <c r="J28" s="152" t="str">
        <f>IFERROR((M28-H28)/M28,"TBD")</f>
        <v>TBD</v>
      </c>
      <c r="K28" s="378" t="s">
        <v>393</v>
      </c>
      <c r="L28" s="379"/>
      <c r="M28" s="137">
        <f>SUM(M8:M27)</f>
        <v>0</v>
      </c>
      <c r="N28" s="135"/>
      <c r="O28" s="135"/>
      <c r="P28" s="135"/>
      <c r="Q28" s="135"/>
    </row>
    <row r="29" spans="2:17">
      <c r="D29" s="119"/>
    </row>
    <row r="30" spans="2:17">
      <c r="B30" s="7" t="str">
        <f>C2&amp;" Partner Cost Factors:"</f>
        <v>PMO Partner Cost Factors:</v>
      </c>
      <c r="C30" s="7"/>
      <c r="D30" s="126"/>
      <c r="E30" s="126"/>
      <c r="F30" s="126"/>
      <c r="G30" s="126"/>
      <c r="H30" s="126"/>
      <c r="I30" s="126"/>
      <c r="J30" s="126"/>
      <c r="K30" s="126"/>
      <c r="L30" s="126"/>
      <c r="M30" s="126"/>
      <c r="N30" s="126"/>
      <c r="O30" s="126"/>
      <c r="P30" s="126"/>
      <c r="Q30" s="127"/>
    </row>
    <row r="31" spans="2:17">
      <c r="B31" s="4" t="s">
        <v>394</v>
      </c>
      <c r="C31" s="4" t="s">
        <v>395</v>
      </c>
      <c r="D31" s="4" t="s">
        <v>396</v>
      </c>
      <c r="E31" s="128" t="s">
        <v>381</v>
      </c>
      <c r="F31" s="128"/>
      <c r="G31" s="49" t="s">
        <v>397</v>
      </c>
      <c r="H31" s="49" t="s">
        <v>398</v>
      </c>
      <c r="I31" s="4" t="s">
        <v>384</v>
      </c>
      <c r="J31" s="4" t="s">
        <v>385</v>
      </c>
      <c r="K31" s="513" t="s">
        <v>399</v>
      </c>
      <c r="L31" s="514"/>
      <c r="M31" s="4" t="s">
        <v>400</v>
      </c>
      <c r="N31" s="381" t="s">
        <v>401</v>
      </c>
      <c r="O31" s="382"/>
      <c r="P31" s="382"/>
      <c r="Q31" s="383"/>
    </row>
    <row r="32" spans="2:17">
      <c r="B32" s="39"/>
      <c r="C32" s="39" t="str">
        <f>IF(B32="Field Nation",'Resource Descriptions'!$D$116,IF(B32="Partner",'Resource Descriptions'!$D$120,""))</f>
        <v/>
      </c>
      <c r="D32" s="113">
        <v>0</v>
      </c>
      <c r="E32" s="113" t="s">
        <v>389</v>
      </c>
      <c r="F32" s="115"/>
      <c r="G32" s="114">
        <f>IFERROR(IF(B32="Partner","Enter Partner Price",IF(B32="Field Nation",IF(E32="Regular",VLOOKUP(C32,'Resource Descriptions'!$D$116:$I$119,3,FALSE),IF(E32="OT",VLOOKUP(C32,'Resource Descriptions'!$D$116:$I$119,4,FALSE),0)),0)),0)</f>
        <v>0</v>
      </c>
      <c r="H32" s="53">
        <f t="shared" ref="H32:H39" si="3">IFERROR(D32*G32,"TBD")</f>
        <v>0</v>
      </c>
      <c r="I32" s="141" t="s">
        <v>390</v>
      </c>
      <c r="J32" s="144">
        <f>IFERROR(IF(I32="Specified Margin",Baseline!$G$8,(K32-G32)/K32),"TBD")</f>
        <v>0.3</v>
      </c>
      <c r="K32" s="511">
        <f>IFERROR(IF(I32="Specified Margin",G32/(1-J32),"Enter Sell Rate"),"TBD")</f>
        <v>0</v>
      </c>
      <c r="L32" s="512"/>
      <c r="M32" s="160">
        <f>IFERROR(D32*K32,"TBD")</f>
        <v>0</v>
      </c>
      <c r="N32" s="340"/>
      <c r="O32" s="380"/>
      <c r="P32" s="380"/>
      <c r="Q32" s="341"/>
    </row>
    <row r="33" spans="2:17">
      <c r="B33" s="39"/>
      <c r="C33" s="39" t="str">
        <f>IF(B33="Field Nation",'Resource Descriptions'!$D$116,IF(B33="Partner",'Resource Descriptions'!$D$120,""))</f>
        <v/>
      </c>
      <c r="D33" s="113">
        <v>0</v>
      </c>
      <c r="E33" s="113" t="s">
        <v>389</v>
      </c>
      <c r="F33" s="115"/>
      <c r="G33" s="114">
        <f>IFERROR(IF(B33="Partner","Enter Partner Price",IF(B33="Field Nation",IF(E33="Regular",VLOOKUP(C33,'Resource Descriptions'!$D$116:$I$119,3,FALSE),IF(E33="OT",VLOOKUP(C33,'Resource Descriptions'!$D$116:$I$119,4,FALSE),0)),0)),0)</f>
        <v>0</v>
      </c>
      <c r="H33" s="53">
        <f t="shared" si="3"/>
        <v>0</v>
      </c>
      <c r="I33" s="141" t="s">
        <v>390</v>
      </c>
      <c r="J33" s="144">
        <f>IFERROR(IF(I33="Specified Margin",Baseline!$G$8,(K33-G33)/K33),"TBD")</f>
        <v>0.3</v>
      </c>
      <c r="K33" s="511">
        <f t="shared" ref="K33:K39" si="4">IFERROR(IF(I33="Specified Margin",G33/(1-J33),"Enter Sell Rate"),"TBD")</f>
        <v>0</v>
      </c>
      <c r="L33" s="512"/>
      <c r="M33" s="160">
        <f t="shared" ref="M33:M39" si="5">IFERROR(D33*K33,"TBD")</f>
        <v>0</v>
      </c>
      <c r="N33" s="116"/>
      <c r="O33" s="117"/>
      <c r="P33" s="117"/>
      <c r="Q33" s="118"/>
    </row>
    <row r="34" spans="2:17">
      <c r="B34" s="39"/>
      <c r="C34" s="39" t="str">
        <f>IF(B34="Field Nation",'Resource Descriptions'!$D$116,IF(B34="Partner",'Resource Descriptions'!$D$120,""))</f>
        <v/>
      </c>
      <c r="D34" s="113">
        <v>0</v>
      </c>
      <c r="E34" s="113" t="s">
        <v>389</v>
      </c>
      <c r="F34" s="115"/>
      <c r="G34" s="114">
        <f>IFERROR(IF(B34="Partner","Enter Partner Price",IF(B34="Field Nation",IF(E34="Regular",VLOOKUP(C34,'Resource Descriptions'!$D$116:$I$119,3,FALSE),IF(E34="OT",VLOOKUP(C34,'Resource Descriptions'!$D$116:$I$119,4,FALSE),0)),0)),0)</f>
        <v>0</v>
      </c>
      <c r="H34" s="53">
        <f t="shared" si="3"/>
        <v>0</v>
      </c>
      <c r="I34" s="141" t="s">
        <v>390</v>
      </c>
      <c r="J34" s="144">
        <f>IFERROR(IF(I34="Specified Margin",Baseline!$G$8,(K34-G34)/K34),"TBD")</f>
        <v>0.3</v>
      </c>
      <c r="K34" s="511">
        <f t="shared" si="4"/>
        <v>0</v>
      </c>
      <c r="L34" s="512"/>
      <c r="M34" s="160">
        <f t="shared" si="5"/>
        <v>0</v>
      </c>
      <c r="N34" s="116"/>
      <c r="O34" s="117"/>
      <c r="P34" s="117"/>
      <c r="Q34" s="118"/>
    </row>
    <row r="35" spans="2:17">
      <c r="B35" s="39"/>
      <c r="C35" s="39" t="str">
        <f>IF(B35="Field Nation",'Resource Descriptions'!$D$116,IF(B35="Partner",'Resource Descriptions'!$D$120,""))</f>
        <v/>
      </c>
      <c r="D35" s="113">
        <v>0</v>
      </c>
      <c r="E35" s="113" t="s">
        <v>389</v>
      </c>
      <c r="F35" s="115"/>
      <c r="G35" s="114">
        <f>IFERROR(IF(B35="Partner","Enter Partner Price",IF(B35="Field Nation",IF(E35="Regular",VLOOKUP(C35,'Resource Descriptions'!$D$116:$I$119,3,FALSE),IF(E35="OT",VLOOKUP(C35,'Resource Descriptions'!$D$116:$I$119,4,FALSE),0)),0)),0)</f>
        <v>0</v>
      </c>
      <c r="H35" s="53">
        <f t="shared" si="3"/>
        <v>0</v>
      </c>
      <c r="I35" s="141" t="s">
        <v>390</v>
      </c>
      <c r="J35" s="144">
        <f>IFERROR(IF(I35="Specified Margin",Baseline!$G$8,(K35-G35)/K35),"TBD")</f>
        <v>0.3</v>
      </c>
      <c r="K35" s="511">
        <f t="shared" si="4"/>
        <v>0</v>
      </c>
      <c r="L35" s="512"/>
      <c r="M35" s="160">
        <f t="shared" si="5"/>
        <v>0</v>
      </c>
      <c r="N35" s="116"/>
      <c r="O35" s="117"/>
      <c r="P35" s="117"/>
      <c r="Q35" s="118"/>
    </row>
    <row r="36" spans="2:17">
      <c r="B36" s="39"/>
      <c r="C36" s="39" t="str">
        <f>IF(B36="Field Nation",'Resource Descriptions'!$D$116,IF(B36="Partner",'Resource Descriptions'!$D$120,""))</f>
        <v/>
      </c>
      <c r="D36" s="113">
        <v>0</v>
      </c>
      <c r="E36" s="113" t="s">
        <v>389</v>
      </c>
      <c r="F36" s="115"/>
      <c r="G36" s="114">
        <f>IFERROR(IF(B36="Partner","Enter Partner Price",IF(B36="Field Nation",IF(E36="Regular",VLOOKUP(C36,'Resource Descriptions'!$D$116:$I$119,3,FALSE),IF(E36="OT",VLOOKUP(C36,'Resource Descriptions'!$D$116:$I$119,4,FALSE),0)),0)),0)</f>
        <v>0</v>
      </c>
      <c r="H36" s="53">
        <f t="shared" si="3"/>
        <v>0</v>
      </c>
      <c r="I36" s="141" t="s">
        <v>390</v>
      </c>
      <c r="J36" s="144">
        <f>IFERROR(IF(I36="Specified Margin",Baseline!$G$8,(K36-G36)/K36),"TBD")</f>
        <v>0.3</v>
      </c>
      <c r="K36" s="511">
        <f t="shared" si="4"/>
        <v>0</v>
      </c>
      <c r="L36" s="512"/>
      <c r="M36" s="160">
        <f t="shared" si="5"/>
        <v>0</v>
      </c>
      <c r="N36" s="116"/>
      <c r="O36" s="117"/>
      <c r="P36" s="117"/>
      <c r="Q36" s="118"/>
    </row>
    <row r="37" spans="2:17">
      <c r="B37" s="39"/>
      <c r="C37" s="39" t="str">
        <f>IF(B37="Field Nation",'Resource Descriptions'!$D$116,IF(B37="Partner",'Resource Descriptions'!$D$120,""))</f>
        <v/>
      </c>
      <c r="D37" s="113">
        <v>0</v>
      </c>
      <c r="E37" s="113" t="s">
        <v>389</v>
      </c>
      <c r="F37" s="115"/>
      <c r="G37" s="114">
        <f>IFERROR(IF(B37="Partner","Enter Partner Price",IF(B37="Field Nation",IF(E37="Regular",VLOOKUP(C37,'Resource Descriptions'!$D$116:$I$119,3,FALSE),IF(E37="OT",VLOOKUP(C37,'Resource Descriptions'!$D$116:$I$119,4,FALSE),0)),0)),0)</f>
        <v>0</v>
      </c>
      <c r="H37" s="53">
        <f t="shared" si="3"/>
        <v>0</v>
      </c>
      <c r="I37" s="141" t="s">
        <v>390</v>
      </c>
      <c r="J37" s="144">
        <f>IFERROR(IF(I37="Specified Margin",Baseline!$G$8,(K37-G37)/K37),"TBD")</f>
        <v>0.3</v>
      </c>
      <c r="K37" s="511">
        <f t="shared" si="4"/>
        <v>0</v>
      </c>
      <c r="L37" s="512"/>
      <c r="M37" s="160">
        <f t="shared" si="5"/>
        <v>0</v>
      </c>
      <c r="N37" s="116"/>
      <c r="O37" s="117"/>
      <c r="P37" s="117"/>
      <c r="Q37" s="118"/>
    </row>
    <row r="38" spans="2:17">
      <c r="B38" s="39"/>
      <c r="C38" s="39" t="str">
        <f>IF(B38="Field Nation",'Resource Descriptions'!$D$116,IF(B38="Partner",'Resource Descriptions'!$D$120,""))</f>
        <v/>
      </c>
      <c r="D38" s="113">
        <v>0</v>
      </c>
      <c r="E38" s="113" t="s">
        <v>389</v>
      </c>
      <c r="F38" s="115"/>
      <c r="G38" s="114">
        <f>IFERROR(IF(B38="Partner","Enter Partner Price",IF(B38="Field Nation",IF(E38="Regular",VLOOKUP(C38,'Resource Descriptions'!$D$116:$I$119,3,FALSE),IF(E38="OT",VLOOKUP(C38,'Resource Descriptions'!$D$116:$I$119,4,FALSE),0)),0)),0)</f>
        <v>0</v>
      </c>
      <c r="H38" s="53">
        <f t="shared" si="3"/>
        <v>0</v>
      </c>
      <c r="I38" s="141" t="s">
        <v>390</v>
      </c>
      <c r="J38" s="144">
        <f>IFERROR(IF(I38="Specified Margin",Baseline!$G$8,(K38-G38)/K38),"TBD")</f>
        <v>0.3</v>
      </c>
      <c r="K38" s="511">
        <f t="shared" si="4"/>
        <v>0</v>
      </c>
      <c r="L38" s="512"/>
      <c r="M38" s="160">
        <f t="shared" si="5"/>
        <v>0</v>
      </c>
      <c r="N38" s="340"/>
      <c r="O38" s="380"/>
      <c r="P38" s="380"/>
      <c r="Q38" s="341"/>
    </row>
    <row r="39" spans="2:17">
      <c r="B39" s="39"/>
      <c r="C39" s="39" t="str">
        <f>IF(B39="Field Nation",'Resource Descriptions'!$D$116,IF(B39="Partner",'Resource Descriptions'!$D$120,""))</f>
        <v/>
      </c>
      <c r="D39" s="113">
        <v>0</v>
      </c>
      <c r="E39" s="113" t="s">
        <v>389</v>
      </c>
      <c r="F39" s="115"/>
      <c r="G39" s="114">
        <f>IFERROR(IF(B39="Partner","Enter Partner Price",IF(B39="Field Nation",IF(E39="Regular",VLOOKUP(C39,'Resource Descriptions'!$D$116:$I$119,3,FALSE),IF(E39="OT",VLOOKUP(C39,'Resource Descriptions'!$D$116:$I$119,4,FALSE),0)),0)),0)</f>
        <v>0</v>
      </c>
      <c r="H39" s="53">
        <f t="shared" si="3"/>
        <v>0</v>
      </c>
      <c r="I39" s="141" t="s">
        <v>390</v>
      </c>
      <c r="J39" s="144">
        <f>IFERROR(IF(I39="Specified Margin",Baseline!$G$8,(K39-G39)/K39),"TBD")</f>
        <v>0.3</v>
      </c>
      <c r="K39" s="511">
        <f t="shared" si="4"/>
        <v>0</v>
      </c>
      <c r="L39" s="512"/>
      <c r="M39" s="160">
        <f t="shared" si="5"/>
        <v>0</v>
      </c>
      <c r="N39" s="340"/>
      <c r="O39" s="380"/>
      <c r="P39" s="380"/>
      <c r="Q39" s="341"/>
    </row>
    <row r="40" spans="2:17">
      <c r="B40" s="6"/>
      <c r="C40" s="159"/>
      <c r="D40" s="135"/>
      <c r="E40" s="135"/>
      <c r="F40" s="135"/>
      <c r="G40" s="136" t="str">
        <f>IF(C3="Project",C2&amp;" Partner Cost:",C2&amp;" Per Unit Partner Cost:")</f>
        <v>PMO Partner Cost:</v>
      </c>
      <c r="H40" s="137">
        <f>SUM(H32:H39)</f>
        <v>0</v>
      </c>
      <c r="I40" s="137" t="s">
        <v>402</v>
      </c>
      <c r="J40" s="152" t="str">
        <f>IFERROR((M40-H40)/M40,"TBD")</f>
        <v>TBD</v>
      </c>
      <c r="K40" s="378" t="s">
        <v>403</v>
      </c>
      <c r="L40" s="379"/>
      <c r="M40" s="137">
        <f>SUM(M32:M39)</f>
        <v>0</v>
      </c>
      <c r="N40" s="135"/>
      <c r="O40" s="135"/>
      <c r="P40" s="135"/>
      <c r="Q40" s="135"/>
    </row>
    <row r="41" spans="2:17">
      <c r="D41" s="119"/>
    </row>
    <row r="42" spans="2:17">
      <c r="B42" s="7" t="str">
        <f>C2&amp;" Travel &amp; Living Cost Factors:"</f>
        <v>PMO Travel &amp; Living Cost Factors:</v>
      </c>
      <c r="C42" s="126"/>
      <c r="D42" s="126"/>
      <c r="E42" s="126"/>
      <c r="F42" s="126"/>
      <c r="G42" s="126"/>
      <c r="H42" s="126"/>
      <c r="I42" s="126"/>
      <c r="J42" s="126"/>
      <c r="L42" s="7" t="str">
        <f>C2&amp;" Assumptions:"</f>
        <v>PMO Assumptions:</v>
      </c>
      <c r="M42" s="7"/>
      <c r="N42" s="7"/>
      <c r="O42" s="7"/>
      <c r="P42" s="7"/>
      <c r="Q42" s="7"/>
    </row>
    <row r="43" spans="2:17">
      <c r="B43" s="4" t="s">
        <v>404</v>
      </c>
      <c r="C43" s="4" t="s">
        <v>405</v>
      </c>
      <c r="D43" s="4" t="s">
        <v>406</v>
      </c>
      <c r="E43" s="515" t="s">
        <v>407</v>
      </c>
      <c r="F43" s="516"/>
      <c r="G43" s="4" t="s">
        <v>384</v>
      </c>
      <c r="H43" s="13" t="s">
        <v>385</v>
      </c>
      <c r="I43" s="4" t="s">
        <v>408</v>
      </c>
      <c r="J43" s="4" t="s">
        <v>409</v>
      </c>
      <c r="L43" s="375"/>
      <c r="M43" s="376"/>
      <c r="N43" s="376"/>
      <c r="O43" s="376"/>
      <c r="P43" s="376"/>
      <c r="Q43" s="377"/>
    </row>
    <row r="44" spans="2:17">
      <c r="B44" s="39"/>
      <c r="C44" s="113">
        <v>0</v>
      </c>
      <c r="D44" s="120">
        <f>IFERROR(VLOOKUP(B44,'Expenses &amp; Materials'!$B$3:$C$9,2,FALSE),0)</f>
        <v>0</v>
      </c>
      <c r="E44" s="517">
        <f t="shared" ref="E44:E51" si="6">C44*D44</f>
        <v>0</v>
      </c>
      <c r="F44" s="518"/>
      <c r="G44" s="141" t="s">
        <v>390</v>
      </c>
      <c r="H44" s="153">
        <f>IFERROR(IF(G44="Specified Margin",Baseline!$G$9,(I44-D44)/I44),"TBD")</f>
        <v>0.15</v>
      </c>
      <c r="I44" s="62">
        <f>IFERROR(IF(G44="Specified Margin",D44/(1-H44),"Enter Sell Rate"),"TBD")</f>
        <v>0</v>
      </c>
      <c r="J44" s="62">
        <f>IFERROR(C44*I44,"TBD")</f>
        <v>0</v>
      </c>
      <c r="L44" s="375"/>
      <c r="M44" s="376"/>
      <c r="N44" s="376"/>
      <c r="O44" s="376"/>
      <c r="P44" s="376"/>
      <c r="Q44" s="377"/>
    </row>
    <row r="45" spans="2:17">
      <c r="B45" s="39"/>
      <c r="C45" s="113">
        <v>0</v>
      </c>
      <c r="D45" s="120">
        <f>IFERROR(VLOOKUP(B45,'Expenses &amp; Materials'!$B$3:$C$9,2,FALSE),0)</f>
        <v>0</v>
      </c>
      <c r="E45" s="517">
        <f t="shared" si="6"/>
        <v>0</v>
      </c>
      <c r="F45" s="518"/>
      <c r="G45" s="141" t="s">
        <v>390</v>
      </c>
      <c r="H45" s="153">
        <f>Baseline!$G$9</f>
        <v>0.15</v>
      </c>
      <c r="I45" s="62">
        <f t="shared" ref="I45:I51" si="7">IFERROR(IF(G45="Specified Margin",D45/(1-H45),"Enter Sell Rate"),"TBD")</f>
        <v>0</v>
      </c>
      <c r="J45" s="62">
        <f t="shared" ref="J45:J51" si="8">IFERROR(C45*I45,"TBD")</f>
        <v>0</v>
      </c>
      <c r="L45" s="375"/>
      <c r="M45" s="376"/>
      <c r="N45" s="376"/>
      <c r="O45" s="376"/>
      <c r="P45" s="376"/>
      <c r="Q45" s="377"/>
    </row>
    <row r="46" spans="2:17">
      <c r="B46" s="39"/>
      <c r="C46" s="113">
        <v>0</v>
      </c>
      <c r="D46" s="120">
        <f>IFERROR(VLOOKUP(B46,'Expenses &amp; Materials'!$B$3:$C$9,2,FALSE),0)</f>
        <v>0</v>
      </c>
      <c r="E46" s="517">
        <f t="shared" si="6"/>
        <v>0</v>
      </c>
      <c r="F46" s="518"/>
      <c r="G46" s="141" t="s">
        <v>390</v>
      </c>
      <c r="H46" s="153">
        <f>Baseline!$G$9</f>
        <v>0.15</v>
      </c>
      <c r="I46" s="62">
        <f t="shared" si="7"/>
        <v>0</v>
      </c>
      <c r="J46" s="62">
        <f t="shared" si="8"/>
        <v>0</v>
      </c>
      <c r="L46" s="375"/>
      <c r="M46" s="376"/>
      <c r="N46" s="376"/>
      <c r="O46" s="376"/>
      <c r="P46" s="376"/>
      <c r="Q46" s="377"/>
    </row>
    <row r="47" spans="2:17">
      <c r="B47" s="39"/>
      <c r="C47" s="113">
        <v>0</v>
      </c>
      <c r="D47" s="120">
        <f>IFERROR(VLOOKUP(B47,'Expenses &amp; Materials'!$B$3:$C$9,2,FALSE),0)</f>
        <v>0</v>
      </c>
      <c r="E47" s="517">
        <f t="shared" si="6"/>
        <v>0</v>
      </c>
      <c r="F47" s="518"/>
      <c r="G47" s="141" t="s">
        <v>390</v>
      </c>
      <c r="H47" s="153">
        <f>Baseline!$G$9</f>
        <v>0.15</v>
      </c>
      <c r="I47" s="62">
        <f t="shared" si="7"/>
        <v>0</v>
      </c>
      <c r="J47" s="62">
        <f t="shared" si="8"/>
        <v>0</v>
      </c>
      <c r="L47" s="375"/>
      <c r="M47" s="376"/>
      <c r="N47" s="376"/>
      <c r="O47" s="376"/>
      <c r="P47" s="376"/>
      <c r="Q47" s="377"/>
    </row>
    <row r="48" spans="2:17">
      <c r="B48" s="39"/>
      <c r="C48" s="113">
        <v>0</v>
      </c>
      <c r="D48" s="120">
        <f>IFERROR(VLOOKUP(B48,'Expenses &amp; Materials'!$B$3:$C$9,2,FALSE),0)</f>
        <v>0</v>
      </c>
      <c r="E48" s="517">
        <f t="shared" si="6"/>
        <v>0</v>
      </c>
      <c r="F48" s="518"/>
      <c r="G48" s="141" t="s">
        <v>390</v>
      </c>
      <c r="H48" s="153">
        <f>Baseline!$G$9</f>
        <v>0.15</v>
      </c>
      <c r="I48" s="62">
        <f t="shared" si="7"/>
        <v>0</v>
      </c>
      <c r="J48" s="62">
        <f t="shared" si="8"/>
        <v>0</v>
      </c>
      <c r="L48" s="375"/>
      <c r="M48" s="376"/>
      <c r="N48" s="376"/>
      <c r="O48" s="376"/>
      <c r="P48" s="376"/>
      <c r="Q48" s="377"/>
    </row>
    <row r="49" spans="2:17">
      <c r="B49" s="39"/>
      <c r="C49" s="113">
        <v>0</v>
      </c>
      <c r="D49" s="120">
        <f>IFERROR(VLOOKUP(B49,'Expenses &amp; Materials'!$B$3:$C$9,2,FALSE),0)</f>
        <v>0</v>
      </c>
      <c r="E49" s="517">
        <f t="shared" si="6"/>
        <v>0</v>
      </c>
      <c r="F49" s="518"/>
      <c r="G49" s="141" t="s">
        <v>390</v>
      </c>
      <c r="H49" s="153">
        <f>IFERROR(IF(G49="Specified Margin",Baseline!$G$9,(I49-D49)/I49),"TBD")</f>
        <v>0.15</v>
      </c>
      <c r="I49" s="62">
        <f t="shared" si="7"/>
        <v>0</v>
      </c>
      <c r="J49" s="62">
        <f t="shared" si="8"/>
        <v>0</v>
      </c>
      <c r="L49" s="375"/>
      <c r="M49" s="376"/>
      <c r="N49" s="376"/>
      <c r="O49" s="376"/>
      <c r="P49" s="376"/>
      <c r="Q49" s="377"/>
    </row>
    <row r="50" spans="2:17">
      <c r="B50" s="39"/>
      <c r="C50" s="113">
        <v>0</v>
      </c>
      <c r="D50" s="120">
        <f>IFERROR(VLOOKUP(B50,'Expenses &amp; Materials'!$B$3:$C$9,2,FALSE),0)</f>
        <v>0</v>
      </c>
      <c r="E50" s="517">
        <f t="shared" si="6"/>
        <v>0</v>
      </c>
      <c r="F50" s="518"/>
      <c r="G50" s="141" t="s">
        <v>390</v>
      </c>
      <c r="H50" s="153">
        <f>Baseline!$G$9</f>
        <v>0.15</v>
      </c>
      <c r="I50" s="62">
        <f t="shared" si="7"/>
        <v>0</v>
      </c>
      <c r="J50" s="62">
        <f t="shared" si="8"/>
        <v>0</v>
      </c>
      <c r="L50" s="375"/>
      <c r="M50" s="376"/>
      <c r="N50" s="376"/>
      <c r="O50" s="376"/>
      <c r="P50" s="376"/>
      <c r="Q50" s="377"/>
    </row>
    <row r="51" spans="2:17">
      <c r="B51" s="39"/>
      <c r="C51" s="113">
        <v>0</v>
      </c>
      <c r="D51" s="120">
        <f>IFERROR(VLOOKUP(B51,'Expenses &amp; Materials'!$B$3:$C$9,2,FALSE),0)</f>
        <v>0</v>
      </c>
      <c r="E51" s="517">
        <f t="shared" si="6"/>
        <v>0</v>
      </c>
      <c r="F51" s="518"/>
      <c r="G51" s="141" t="s">
        <v>390</v>
      </c>
      <c r="H51" s="153">
        <f>Baseline!$G$9</f>
        <v>0.15</v>
      </c>
      <c r="I51" s="62">
        <f t="shared" si="7"/>
        <v>0</v>
      </c>
      <c r="J51" s="62">
        <f t="shared" si="8"/>
        <v>0</v>
      </c>
      <c r="L51" s="375"/>
      <c r="M51" s="376"/>
      <c r="N51" s="376"/>
      <c r="O51" s="376"/>
      <c r="P51" s="376"/>
      <c r="Q51" s="377"/>
    </row>
    <row r="52" spans="2:17">
      <c r="B52" s="6"/>
      <c r="C52" s="135"/>
      <c r="D52" s="135" t="str">
        <f>IF(C3="Project",C2&amp;" Travel &amp; Living Cost:",C2&amp;" Per Unit Travel &amp; Living Cost:")</f>
        <v>PMO Travel &amp; Living Cost:</v>
      </c>
      <c r="E52" s="519">
        <f>SUM(E44:E51)</f>
        <v>0</v>
      </c>
      <c r="F52" s="520"/>
      <c r="G52" s="143" t="s">
        <v>410</v>
      </c>
      <c r="H52" s="142" t="str">
        <f>IFERROR((J52-E52)/J52,"TBD")</f>
        <v>TBD</v>
      </c>
      <c r="I52" s="8" t="s">
        <v>411</v>
      </c>
      <c r="J52" s="137">
        <f>SUM(J44:J51)</f>
        <v>0</v>
      </c>
      <c r="L52" s="375"/>
      <c r="M52" s="376"/>
      <c r="N52" s="376"/>
      <c r="O52" s="376"/>
      <c r="P52" s="376"/>
      <c r="Q52" s="377"/>
    </row>
    <row r="53" spans="2:17">
      <c r="L53" s="375"/>
      <c r="M53" s="376"/>
      <c r="N53" s="376"/>
      <c r="O53" s="376"/>
      <c r="P53" s="376"/>
      <c r="Q53" s="377"/>
    </row>
    <row r="54" spans="2:17">
      <c r="B54" s="7" t="str">
        <f>C2&amp;" Material &amp; Other Cost Factors:"</f>
        <v>PMO Material &amp; Other Cost Factors:</v>
      </c>
      <c r="C54" s="126"/>
      <c r="D54" s="126"/>
      <c r="E54" s="126"/>
      <c r="F54" s="126"/>
      <c r="G54" s="126"/>
      <c r="H54" s="126"/>
      <c r="I54" s="126"/>
      <c r="J54" s="126"/>
      <c r="L54" s="375"/>
      <c r="M54" s="376"/>
      <c r="N54" s="376"/>
      <c r="O54" s="376"/>
      <c r="P54" s="376"/>
      <c r="Q54" s="377"/>
    </row>
    <row r="55" spans="2:17">
      <c r="B55" s="4" t="s">
        <v>404</v>
      </c>
      <c r="C55" s="4" t="s">
        <v>405</v>
      </c>
      <c r="D55" s="4" t="s">
        <v>406</v>
      </c>
      <c r="E55" s="515" t="s">
        <v>383</v>
      </c>
      <c r="F55" s="516"/>
      <c r="G55" s="4" t="s">
        <v>384</v>
      </c>
      <c r="H55" s="13" t="s">
        <v>385</v>
      </c>
      <c r="I55" s="4" t="s">
        <v>412</v>
      </c>
      <c r="J55" s="4" t="s">
        <v>413</v>
      </c>
      <c r="L55" s="375"/>
      <c r="M55" s="376"/>
      <c r="N55" s="376"/>
      <c r="O55" s="376"/>
      <c r="P55" s="376"/>
      <c r="Q55" s="377"/>
    </row>
    <row r="56" spans="2:17">
      <c r="B56" s="39"/>
      <c r="C56" s="113">
        <v>0</v>
      </c>
      <c r="D56" s="120">
        <f>IFERROR(VLOOKUP(B56,'Expenses &amp; Materials'!$B$13:$C$18,2,FALSE),0)</f>
        <v>0</v>
      </c>
      <c r="E56" s="517">
        <f t="shared" ref="E56:E63" si="9">C56*D56</f>
        <v>0</v>
      </c>
      <c r="F56" s="518"/>
      <c r="G56" s="141" t="s">
        <v>390</v>
      </c>
      <c r="H56" s="153">
        <f>IFERROR(IF(G56="Specified Margin",Baseline!$G$10,(I56-D56)/I56),"TBD")</f>
        <v>0.15</v>
      </c>
      <c r="I56" s="62">
        <f>IFERROR(IF(G56="Specified Margin",D56/(1-H56),"Enter Sell Rate"),"TBD")</f>
        <v>0</v>
      </c>
      <c r="J56" s="62">
        <f>IFERROR(C56*I56,"TBD")</f>
        <v>0</v>
      </c>
      <c r="L56" s="372"/>
      <c r="M56" s="373"/>
      <c r="N56" s="373"/>
      <c r="O56" s="373"/>
      <c r="P56" s="373"/>
      <c r="Q56" s="374"/>
    </row>
    <row r="57" spans="2:17">
      <c r="B57" s="39"/>
      <c r="C57" s="113">
        <v>0</v>
      </c>
      <c r="D57" s="120">
        <f>IFERROR(VLOOKUP(B57,'Expenses &amp; Materials'!$B$13:$C$18,2,FALSE),0)</f>
        <v>0</v>
      </c>
      <c r="E57" s="517">
        <f t="shared" si="9"/>
        <v>0</v>
      </c>
      <c r="F57" s="518"/>
      <c r="G57" s="141" t="s">
        <v>390</v>
      </c>
      <c r="H57" s="153">
        <f>IFERROR(IF(G57="Specified Margin",Baseline!$G$10,(I57-D57)/I57),"TBD")</f>
        <v>0.15</v>
      </c>
      <c r="I57" s="62">
        <f t="shared" ref="I57:I63" si="10">IFERROR(IF(G57="Specified Margin",D57/(1-H57),"Enter Sell Rate"),"TBD")</f>
        <v>0</v>
      </c>
      <c r="J57" s="62">
        <f t="shared" ref="J57:J63" si="11">IFERROR(C57*I57,"TBD")</f>
        <v>0</v>
      </c>
    </row>
    <row r="58" spans="2:17">
      <c r="B58" s="39"/>
      <c r="C58" s="113">
        <v>0</v>
      </c>
      <c r="D58" s="120">
        <f>IFERROR(VLOOKUP(B58,'Expenses &amp; Materials'!$B$13:$C$18,2,FALSE),0)</f>
        <v>0</v>
      </c>
      <c r="E58" s="517">
        <f t="shared" si="9"/>
        <v>0</v>
      </c>
      <c r="F58" s="518"/>
      <c r="G58" s="141" t="s">
        <v>390</v>
      </c>
      <c r="H58" s="153">
        <f>IFERROR(IF(G58="Specified Margin",Baseline!$G$10,(I58-D58)/I58),"TBD")</f>
        <v>0.15</v>
      </c>
      <c r="I58" s="62">
        <f t="shared" si="10"/>
        <v>0</v>
      </c>
      <c r="J58" s="62">
        <f t="shared" si="11"/>
        <v>0</v>
      </c>
      <c r="L58" s="7" t="str">
        <f>C2&amp;" Financial Breakdown:"</f>
        <v>PMO Financial Breakdown:</v>
      </c>
      <c r="M58" s="126"/>
      <c r="N58" s="126"/>
      <c r="O58" s="126"/>
      <c r="P58" s="126"/>
      <c r="Q58" s="126"/>
    </row>
    <row r="59" spans="2:17">
      <c r="B59" s="39"/>
      <c r="C59" s="113">
        <v>0</v>
      </c>
      <c r="D59" s="120">
        <f>IFERROR(VLOOKUP(B59,'Expenses &amp; Materials'!$B$13:$C$18,2,FALSE),0)</f>
        <v>0</v>
      </c>
      <c r="E59" s="517">
        <f t="shared" si="9"/>
        <v>0</v>
      </c>
      <c r="F59" s="518"/>
      <c r="G59" s="141" t="s">
        <v>390</v>
      </c>
      <c r="H59" s="153">
        <f>IFERROR(IF(G59="Specified Margin",Baseline!$G$10,(I59-D59)/I59),"TBD")</f>
        <v>0.15</v>
      </c>
      <c r="I59" s="62">
        <f t="shared" si="10"/>
        <v>0</v>
      </c>
      <c r="J59" s="62">
        <f t="shared" si="11"/>
        <v>0</v>
      </c>
      <c r="L59" s="4" t="str">
        <f>C2&amp;" Cost Factors:"</f>
        <v>PMO Cost Factors:</v>
      </c>
      <c r="M59" s="4" t="str">
        <f>"Total "&amp;C2&amp;" Cost:"</f>
        <v>Total PMO Cost:</v>
      </c>
      <c r="N59" s="4" t="str">
        <f>C2&amp;" Cost/Unit:"</f>
        <v>PMO Cost/Unit:</v>
      </c>
      <c r="O59" s="4" t="str">
        <f>IF(Baseline!G3="Variable Margin",C2&amp;" Blended Margin %:","Blended Margin %")</f>
        <v>Blended Margin %</v>
      </c>
      <c r="P59" s="128" t="str">
        <f>"Total "&amp;C2&amp;" Sell Price:"</f>
        <v>Total PMO Sell Price:</v>
      </c>
      <c r="Q59" s="4" t="str">
        <f>C2&amp;" Sell Price/Unit:"</f>
        <v>PMO Sell Price/Unit:</v>
      </c>
    </row>
    <row r="60" spans="2:17">
      <c r="B60" s="39"/>
      <c r="C60" s="113">
        <v>0</v>
      </c>
      <c r="D60" s="120">
        <f>IFERROR(VLOOKUP(B60,'Expenses &amp; Materials'!$B$13:$C$18,2,FALSE),0)</f>
        <v>0</v>
      </c>
      <c r="E60" s="517">
        <f t="shared" si="9"/>
        <v>0</v>
      </c>
      <c r="F60" s="518"/>
      <c r="G60" s="141" t="s">
        <v>390</v>
      </c>
      <c r="H60" s="153">
        <f>IFERROR(IF(G60="Specified Margin",Baseline!$G$10,(I60-D60)/I60),"TBD")</f>
        <v>0.15</v>
      </c>
      <c r="I60" s="62">
        <f t="shared" si="10"/>
        <v>0</v>
      </c>
      <c r="J60" s="62">
        <f t="shared" si="11"/>
        <v>0</v>
      </c>
      <c r="L60" s="137" t="s">
        <v>280</v>
      </c>
      <c r="M60" s="62">
        <f>IF($C$3="Project",$H$28,$H$28*$C$4)</f>
        <v>0</v>
      </c>
      <c r="N60" s="53">
        <f>IF(C3="Project",$H$28/$C$4,$H$28)</f>
        <v>0</v>
      </c>
      <c r="O60" s="79" t="str">
        <f>J28</f>
        <v>TBD</v>
      </c>
      <c r="P60" s="133" t="str">
        <f>IFERROR(IF(Baseline!$G$3="Variable Margin",IF(C3="Project",M28,M28*C4),M60/$M$64*Baseline!$D$14),"TBD")</f>
        <v>TBD</v>
      </c>
      <c r="Q60" s="53" t="str">
        <f>IFERROR(P60/$C$4,"TBD")</f>
        <v>TBD</v>
      </c>
    </row>
    <row r="61" spans="2:17">
      <c r="B61" s="39"/>
      <c r="C61" s="113">
        <v>0</v>
      </c>
      <c r="D61" s="120">
        <f>IFERROR(VLOOKUP(B61,'Expenses &amp; Materials'!$B$13:$C$18,2,FALSE),0)</f>
        <v>0</v>
      </c>
      <c r="E61" s="517">
        <f t="shared" si="9"/>
        <v>0</v>
      </c>
      <c r="F61" s="518"/>
      <c r="G61" s="141" t="s">
        <v>390</v>
      </c>
      <c r="H61" s="153">
        <f>IFERROR(IF(G61="Specified Margin",Baseline!$G$10,(I61-D61)/I61),"TBD")</f>
        <v>0.15</v>
      </c>
      <c r="I61" s="62">
        <f t="shared" si="10"/>
        <v>0</v>
      </c>
      <c r="J61" s="62">
        <f t="shared" si="11"/>
        <v>0</v>
      </c>
      <c r="L61" s="137" t="s">
        <v>394</v>
      </c>
      <c r="M61" s="62">
        <f>IF($C$3="Project",$H$40,$H$40*$C$4)</f>
        <v>0</v>
      </c>
      <c r="N61" s="53">
        <f>IF(C3="Project",$H$40/$C$4,$H$40)</f>
        <v>0</v>
      </c>
      <c r="O61" s="79" t="str">
        <f>J40</f>
        <v>TBD</v>
      </c>
      <c r="P61" s="133" t="str">
        <f>IFERROR(IF(Baseline!$G$3="Variable Margin",IF(C3="Project",M40,M40*C4),M61/$M$64*Baseline!$D$14),"TBD")</f>
        <v>TBD</v>
      </c>
      <c r="Q61" s="53" t="str">
        <f>IFERROR(P61/$C$4,"TBD")</f>
        <v>TBD</v>
      </c>
    </row>
    <row r="62" spans="2:17">
      <c r="B62" s="39"/>
      <c r="C62" s="113">
        <v>0</v>
      </c>
      <c r="D62" s="120">
        <f>IFERROR(VLOOKUP(B62,'Expenses &amp; Materials'!$B$13:$C$18,2,FALSE),0)</f>
        <v>0</v>
      </c>
      <c r="E62" s="517">
        <f t="shared" si="9"/>
        <v>0</v>
      </c>
      <c r="F62" s="518"/>
      <c r="G62" s="141" t="s">
        <v>390</v>
      </c>
      <c r="H62" s="153">
        <f>IFERROR(IF(G62="Specified Margin",Baseline!$G$10,(I62-D62)/I62),"TBD")</f>
        <v>0.15</v>
      </c>
      <c r="I62" s="62">
        <f t="shared" si="10"/>
        <v>0</v>
      </c>
      <c r="J62" s="62">
        <f t="shared" si="11"/>
        <v>0</v>
      </c>
      <c r="L62" s="137" t="s">
        <v>238</v>
      </c>
      <c r="M62" s="62">
        <f>IF($C$3="Project",$E$52,$E$52*$C$4)</f>
        <v>0</v>
      </c>
      <c r="N62" s="53">
        <f>IF(C3="Project",$E$52/$C$4,$E$52)</f>
        <v>0</v>
      </c>
      <c r="O62" s="79" t="str">
        <f>H52</f>
        <v>TBD</v>
      </c>
      <c r="P62" s="133" t="str">
        <f>IFERROR(IF(Baseline!$G$3="Variable Margin",IF(C3="Project",J52,J52*C4),M62/$M$64*Baseline!$D$14),"TBD")</f>
        <v>TBD</v>
      </c>
      <c r="Q62" s="53" t="str">
        <f>IFERROR(P62/$C$4,"TBD")</f>
        <v>TBD</v>
      </c>
    </row>
    <row r="63" spans="2:17">
      <c r="B63" s="39"/>
      <c r="C63" s="113">
        <v>0</v>
      </c>
      <c r="D63" s="120">
        <f>IFERROR(VLOOKUP(B63,'Expenses &amp; Materials'!$B$13:$C$18,2,FALSE),0)</f>
        <v>0</v>
      </c>
      <c r="E63" s="517">
        <f t="shared" si="9"/>
        <v>0</v>
      </c>
      <c r="F63" s="518"/>
      <c r="G63" s="141" t="s">
        <v>390</v>
      </c>
      <c r="H63" s="153">
        <f>IFERROR(IF(G63="Specified Margin",Baseline!$G$10,(I63-D63)/I63),"TBD")</f>
        <v>0.15</v>
      </c>
      <c r="I63" s="62">
        <f t="shared" si="10"/>
        <v>0</v>
      </c>
      <c r="J63" s="62">
        <f t="shared" si="11"/>
        <v>0</v>
      </c>
      <c r="L63" s="137" t="s">
        <v>415</v>
      </c>
      <c r="M63" s="62">
        <f>IF($C$3="Project",$E$64,$E$64*$C$4)</f>
        <v>0</v>
      </c>
      <c r="N63" s="53">
        <f>IF(C3="Project",$E$64/$C$4,$E$64)</f>
        <v>0</v>
      </c>
      <c r="O63" s="79" t="str">
        <f>H52</f>
        <v>TBD</v>
      </c>
      <c r="P63" s="133" t="str">
        <f>IFERROR(IF(Baseline!$G$3="Variable Margin",IF(C3="Project",J64,J64*C4),M63/$M$64*Baseline!$D$14),"TBD")</f>
        <v>TBD</v>
      </c>
      <c r="Q63" s="53" t="str">
        <f>IFERROR(P63/$C$4,"TBD")</f>
        <v>TBD</v>
      </c>
    </row>
    <row r="64" spans="2:17">
      <c r="B64" s="6"/>
      <c r="C64" s="135"/>
      <c r="D64" s="6" t="str">
        <f>IF(C3="Project",C2&amp;" Material &amp; Other Cost:",C2&amp;" Per Unit Material &amp; Other Cost:")</f>
        <v>PMO Material &amp; Other Cost:</v>
      </c>
      <c r="E64" s="519">
        <f>SUM(E56:E63)</f>
        <v>0</v>
      </c>
      <c r="F64" s="520"/>
      <c r="G64" s="143" t="s">
        <v>416</v>
      </c>
      <c r="H64" s="142" t="str">
        <f>IFERROR((J64-E64)/J64,"TBD")</f>
        <v>TBD</v>
      </c>
      <c r="I64" s="8" t="s">
        <v>417</v>
      </c>
      <c r="J64" s="137">
        <f>SUM(J56:J63)</f>
        <v>0</v>
      </c>
      <c r="L64" s="137" t="s">
        <v>418</v>
      </c>
      <c r="M64" s="137">
        <f>SUM(M60:M63)</f>
        <v>0</v>
      </c>
      <c r="N64" s="8">
        <f>IFERROR(M64/C4,"TBD")</f>
        <v>0</v>
      </c>
      <c r="O64" s="77" t="str">
        <f>IFERROR((P64-M64)/P64,"TBD")</f>
        <v>TBD</v>
      </c>
      <c r="P64" s="143">
        <f>SUM(P60:P63)</f>
        <v>0</v>
      </c>
      <c r="Q64" s="8">
        <f>SUM(Q60:Q63)</f>
        <v>0</v>
      </c>
    </row>
  </sheetData>
  <sheetProtection algorithmName="SHA-512" hashValue="X3CZTBfPrfm5hCvirvBlCZPN7GrY9HUJerSL0PjMPlveX+G9qeiePNYwLLb7myWGkAFVDOIN4psoMC2S7sxl7A==" saltValue="ibpwKXHjeCGZ86x3MOxMNg==" spinCount="100000" sheet="1" objects="1" scenarios="1"/>
  <mergeCells count="78">
    <mergeCell ref="E61:F61"/>
    <mergeCell ref="E62:F62"/>
    <mergeCell ref="E63:F63"/>
    <mergeCell ref="E64:F64"/>
    <mergeCell ref="E52:F52"/>
    <mergeCell ref="E56:F56"/>
    <mergeCell ref="E57:F57"/>
    <mergeCell ref="E58:F58"/>
    <mergeCell ref="E59:F59"/>
    <mergeCell ref="E60:F60"/>
    <mergeCell ref="E55:F55"/>
    <mergeCell ref="E44:F44"/>
    <mergeCell ref="E45:F45"/>
    <mergeCell ref="E46:F46"/>
    <mergeCell ref="E47:F47"/>
    <mergeCell ref="E48:F48"/>
    <mergeCell ref="E49:F49"/>
    <mergeCell ref="E50:F50"/>
    <mergeCell ref="E51:F51"/>
    <mergeCell ref="K20:L20"/>
    <mergeCell ref="K21:L21"/>
    <mergeCell ref="K22:L22"/>
    <mergeCell ref="L46:Q46"/>
    <mergeCell ref="L47:Q47"/>
    <mergeCell ref="N27:Q27"/>
    <mergeCell ref="L50:Q50"/>
    <mergeCell ref="N31:Q31"/>
    <mergeCell ref="N32:Q32"/>
    <mergeCell ref="N38:Q38"/>
    <mergeCell ref="N39:Q39"/>
    <mergeCell ref="L44:Q44"/>
    <mergeCell ref="L45:Q45"/>
    <mergeCell ref="E43:F43"/>
    <mergeCell ref="K31:L31"/>
    <mergeCell ref="K9:L9"/>
    <mergeCell ref="K10:L10"/>
    <mergeCell ref="K11:L11"/>
    <mergeCell ref="K12:L12"/>
    <mergeCell ref="K35:L35"/>
    <mergeCell ref="K36:L36"/>
    <mergeCell ref="K37:L37"/>
    <mergeCell ref="K26:L26"/>
    <mergeCell ref="K27:L27"/>
    <mergeCell ref="K28:L28"/>
    <mergeCell ref="L43:Q43"/>
    <mergeCell ref="J3:K3"/>
    <mergeCell ref="J4:K4"/>
    <mergeCell ref="K8:L8"/>
    <mergeCell ref="K24:L24"/>
    <mergeCell ref="K25:L25"/>
    <mergeCell ref="K23:L23"/>
    <mergeCell ref="K13:L13"/>
    <mergeCell ref="K14:L14"/>
    <mergeCell ref="K15:L15"/>
    <mergeCell ref="K16:L16"/>
    <mergeCell ref="K17:L17"/>
    <mergeCell ref="K18:L18"/>
    <mergeCell ref="K19:L19"/>
    <mergeCell ref="K7:L7"/>
    <mergeCell ref="N7:Q7"/>
    <mergeCell ref="N8:Q8"/>
    <mergeCell ref="N24:Q24"/>
    <mergeCell ref="N25:Q25"/>
    <mergeCell ref="N26:Q26"/>
    <mergeCell ref="L48:Q48"/>
    <mergeCell ref="L49:Q49"/>
    <mergeCell ref="K32:L32"/>
    <mergeCell ref="K38:L38"/>
    <mergeCell ref="K39:L39"/>
    <mergeCell ref="K40:L40"/>
    <mergeCell ref="K33:L33"/>
    <mergeCell ref="K34:L34"/>
    <mergeCell ref="L56:Q56"/>
    <mergeCell ref="L51:Q51"/>
    <mergeCell ref="L52:Q52"/>
    <mergeCell ref="L53:Q53"/>
    <mergeCell ref="L54:Q54"/>
    <mergeCell ref="L55:Q55"/>
  </mergeCells>
  <conditionalFormatting sqref="G32">
    <cfRule type="expression" dxfId="182" priority="56">
      <formula>B32="Partner"</formula>
    </cfRule>
  </conditionalFormatting>
  <conditionalFormatting sqref="G33:G39">
    <cfRule type="expression" dxfId="181" priority="55">
      <formula>B33="Partner"</formula>
    </cfRule>
  </conditionalFormatting>
  <conditionalFormatting sqref="D44:D51">
    <cfRule type="expression" dxfId="180" priority="51">
      <formula>OR(B44="Roundtrip Airfare",B44="Metro City Hotel",B44="Non-Metro City Hotel",B44="Vehicle/Taxi/Uber",B44="Per Diem")=TRUE</formula>
    </cfRule>
  </conditionalFormatting>
  <conditionalFormatting sqref="D56">
    <cfRule type="expression" dxfId="179" priority="46">
      <formula>OR(B56="Background Check",B56="Storage (Per Pallet)")=TRUE</formula>
    </cfRule>
  </conditionalFormatting>
  <conditionalFormatting sqref="D57 D59 D61:D62">
    <cfRule type="expression" dxfId="178" priority="44">
      <formula>OR(B57="Background Check",B57="Storage (Per Pallet)")=TRUE</formula>
    </cfRule>
  </conditionalFormatting>
  <conditionalFormatting sqref="D63 D58 D60">
    <cfRule type="expression" dxfId="177" priority="43">
      <formula>OR(B58="Background Check",B58="Storage (Per Pallet)")=TRUE</formula>
    </cfRule>
  </conditionalFormatting>
  <conditionalFormatting sqref="H3:H4">
    <cfRule type="expression" dxfId="176" priority="29">
      <formula>C3="Partner"</formula>
    </cfRule>
  </conditionalFormatting>
  <conditionalFormatting sqref="M3">
    <cfRule type="expression" dxfId="175" priority="28">
      <formula>H3="Partner"</formula>
    </cfRule>
  </conditionalFormatting>
  <conditionalFormatting sqref="J3">
    <cfRule type="cellIs" dxfId="174" priority="27" operator="lessThan">
      <formula>0.375</formula>
    </cfRule>
  </conditionalFormatting>
  <conditionalFormatting sqref="J32:J39">
    <cfRule type="expression" dxfId="173" priority="23">
      <formula>I32="Specified Sell Rate"</formula>
    </cfRule>
  </conditionalFormatting>
  <conditionalFormatting sqref="K8:K27">
    <cfRule type="expression" dxfId="172" priority="14">
      <formula>K8="Enter Sell Rate"</formula>
    </cfRule>
    <cfRule type="expression" dxfId="171" priority="15">
      <formula>I8="Specified Margin"</formula>
    </cfRule>
  </conditionalFormatting>
  <conditionalFormatting sqref="K32:K39">
    <cfRule type="expression" dxfId="170" priority="10">
      <formula>K32="Enter Sell Rate"</formula>
    </cfRule>
    <cfRule type="expression" dxfId="169" priority="11">
      <formula>I32="Specified Margin"</formula>
    </cfRule>
  </conditionalFormatting>
  <conditionalFormatting sqref="H44:H51">
    <cfRule type="expression" dxfId="168" priority="9">
      <formula>OR(E44="Roundtrip Airfare",E44="Metro City Hotel",E44="Non-Metro City Hotel",E44="Vehicle/Taxi/Uber",E44="Per Diem")=TRUE</formula>
    </cfRule>
  </conditionalFormatting>
  <conditionalFormatting sqref="I44:I51">
    <cfRule type="expression" dxfId="167" priority="7">
      <formula>I44="Enter Sell Rate"</formula>
    </cfRule>
    <cfRule type="expression" dxfId="166" priority="8">
      <formula>G44="Specified Sell Rate"</formula>
    </cfRule>
  </conditionalFormatting>
  <conditionalFormatting sqref="H56:H63">
    <cfRule type="expression" dxfId="165" priority="6">
      <formula>OR(E56="Roundtrip Airfare",E56="Metro City Hotel",E56="Non-Metro City Hotel",E56="Vehicle/Taxi/Uber",E56="Per Diem")=TRUE</formula>
    </cfRule>
  </conditionalFormatting>
  <conditionalFormatting sqref="I56:I63">
    <cfRule type="expression" dxfId="164" priority="4">
      <formula>I56="Enter Sell Rate"</formula>
    </cfRule>
    <cfRule type="expression" dxfId="163" priority="5">
      <formula>G56="Specified Sell Rate"</formula>
    </cfRule>
  </conditionalFormatting>
  <conditionalFormatting sqref="J8:J27">
    <cfRule type="expression" dxfId="162" priority="3">
      <formula>I8="Specified Sell Rate"</formula>
    </cfRule>
  </conditionalFormatting>
  <dataValidations count="8">
    <dataValidation type="list" allowBlank="1" showInputMessage="1" sqref="C3" xr:uid="{00000000-0002-0000-0500-000002000000}">
      <formula1>"Project, Per Unit"</formula1>
    </dataValidation>
    <dataValidation type="list" allowBlank="1" showInputMessage="1" showErrorMessage="1" sqref="E32:E39" xr:uid="{00000000-0002-0000-0500-000000000000}">
      <formula1>"Regular,OT"</formula1>
    </dataValidation>
    <dataValidation type="list" allowBlank="1" showInputMessage="1" showErrorMessage="1" sqref="B32:B39" xr:uid="{00000000-0002-0000-0500-000001000000}">
      <formula1>"Field Nation,Partner"</formula1>
    </dataValidation>
    <dataValidation type="list" allowBlank="1" showInputMessage="1" showErrorMessage="1" sqref="G56:G63 G44:G51 I32:I39 I8:I27" xr:uid="{99B40BF6-9DF4-40C4-83A3-C776AE713C83}">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D1444D4E-39DC-4C85-9BC5-AD2FB58C46C2}">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CC95C3F3-BE02-4996-8407-66BEF0F49E1A}">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013641BD-AE4B-4989-9FBD-124BDF6B10B3}">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44:I51 K32:L39 I56:I63" xr:uid="{79182284-A204-4A7B-A338-7A253FF4D379}">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10" id="{09465A0B-AFA1-407B-8386-31ED02CC5B26}">
            <xm:f>Baseline!$D$6="Department Based"</xm:f>
            <x14:dxf>
              <font>
                <color theme="3" tint="0.59996337778862885"/>
              </font>
            </x14:dxf>
          </x14:cfRule>
          <xm:sqref>D2:D3</xm:sqref>
        </x14:conditionalFormatting>
        <x14:conditionalFormatting xmlns:xm="http://schemas.microsoft.com/office/excel/2006/main">
          <x14:cfRule type="expression" priority="411" id="{5175BB39-4491-45AE-95C6-86F6F07BFE20}">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12" id="{ABD42385-2F8E-4D1F-90C0-C38C2644CE69}">
            <xm:f>Baseline!$D$6="Phase Based"</xm:f>
            <x14:dxf>
              <fill>
                <patternFill>
                  <bgColor theme="2" tint="-0.24994659260841701"/>
                </patternFill>
              </fill>
            </x14:dxf>
          </x14:cfRule>
          <xm:sqref>B8</xm:sqref>
        </x14:conditionalFormatting>
        <x14:conditionalFormatting xmlns:xm="http://schemas.microsoft.com/office/excel/2006/main">
          <x14:cfRule type="expression" priority="2" id="{081C4B97-85F0-4B81-BF55-FD31F24E8F5E}">
            <xm:f>'COLA (WIP)'!$C$4="Yes"</xm:f>
            <x14:dxf>
              <fill>
                <patternFill>
                  <bgColor theme="0"/>
                </patternFill>
              </fill>
            </x14:dxf>
          </x14:cfRule>
          <xm:sqref>E4</xm:sqref>
        </x14:conditionalFormatting>
        <x14:conditionalFormatting xmlns:xm="http://schemas.microsoft.com/office/excel/2006/main">
          <x14:cfRule type="expression" priority="1" id="{18678B7D-CE54-49FF-913C-A971C27DED18}">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xr:uid="{00000000-0002-0000-0500-000003000000}">
          <x14:formula1>
            <xm:f>IF(B32="Field Nation",'Resource Descriptions'!$D$116:$D$119,'Resource Descriptions'!$D$120)</xm:f>
          </x14:formula1>
          <xm:sqref>C32:C39</xm:sqref>
        </x14:dataValidation>
        <x14:dataValidation type="list" allowBlank="1" showInputMessage="1" xr:uid="{00000000-0002-0000-0500-000008000000}">
          <x14:formula1>
            <xm:f>'Expenses &amp; Materials'!$B$4:$B$10</xm:f>
          </x14:formula1>
          <xm:sqref>B44:B51</xm:sqref>
        </x14:dataValidation>
        <x14:dataValidation type="list" allowBlank="1" showInputMessage="1" xr:uid="{00000000-0002-0000-0500-000007000000}">
          <x14:formula1>
            <xm:f>'Expenses &amp; Materials'!$B$14:$B$16</xm:f>
          </x14:formula1>
          <xm:sqref>B56:B63</xm:sqref>
        </x14:dataValidation>
        <x14:dataValidation type="list" allowBlank="1" showInputMessage="1" showErrorMessage="1" xr:uid="{00000000-0002-0000-0500-000004000000}">
          <x14:formula1>
            <xm:f>OFFSET('Resource Descriptions'!$D$6,VLOOKUP(B8,'Data Tables'!$B$3:$E$17,2,FALSE),0,VLOOKUP(B8,'Data Tables'!$B$3:$E$17,4,FALSE),1)</xm:f>
          </x14:formula1>
          <xm:sqref>C24:C27 C22 C20 C18 C16 C14 C8:C12</xm:sqref>
        </x14:dataValidation>
        <x14:dataValidation type="list" allowBlank="1" showInputMessage="1" xr:uid="{00000000-0002-0000-0500-000006000000}">
          <x14:formula1>
            <xm:f>OFFSET('Resource Descriptions'!$D$6,VLOOKUP(B13,'Data Tables'!$B$3:$E$17,2,FALSE),0,VLOOKUP(B13,'Data Tables'!$B$3:$E$17,4,FALSE),1)</xm:f>
          </x14:formula1>
          <xm:sqref>C23 C21 C19 C17 C15 C13</xm:sqref>
        </x14:dataValidation>
        <x14:dataValidation type="list" allowBlank="1" showInputMessage="1" xr:uid="{00000000-0002-0000-0500-000005000000}">
          <x14:formula1>
            <xm:f>'Data Tables'!$B$4:$B$15</xm:f>
          </x14:formula1>
          <xm:sqref>B8:B27</xm:sqref>
        </x14:dataValidation>
        <x14:dataValidation type="list" allowBlank="1" showInputMessage="1" showErrorMessage="1" xr:uid="{DA2BD62B-A944-4580-B9B6-B66939CE9107}">
          <x14:formula1>
            <xm:f>OFFSET('Data Tables'!$C$20,VLOOKUP(C8,'Data Tables'!$G$17:$J$118,2,FALSE),0,VLOOKUP(C8,'Data Tables'!$G$17:$J$118,4,FALSE),1)</xm:f>
          </x14:formula1>
          <xm:sqref>E8:E27</xm:sqref>
        </x14:dataValidation>
        <x14:dataValidation type="list" allowBlank="1" showInputMessage="1" showErrorMessage="1" xr:uid="{5B7F47D5-2736-49F2-AE03-C13F10BA9A59}">
          <x14:formula1>
            <xm:f>IF('COLA (WIP)'!C4="Yes",'COLA (WIP)'!$D$10:$M$10,"")</xm:f>
          </x14:formula1>
          <xm:sqref>E4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Q64"/>
  <sheetViews>
    <sheetView showGridLines="0" zoomScale="80" zoomScaleNormal="80" workbookViewId="0">
      <selection activeCell="C2" sqref="C2"/>
    </sheetView>
  </sheetViews>
  <sheetFormatPr defaultColWidth="8.85546875" defaultRowHeight="15"/>
  <cols>
    <col min="1" max="1" width="3.42578125" style="33" customWidth="1"/>
    <col min="2" max="2" width="28.42578125" style="33" bestFit="1" customWidth="1"/>
    <col min="3" max="3" width="32.140625" style="33" bestFit="1" customWidth="1"/>
    <col min="4" max="5" width="20.42578125" style="33" customWidth="1"/>
    <col min="6" max="6" width="3.42578125" style="33" customWidth="1"/>
    <col min="7" max="10" width="23.42578125" style="33" customWidth="1"/>
    <col min="11" max="11" width="3.42578125" style="33" customWidth="1"/>
    <col min="12" max="17" width="23.42578125" style="33" customWidth="1"/>
    <col min="18" max="16384" width="8.85546875" style="33"/>
  </cols>
  <sheetData>
    <row r="2" spans="1:17">
      <c r="A2" s="109"/>
      <c r="B2" s="121" t="s">
        <v>370</v>
      </c>
      <c r="C2" s="110" t="str">
        <f>IF(Baseline!D6='Data Tables'!L3,'Data Tables'!L7,IF(Baseline!D6='Data Tables'!M3,'Data Tables'!M7,'Data Tables'!N7))</f>
        <v>Design &amp; Fulfillment</v>
      </c>
      <c r="D2" s="34" t="s">
        <v>371</v>
      </c>
      <c r="E2" s="111" t="s">
        <v>372</v>
      </c>
      <c r="G2" s="122" t="s">
        <v>373</v>
      </c>
      <c r="H2" s="122"/>
      <c r="I2" s="123"/>
      <c r="J2" s="7"/>
      <c r="K2" s="7"/>
      <c r="L2" s="7"/>
      <c r="M2" s="7"/>
    </row>
    <row r="3" spans="1:17">
      <c r="B3" s="4" t="s">
        <v>374</v>
      </c>
      <c r="C3" s="39" t="str">
        <f>IF(Baseline!D6="Department Based","Per Unit","Project")</f>
        <v>Per Unit</v>
      </c>
      <c r="D3" s="34" t="s">
        <v>375</v>
      </c>
      <c r="E3" s="39">
        <v>0</v>
      </c>
      <c r="G3" s="4" t="str">
        <f>C2&amp;" Price:"</f>
        <v>Design &amp; Fulfillment Price:</v>
      </c>
      <c r="H3" s="124">
        <f>P64</f>
        <v>0</v>
      </c>
      <c r="I3" s="4" t="s">
        <v>303</v>
      </c>
      <c r="J3" s="384">
        <f>Baseline!$G$24</f>
        <v>0.41046428571428573</v>
      </c>
      <c r="K3" s="385"/>
      <c r="L3" s="4" t="s">
        <v>376</v>
      </c>
      <c r="M3" s="124">
        <f>Baseline!$D$24</f>
        <v>28000</v>
      </c>
    </row>
    <row r="4" spans="1:17">
      <c r="B4" s="4" t="s">
        <v>322</v>
      </c>
      <c r="C4" s="110">
        <f>Baseline!D8</f>
        <v>1</v>
      </c>
      <c r="D4" s="224" t="s">
        <v>377</v>
      </c>
      <c r="E4" s="225"/>
      <c r="G4" s="4" t="str">
        <f>C2&amp;" Blended Margin %:"</f>
        <v>Design &amp; Fulfillment Blended Margin %:</v>
      </c>
      <c r="H4" s="125" t="str">
        <f>O64</f>
        <v>TBD</v>
      </c>
      <c r="I4" s="4" t="s">
        <v>306</v>
      </c>
      <c r="J4" s="384">
        <f ca="1">Baseline!$G$27</f>
        <v>0.37715551785714285</v>
      </c>
      <c r="K4" s="385"/>
      <c r="L4" s="4" t="s">
        <v>378</v>
      </c>
      <c r="M4" s="77">
        <f ca="1">Baseline!$J$5</f>
        <v>8.6024110983219243E-2</v>
      </c>
    </row>
    <row r="6" spans="1:17">
      <c r="B6" s="7" t="str">
        <f>C2&amp;" Resource Cost Factors:"</f>
        <v>Design &amp; Fulfillment Resource Cost Factors:</v>
      </c>
      <c r="C6" s="7"/>
      <c r="D6" s="126"/>
      <c r="E6" s="126"/>
      <c r="F6" s="126"/>
      <c r="G6" s="126"/>
      <c r="H6" s="126"/>
      <c r="I6" s="126"/>
      <c r="J6" s="126"/>
      <c r="K6" s="126"/>
      <c r="L6" s="126"/>
      <c r="M6" s="126"/>
      <c r="N6" s="126"/>
      <c r="O6" s="126"/>
      <c r="P6" s="126"/>
      <c r="Q6" s="127"/>
    </row>
    <row r="7" spans="1:17">
      <c r="B7" s="4" t="s">
        <v>379</v>
      </c>
      <c r="C7" s="4" t="s">
        <v>280</v>
      </c>
      <c r="D7" s="4" t="s">
        <v>380</v>
      </c>
      <c r="E7" s="128" t="s">
        <v>381</v>
      </c>
      <c r="F7" s="128"/>
      <c r="G7" s="49" t="s">
        <v>382</v>
      </c>
      <c r="H7" s="49" t="s">
        <v>383</v>
      </c>
      <c r="I7" s="4" t="s">
        <v>384</v>
      </c>
      <c r="J7" s="4" t="s">
        <v>385</v>
      </c>
      <c r="K7" s="129"/>
      <c r="L7" s="129" t="s">
        <v>386</v>
      </c>
      <c r="M7" s="4" t="s">
        <v>387</v>
      </c>
      <c r="N7" s="381" t="s">
        <v>388</v>
      </c>
      <c r="O7" s="382"/>
      <c r="P7" s="382"/>
      <c r="Q7" s="383"/>
    </row>
    <row r="8" spans="1:17">
      <c r="B8" s="39" t="str">
        <f>IF(Baseline!$D$6="Department Based","Digital Workplace - Field Services &amp; Support","PMO")</f>
        <v>Digital Workplace - Field Services &amp; Support</v>
      </c>
      <c r="C8" s="39" t="s">
        <v>140</v>
      </c>
      <c r="D8" s="113">
        <v>0</v>
      </c>
      <c r="E8" s="113" t="s">
        <v>389</v>
      </c>
      <c r="F8" s="130"/>
      <c r="G8" s="131">
        <f>IFERROR(IF(E8="Regular",VLOOKUP(C8,Resource_Rates_Table[],3,FALSE),(IF('Design &amp; Fulfillment'!E8="OT",VLOOKUP(C8,Resource_Rates_Table[],4,FALSE),IF(E8="Regular/1st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57.559999999999995</v>
      </c>
      <c r="H8" s="132">
        <f>D8*G8</f>
        <v>0</v>
      </c>
      <c r="I8" s="141" t="s">
        <v>390</v>
      </c>
      <c r="J8" s="144">
        <f>IFERROR(IF(I8="Specified Margin",IFERROR(_xlfn.IFS(ISNUMBER(SEARCH("India",C8))=TRUE,Baseline!$G$6,ISNUMBER(SEARCH("Pakistan",C8))=TRUE,Baseline!$G$7),Baseline!$G$5),(K8-G8)/K8),"TBD")</f>
        <v>0.35</v>
      </c>
      <c r="K8" s="511">
        <f>IFERROR(IF(I8="Specified Margin",G8/(1-J8),"Enter Sell Rate"),"TBD")</f>
        <v>88.553846153846138</v>
      </c>
      <c r="L8" s="512"/>
      <c r="M8" s="149">
        <f>IFERROR(D8*K8,"TBD")</f>
        <v>0</v>
      </c>
      <c r="N8" s="340"/>
      <c r="O8" s="380"/>
      <c r="P8" s="380"/>
      <c r="Q8" s="341"/>
    </row>
    <row r="9" spans="1:17">
      <c r="B9" s="39" t="str">
        <f>IF(Baseline!$D$6="Department Based","Digital Workplace - Field Services &amp; Support","")</f>
        <v>Digital Workplace - Field Services &amp; Support</v>
      </c>
      <c r="C9" s="39" t="s">
        <v>284</v>
      </c>
      <c r="D9" s="113">
        <v>0</v>
      </c>
      <c r="E9" s="113" t="s">
        <v>389</v>
      </c>
      <c r="F9" s="130"/>
      <c r="G9" s="131">
        <f>IFERROR(IF(E9="Regular",VLOOKUP(C9,Resource_Rates_Table[],3,FALSE),(IF('Design &amp; Fulfillment'!E9="OT",VLOOKUP(C9,Resource_Rates_Table[],4,FALSE),IF(E9="Regular/1st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5.5</v>
      </c>
      <c r="H9" s="62">
        <f>D9*G9</f>
        <v>0</v>
      </c>
      <c r="I9" s="141" t="s">
        <v>390</v>
      </c>
      <c r="J9" s="144">
        <f>IFERROR(IF(I9="Specified Margin",IFERROR(_xlfn.IFS(ISNUMBER(SEARCH("India",C9))=TRUE,Baseline!$G$6,ISNUMBER(SEARCH("Pakistan",C9))=TRUE,Baseline!$G$7),Baseline!$G$5),(K9-G9)/K9),"TBD")</f>
        <v>0.35</v>
      </c>
      <c r="K9" s="511">
        <f t="shared" ref="K9:K27" si="0">IFERROR(IF(I9="Specified Margin",G9/(1-J9),"Enter Sell Rate"),"TBD")</f>
        <v>8.4615384615384617</v>
      </c>
      <c r="L9" s="512"/>
      <c r="M9" s="149">
        <f>IFERROR(D9*K9,"TBD")</f>
        <v>0</v>
      </c>
      <c r="N9" s="116"/>
      <c r="O9" s="117"/>
      <c r="P9" s="117"/>
      <c r="Q9" s="118"/>
    </row>
    <row r="10" spans="1:17">
      <c r="B10" s="39" t="str">
        <f>IF(Baseline!$D$6="Department Based","Digital Workplace - Field Services &amp; Support","")</f>
        <v>Digital Workplace - Field Services &amp; Support</v>
      </c>
      <c r="C10" s="39" t="str">
        <f>IF(Baseline!$D$6="Department Based","Design &amp; Fulfillment Specialist L1","")</f>
        <v>Design &amp; Fulfillment Specialist L1</v>
      </c>
      <c r="D10" s="113">
        <v>0</v>
      </c>
      <c r="E10" s="113" t="s">
        <v>389</v>
      </c>
      <c r="F10" s="130"/>
      <c r="G10" s="131">
        <f>IFERROR(IF(E10="Regular",VLOOKUP(C10,Resource_Rates_Table[],3,FALSE),(IF('Design &amp; Fulfillment'!E10="OT",VLOOKUP(C10,Resource_Rates_Table[],4,FALSE),IF(E10="Regular/1st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50.589999999999996</v>
      </c>
      <c r="H10" s="62">
        <f>D10*G10</f>
        <v>0</v>
      </c>
      <c r="I10" s="141" t="s">
        <v>390</v>
      </c>
      <c r="J10" s="144" cm="1">
        <f t="array" ref="J10">IFERROR(IF(I10="Specified Margin",IFERROR(_xlfn.IFS(ISNUMBER(SEARCH("India",C10))=TRUE,Baseline!$G$6,ISNUMBER(SEARCH("Pakistan",C10))=TRUE,Baseline!$G$7),Baseline!$G$5),(K10-G10)/K10),"TBD")</f>
        <v>0.35</v>
      </c>
      <c r="K10" s="511">
        <f>IFERROR(IF(I10="Specified Margin",G10/(1-J10),"Enter Sell Rate"),"TBD")</f>
        <v>77.830769230769221</v>
      </c>
      <c r="L10" s="512"/>
      <c r="M10" s="149">
        <f t="shared" ref="M10:M27" si="1">IFERROR(D10*K10,"TBD")</f>
        <v>0</v>
      </c>
      <c r="N10" s="116"/>
      <c r="O10" s="117"/>
      <c r="P10" s="117"/>
      <c r="Q10" s="118"/>
    </row>
    <row r="11" spans="1:17">
      <c r="B11" s="39"/>
      <c r="C11" s="39"/>
      <c r="D11" s="113">
        <v>0</v>
      </c>
      <c r="E11" s="113" t="s">
        <v>389</v>
      </c>
      <c r="F11" s="130"/>
      <c r="G11" s="131">
        <f>IFERROR(IF(E11="Regular",VLOOKUP(C11,Resource_Rates_Table[],3,FALSE),(IF('Design &amp; Fulfillment'!E11="OT",VLOOKUP(C11,Resource_Rates_Table[],4,FALSE),IF(E11="Regular/1st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0</v>
      </c>
      <c r="H11" s="62">
        <f>D11*G11</f>
        <v>0</v>
      </c>
      <c r="I11" s="141" t="s">
        <v>390</v>
      </c>
      <c r="J11" s="144" cm="1">
        <f t="array" ref="J11">IFERROR(IF(I11="Specified Margin",IFERROR(_xlfn.IFS(ISNUMBER(SEARCH("India",C11))=TRUE,Baseline!$G$6,ISNUMBER(SEARCH("Pakistan",C11))=TRUE,Baseline!$G$7),Baseline!$G$5),(K11-G11)/K11),"TBD")</f>
        <v>0.35</v>
      </c>
      <c r="K11" s="511">
        <f t="shared" si="0"/>
        <v>0</v>
      </c>
      <c r="L11" s="512"/>
      <c r="M11" s="149">
        <f t="shared" si="1"/>
        <v>0</v>
      </c>
      <c r="N11" s="116"/>
      <c r="O11" s="117"/>
      <c r="P11" s="117"/>
      <c r="Q11" s="118"/>
    </row>
    <row r="12" spans="1:17">
      <c r="B12" s="39"/>
      <c r="C12" s="39"/>
      <c r="D12" s="113">
        <v>0</v>
      </c>
      <c r="E12" s="113" t="s">
        <v>389</v>
      </c>
      <c r="F12" s="130"/>
      <c r="G12" s="131">
        <f>IFERROR(IF(E12="Regular",VLOOKUP(C12,Resource_Rates_Table[],3,FALSE),(IF('Design &amp; Fulfillment'!E12="OT",VLOOKUP(C12,Resource_Rates_Table[],4,FALSE),IF(E12="Regular/1st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 t="shared" ref="H12:H21" si="2">D12*G12</f>
        <v>0</v>
      </c>
      <c r="I12" s="141" t="s">
        <v>390</v>
      </c>
      <c r="J12" s="144" cm="1">
        <f t="array" ref="J12">IFERROR(IF(I12="Specified Margin",IFERROR(_xlfn.IFS(ISNUMBER(SEARCH("India",C12))=TRUE,Baseline!$G$6,ISNUMBER(SEARCH("Pakistan",C12))=TRUE,Baseline!$G$7),Baseline!$G$5),(K12-G12)/K12),"TBD")</f>
        <v>0.35</v>
      </c>
      <c r="K12" s="511">
        <f t="shared" si="0"/>
        <v>0</v>
      </c>
      <c r="L12" s="512"/>
      <c r="M12" s="149">
        <f t="shared" si="1"/>
        <v>0</v>
      </c>
      <c r="N12" s="116"/>
      <c r="O12" s="117"/>
      <c r="P12" s="117"/>
      <c r="Q12" s="118"/>
    </row>
    <row r="13" spans="1:17">
      <c r="B13" s="39"/>
      <c r="C13" s="39"/>
      <c r="D13" s="113">
        <v>0</v>
      </c>
      <c r="E13" s="113" t="s">
        <v>389</v>
      </c>
      <c r="F13" s="130"/>
      <c r="G13" s="131">
        <f>IFERROR(IF(E13="Regular",VLOOKUP(C13,Resource_Rates_Table[],3,FALSE),(IF('Design &amp; Fulfillment'!E13="OT",VLOOKUP(C13,Resource_Rates_Table[],4,FALSE),IF(E13="Regular/1st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si="2"/>
        <v>0</v>
      </c>
      <c r="I13" s="141" t="s">
        <v>390</v>
      </c>
      <c r="J13" s="144" cm="1">
        <f t="array" ref="J13">IFERROR(IF(I13="Specified Margin",IFERROR(_xlfn.IFS(ISNUMBER(SEARCH("India",C13))=TRUE,Baseline!$G$6,ISNUMBER(SEARCH("Pakistan",C13))=TRUE,Baseline!$G$7),Baseline!$G$5),(K13-G13)/K13),"TBD")</f>
        <v>0.35</v>
      </c>
      <c r="K13" s="511">
        <f t="shared" si="0"/>
        <v>0</v>
      </c>
      <c r="L13" s="512"/>
      <c r="M13" s="149">
        <f t="shared" si="1"/>
        <v>0</v>
      </c>
      <c r="N13" s="116"/>
      <c r="O13" s="117"/>
      <c r="P13" s="117"/>
      <c r="Q13" s="118"/>
    </row>
    <row r="14" spans="1:17">
      <c r="B14" s="39"/>
      <c r="C14" s="39"/>
      <c r="D14" s="113">
        <v>0</v>
      </c>
      <c r="E14" s="113" t="s">
        <v>389</v>
      </c>
      <c r="F14" s="130"/>
      <c r="G14" s="131">
        <f>IFERROR(IF(E14="Regular",VLOOKUP(C14,Resource_Rates_Table[],3,FALSE),(IF('Design &amp; Fulfillment'!E14="OT",VLOOKUP(C14,Resource_Rates_Table[],4,FALSE),IF(E14="Regular/1st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390</v>
      </c>
      <c r="J14" s="144" cm="1">
        <f t="array" ref="J14">IFERROR(IF(I14="Specified Margin",IFERROR(_xlfn.IFS(ISNUMBER(SEARCH("India",C14))=TRUE,Baseline!$G$6,ISNUMBER(SEARCH("Pakistan",C14))=TRUE,Baseline!$G$7),Baseline!$G$5),(K14-G14)/K14),"TBD")</f>
        <v>0.35</v>
      </c>
      <c r="K14" s="511">
        <f t="shared" si="0"/>
        <v>0</v>
      </c>
      <c r="L14" s="512"/>
      <c r="M14" s="149">
        <f t="shared" si="1"/>
        <v>0</v>
      </c>
      <c r="N14" s="116"/>
      <c r="O14" s="117"/>
      <c r="P14" s="117"/>
      <c r="Q14" s="118"/>
    </row>
    <row r="15" spans="1:17">
      <c r="B15" s="39"/>
      <c r="C15" s="39"/>
      <c r="D15" s="113">
        <v>0</v>
      </c>
      <c r="E15" s="113" t="s">
        <v>389</v>
      </c>
      <c r="F15" s="130"/>
      <c r="G15" s="131">
        <f>IFERROR(IF(E15="Regular",VLOOKUP(C15,Resource_Rates_Table[],3,FALSE),(IF('Design &amp; Fulfillment'!E15="OT",VLOOKUP(C15,Resource_Rates_Table[],4,FALSE),IF(E15="Regular/1st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390</v>
      </c>
      <c r="J15" s="144" cm="1">
        <f t="array" ref="J15">IFERROR(IF(I15="Specified Margin",IFERROR(_xlfn.IFS(ISNUMBER(SEARCH("India",C15))=TRUE,Baseline!$G$6,ISNUMBER(SEARCH("Pakistan",C15))=TRUE,Baseline!$G$7),Baseline!$G$5),(K15-G15)/K15),"TBD")</f>
        <v>0.35</v>
      </c>
      <c r="K15" s="511">
        <f t="shared" si="0"/>
        <v>0</v>
      </c>
      <c r="L15" s="512"/>
      <c r="M15" s="149">
        <f t="shared" si="1"/>
        <v>0</v>
      </c>
      <c r="N15" s="116"/>
      <c r="O15" s="117"/>
      <c r="P15" s="117"/>
      <c r="Q15" s="118"/>
    </row>
    <row r="16" spans="1:17">
      <c r="B16" s="39"/>
      <c r="C16" s="39"/>
      <c r="D16" s="113">
        <v>0</v>
      </c>
      <c r="E16" s="113" t="s">
        <v>389</v>
      </c>
      <c r="F16" s="130"/>
      <c r="G16" s="131">
        <f>IFERROR(IF(E16="Regular",VLOOKUP(C16,Resource_Rates_Table[],3,FALSE),(IF('Design &amp; Fulfillment'!E16="OT",VLOOKUP(C16,Resource_Rates_Table[],4,FALSE),IF(E16="Regular/1st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390</v>
      </c>
      <c r="J16" s="144" cm="1">
        <f t="array" ref="J16">IFERROR(IF(I16="Specified Margin",IFERROR(_xlfn.IFS(ISNUMBER(SEARCH("India",C16))=TRUE,Baseline!$G$6,ISNUMBER(SEARCH("Pakistan",C16))=TRUE,Baseline!$G$7),Baseline!$G$5),(K16-G16)/K16),"TBD")</f>
        <v>0.35</v>
      </c>
      <c r="K16" s="511">
        <f t="shared" si="0"/>
        <v>0</v>
      </c>
      <c r="L16" s="512"/>
      <c r="M16" s="149">
        <f t="shared" si="1"/>
        <v>0</v>
      </c>
      <c r="N16" s="116"/>
      <c r="O16" s="117"/>
      <c r="P16" s="117"/>
      <c r="Q16" s="118"/>
    </row>
    <row r="17" spans="2:17">
      <c r="B17" s="39"/>
      <c r="C17" s="39"/>
      <c r="D17" s="113">
        <v>0</v>
      </c>
      <c r="E17" s="113" t="s">
        <v>389</v>
      </c>
      <c r="F17" s="130"/>
      <c r="G17" s="131">
        <f>IFERROR(IF(E17="Regular",VLOOKUP(C17,Resource_Rates_Table[],3,FALSE),(IF('Design &amp; Fulfillment'!E17="OT",VLOOKUP(C17,Resource_Rates_Table[],4,FALSE),IF(E17="Regular/1st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390</v>
      </c>
      <c r="J17" s="144" cm="1">
        <f t="array" ref="J17">IFERROR(IF(I17="Specified Margin",IFERROR(_xlfn.IFS(ISNUMBER(SEARCH("India",C17))=TRUE,Baseline!$G$6,ISNUMBER(SEARCH("Pakistan",C17))=TRUE,Baseline!$G$7),Baseline!$G$5),(K17-G17)/K17),"TBD")</f>
        <v>0.35</v>
      </c>
      <c r="K17" s="511">
        <f t="shared" si="0"/>
        <v>0</v>
      </c>
      <c r="L17" s="512"/>
      <c r="M17" s="149">
        <f t="shared" si="1"/>
        <v>0</v>
      </c>
      <c r="N17" s="116"/>
      <c r="O17" s="117"/>
      <c r="P17" s="117"/>
      <c r="Q17" s="118"/>
    </row>
    <row r="18" spans="2:17">
      <c r="B18" s="39"/>
      <c r="C18" s="39"/>
      <c r="D18" s="113">
        <v>0</v>
      </c>
      <c r="E18" s="113" t="s">
        <v>389</v>
      </c>
      <c r="F18" s="130"/>
      <c r="G18" s="131">
        <f>IFERROR(IF(E18="Regular",VLOOKUP(C18,Resource_Rates_Table[],3,FALSE),(IF('Design &amp; Fulfillment'!E18="OT",VLOOKUP(C18,Resource_Rates_Table[],4,FALSE),IF(E18="Regular/1st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390</v>
      </c>
      <c r="J18" s="144" cm="1">
        <f t="array" ref="J18">IFERROR(IF(I18="Specified Margin",IFERROR(_xlfn.IFS(ISNUMBER(SEARCH("India",C18))=TRUE,Baseline!$G$6,ISNUMBER(SEARCH("Pakistan",C18))=TRUE,Baseline!$G$7),Baseline!$G$5),(K18-G18)/K18),"TBD")</f>
        <v>0.35</v>
      </c>
      <c r="K18" s="511">
        <f t="shared" si="0"/>
        <v>0</v>
      </c>
      <c r="L18" s="512"/>
      <c r="M18" s="149">
        <f t="shared" si="1"/>
        <v>0</v>
      </c>
      <c r="N18" s="116"/>
      <c r="O18" s="117"/>
      <c r="P18" s="117"/>
      <c r="Q18" s="118"/>
    </row>
    <row r="19" spans="2:17">
      <c r="B19" s="39"/>
      <c r="C19" s="39"/>
      <c r="D19" s="113">
        <v>0</v>
      </c>
      <c r="E19" s="113" t="s">
        <v>389</v>
      </c>
      <c r="F19" s="130"/>
      <c r="G19" s="131">
        <f>IFERROR(IF(E19="Regular",VLOOKUP(C19,Resource_Rates_Table[],3,FALSE),(IF('Design &amp; Fulfillment'!E19="OT",VLOOKUP(C19,Resource_Rates_Table[],4,FALSE),IF(E19="Regular/1st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390</v>
      </c>
      <c r="J19" s="144" cm="1">
        <f t="array" ref="J19">IFERROR(IF(I19="Specified Margin",IFERROR(_xlfn.IFS(ISNUMBER(SEARCH("India",C19))=TRUE,Baseline!$G$6,ISNUMBER(SEARCH("Pakistan",C19))=TRUE,Baseline!$G$7),Baseline!$G$5),(K19-G19)/K19),"TBD")</f>
        <v>0.35</v>
      </c>
      <c r="K19" s="511">
        <f t="shared" si="0"/>
        <v>0</v>
      </c>
      <c r="L19" s="512"/>
      <c r="M19" s="149">
        <f t="shared" si="1"/>
        <v>0</v>
      </c>
      <c r="N19" s="116"/>
      <c r="O19" s="117"/>
      <c r="P19" s="117"/>
      <c r="Q19" s="118"/>
    </row>
    <row r="20" spans="2:17">
      <c r="B20" s="39"/>
      <c r="C20" s="39"/>
      <c r="D20" s="113">
        <v>0</v>
      </c>
      <c r="E20" s="113" t="s">
        <v>389</v>
      </c>
      <c r="F20" s="130"/>
      <c r="G20" s="131">
        <f>IFERROR(IF(E20="Regular",VLOOKUP(C20,Resource_Rates_Table[],3,FALSE),(IF('Design &amp; Fulfillment'!E20="OT",VLOOKUP(C20,Resource_Rates_Table[],4,FALSE),IF(E20="Regular/1st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390</v>
      </c>
      <c r="J20" s="144" cm="1">
        <f t="array" ref="J20">IFERROR(IF(I20="Specified Margin",IFERROR(_xlfn.IFS(ISNUMBER(SEARCH("India",C20))=TRUE,Baseline!$G$6,ISNUMBER(SEARCH("Pakistan",C20))=TRUE,Baseline!$G$7),Baseline!$G$5),(K20-G20)/K20),"TBD")</f>
        <v>0.35</v>
      </c>
      <c r="K20" s="511">
        <f t="shared" si="0"/>
        <v>0</v>
      </c>
      <c r="L20" s="512"/>
      <c r="M20" s="149">
        <f t="shared" si="1"/>
        <v>0</v>
      </c>
      <c r="N20" s="116"/>
      <c r="O20" s="117"/>
      <c r="P20" s="117"/>
      <c r="Q20" s="118"/>
    </row>
    <row r="21" spans="2:17">
      <c r="B21" s="39"/>
      <c r="C21" s="39"/>
      <c r="D21" s="113">
        <v>0</v>
      </c>
      <c r="E21" s="113" t="s">
        <v>389</v>
      </c>
      <c r="F21" s="130"/>
      <c r="G21" s="131">
        <f>IFERROR(IF(E21="Regular",VLOOKUP(C21,Resource_Rates_Table[],3,FALSE),(IF('Design &amp; Fulfillment'!E21="OT",VLOOKUP(C21,Resource_Rates_Table[],4,FALSE),IF(E21="Regular/1st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390</v>
      </c>
      <c r="J21" s="144" cm="1">
        <f t="array" ref="J21">IFERROR(IF(I21="Specified Margin",IFERROR(_xlfn.IFS(ISNUMBER(SEARCH("India",C21))=TRUE,Baseline!$G$6,ISNUMBER(SEARCH("Pakistan",C21))=TRUE,Baseline!$G$7),Baseline!$G$5),(K21-G21)/K21),"TBD")</f>
        <v>0.35</v>
      </c>
      <c r="K21" s="511">
        <f t="shared" si="0"/>
        <v>0</v>
      </c>
      <c r="L21" s="512"/>
      <c r="M21" s="149">
        <f t="shared" si="1"/>
        <v>0</v>
      </c>
      <c r="N21" s="116"/>
      <c r="O21" s="117"/>
      <c r="P21" s="117"/>
      <c r="Q21" s="118"/>
    </row>
    <row r="22" spans="2:17">
      <c r="B22" s="39"/>
      <c r="C22" s="39"/>
      <c r="D22" s="113">
        <v>0</v>
      </c>
      <c r="E22" s="113" t="s">
        <v>389</v>
      </c>
      <c r="F22" s="130"/>
      <c r="G22" s="131">
        <f>IFERROR(IF(E22="Regular",VLOOKUP(C22,Resource_Rates_Table[],3,FALSE),(IF('Design &amp; Fulfillment'!E22="OT",VLOOKUP(C22,Resource_Rates_Table[],4,FALSE),IF(E22="Regular/1st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ref="H22:H27" si="3">D22*G22</f>
        <v>0</v>
      </c>
      <c r="I22" s="141" t="s">
        <v>390</v>
      </c>
      <c r="J22" s="144" cm="1">
        <f t="array" ref="J22">IFERROR(IF(I22="Specified Margin",IFERROR(_xlfn.IFS(ISNUMBER(SEARCH("India",C22))=TRUE,Baseline!$G$6,ISNUMBER(SEARCH("Pakistan",C22))=TRUE,Baseline!$G$7),Baseline!$G$5),(K22-G22)/K22),"TBD")</f>
        <v>0.35</v>
      </c>
      <c r="K22" s="511">
        <f t="shared" si="0"/>
        <v>0</v>
      </c>
      <c r="L22" s="512"/>
      <c r="M22" s="149">
        <f t="shared" si="1"/>
        <v>0</v>
      </c>
      <c r="N22" s="116"/>
      <c r="O22" s="117"/>
      <c r="P22" s="117"/>
      <c r="Q22" s="118"/>
    </row>
    <row r="23" spans="2:17">
      <c r="B23" s="39"/>
      <c r="C23" s="39"/>
      <c r="D23" s="113">
        <v>0</v>
      </c>
      <c r="E23" s="113" t="s">
        <v>389</v>
      </c>
      <c r="F23" s="130"/>
      <c r="G23" s="131">
        <f>IFERROR(IF(E23="Regular",VLOOKUP(C23,Resource_Rates_Table[],3,FALSE),(IF('Design &amp; Fulfillment'!E23="OT",VLOOKUP(C23,Resource_Rates_Table[],4,FALSE),IF(E23="Regular/1st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390</v>
      </c>
      <c r="J23" s="144" cm="1">
        <f t="array" ref="J23">IFERROR(IF(I23="Specified Margin",IFERROR(_xlfn.IFS(ISNUMBER(SEARCH("India",C23))=TRUE,Baseline!$G$6,ISNUMBER(SEARCH("Pakistan",C23))=TRUE,Baseline!$G$7),Baseline!$G$5),(K23-G23)/K23),"TBD")</f>
        <v>0.35</v>
      </c>
      <c r="K23" s="511">
        <f t="shared" si="0"/>
        <v>0</v>
      </c>
      <c r="L23" s="512"/>
      <c r="M23" s="149">
        <f t="shared" si="1"/>
        <v>0</v>
      </c>
      <c r="N23" s="116"/>
      <c r="O23" s="117"/>
      <c r="P23" s="117"/>
      <c r="Q23" s="118"/>
    </row>
    <row r="24" spans="2:17">
      <c r="B24" s="39"/>
      <c r="C24" s="39"/>
      <c r="D24" s="113">
        <v>0</v>
      </c>
      <c r="E24" s="113" t="s">
        <v>389</v>
      </c>
      <c r="F24" s="133"/>
      <c r="G24" s="131">
        <f>IFERROR(IF(E24="Regular",VLOOKUP(C24,Resource_Rates_Table[],3,FALSE),(IF('Design &amp; Fulfillment'!E24="OT",VLOOKUP(C24,Resource_Rates_Table[],4,FALSE),IF(E24="Regular/1st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390</v>
      </c>
      <c r="J24" s="144" cm="1">
        <f t="array" ref="J24">IFERROR(IF(I24="Specified Margin",IFERROR(_xlfn.IFS(ISNUMBER(SEARCH("India",C24))=TRUE,Baseline!$G$6,ISNUMBER(SEARCH("Pakistan",C24))=TRUE,Baseline!$G$7),Baseline!$G$5),(K24-G24)/K24),"TBD")</f>
        <v>0.35</v>
      </c>
      <c r="K24" s="511">
        <f t="shared" si="0"/>
        <v>0</v>
      </c>
      <c r="L24" s="512"/>
      <c r="M24" s="149">
        <f t="shared" si="1"/>
        <v>0</v>
      </c>
      <c r="N24" s="340"/>
      <c r="O24" s="380"/>
      <c r="P24" s="380"/>
      <c r="Q24" s="341"/>
    </row>
    <row r="25" spans="2:17">
      <c r="B25" s="39"/>
      <c r="C25" s="39"/>
      <c r="D25" s="113">
        <v>0</v>
      </c>
      <c r="E25" s="113" t="s">
        <v>389</v>
      </c>
      <c r="F25" s="133"/>
      <c r="G25" s="131">
        <f>IFERROR(IF(E25="Regular",VLOOKUP(C25,Resource_Rates_Table[],3,FALSE),(IF('Design &amp; Fulfillment'!E25="OT",VLOOKUP(C25,Resource_Rates_Table[],4,FALSE),IF(E25="Regular/1st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390</v>
      </c>
      <c r="J25" s="144" cm="1">
        <f t="array" ref="J25">IFERROR(IF(I25="Specified Margin",IFERROR(_xlfn.IFS(ISNUMBER(SEARCH("India",C25))=TRUE,Baseline!$G$6,ISNUMBER(SEARCH("Pakistan",C25))=TRUE,Baseline!$G$7),Baseline!$G$5),(K25-G25)/K25),"TBD")</f>
        <v>0.35</v>
      </c>
      <c r="K25" s="511">
        <f t="shared" si="0"/>
        <v>0</v>
      </c>
      <c r="L25" s="512"/>
      <c r="M25" s="149">
        <f t="shared" si="1"/>
        <v>0</v>
      </c>
      <c r="N25" s="340"/>
      <c r="O25" s="380"/>
      <c r="P25" s="380"/>
      <c r="Q25" s="341"/>
    </row>
    <row r="26" spans="2:17">
      <c r="B26" s="39"/>
      <c r="C26" s="39"/>
      <c r="D26" s="113">
        <v>0</v>
      </c>
      <c r="E26" s="113" t="s">
        <v>389</v>
      </c>
      <c r="F26" s="133"/>
      <c r="G26" s="131">
        <f>IFERROR(IF(E26="Regular",VLOOKUP(C26,Resource_Rates_Table[],3,FALSE),(IF('Design &amp; Fulfillment'!E26="OT",VLOOKUP(C26,Resource_Rates_Table[],4,FALSE),IF(E26="Regular/1st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390</v>
      </c>
      <c r="J26" s="144" cm="1">
        <f t="array" ref="J26">IFERROR(IF(I26="Specified Margin",IFERROR(_xlfn.IFS(ISNUMBER(SEARCH("India",C26))=TRUE,Baseline!$G$6,ISNUMBER(SEARCH("Pakistan",C26))=TRUE,Baseline!$G$7),Baseline!$G$5),(K26-G26)/K26),"TBD")</f>
        <v>0.35</v>
      </c>
      <c r="K26" s="511">
        <f t="shared" si="0"/>
        <v>0</v>
      </c>
      <c r="L26" s="512"/>
      <c r="M26" s="149">
        <f t="shared" si="1"/>
        <v>0</v>
      </c>
      <c r="N26" s="340"/>
      <c r="O26" s="380"/>
      <c r="P26" s="380"/>
      <c r="Q26" s="341"/>
    </row>
    <row r="27" spans="2:17">
      <c r="B27" s="39"/>
      <c r="C27" s="39"/>
      <c r="D27" s="113">
        <v>0</v>
      </c>
      <c r="E27" s="113" t="s">
        <v>389</v>
      </c>
      <c r="F27" s="133"/>
      <c r="G27" s="131">
        <f>IFERROR(IF(E27="Regular",VLOOKUP(C27,Resource_Rates_Table[],3,FALSE),(IF('Design &amp; Fulfillment'!E27="OT",VLOOKUP(C27,Resource_Rates_Table[],4,FALSE),IF(E27="Regular/1st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390</v>
      </c>
      <c r="J27" s="144" cm="1">
        <f t="array" ref="J27">IFERROR(IF(I27="Specified Margin",IFERROR(_xlfn.IFS(ISNUMBER(SEARCH("India",C27))=TRUE,Baseline!$G$6,ISNUMBER(SEARCH("Pakistan",C27))=TRUE,Baseline!$G$7),Baseline!$G$5),(K27-G27)/K27),"TBD")</f>
        <v>0.35</v>
      </c>
      <c r="K27" s="511">
        <f t="shared" si="0"/>
        <v>0</v>
      </c>
      <c r="L27" s="512"/>
      <c r="M27" s="149">
        <f t="shared" si="1"/>
        <v>0</v>
      </c>
      <c r="N27" s="340"/>
      <c r="O27" s="380"/>
      <c r="P27" s="380"/>
      <c r="Q27" s="341"/>
    </row>
    <row r="28" spans="2:17">
      <c r="B28" s="6"/>
      <c r="C28" s="6" t="s">
        <v>391</v>
      </c>
      <c r="D28" s="134">
        <f>SUM(D8:D27)</f>
        <v>0</v>
      </c>
      <c r="E28" s="135"/>
      <c r="F28" s="135"/>
      <c r="G28" s="136" t="str">
        <f>IF(C3="Project",C2&amp;" Resource Cost:",C2&amp;" Per Unit Resource Cost:")</f>
        <v>Design &amp; Fulfillment Per Unit Resource Cost:</v>
      </c>
      <c r="H28" s="137">
        <f>SUM(H8:H27)</f>
        <v>0</v>
      </c>
      <c r="I28" s="137" t="s">
        <v>392</v>
      </c>
      <c r="J28" s="152" t="str">
        <f>IFERROR((M28-H28)/M28,"TBD")</f>
        <v>TBD</v>
      </c>
      <c r="K28" s="378" t="s">
        <v>393</v>
      </c>
      <c r="L28" s="379"/>
      <c r="M28" s="137">
        <f>SUM(M8:M27)</f>
        <v>0</v>
      </c>
      <c r="N28" s="135"/>
      <c r="O28" s="135"/>
      <c r="P28" s="135"/>
      <c r="Q28" s="135"/>
    </row>
    <row r="29" spans="2:17">
      <c r="D29" s="119"/>
    </row>
    <row r="30" spans="2:17">
      <c r="B30" s="7" t="str">
        <f>C2&amp;" Partner Cost Factors:"</f>
        <v>Design &amp; Fulfillment Partner Cost Factors:</v>
      </c>
      <c r="C30" s="7"/>
      <c r="D30" s="126"/>
      <c r="E30" s="126"/>
      <c r="F30" s="126"/>
      <c r="G30" s="126"/>
      <c r="H30" s="126"/>
      <c r="I30" s="126"/>
      <c r="J30" s="126"/>
      <c r="K30" s="126"/>
      <c r="L30" s="126"/>
      <c r="M30" s="126"/>
      <c r="N30" s="126"/>
      <c r="O30" s="126"/>
      <c r="P30" s="126"/>
      <c r="Q30" s="127"/>
    </row>
    <row r="31" spans="2:17">
      <c r="B31" s="4" t="s">
        <v>394</v>
      </c>
      <c r="C31" s="4" t="s">
        <v>395</v>
      </c>
      <c r="D31" s="4" t="s">
        <v>396</v>
      </c>
      <c r="E31" s="128" t="s">
        <v>381</v>
      </c>
      <c r="F31" s="128"/>
      <c r="G31" s="49" t="s">
        <v>397</v>
      </c>
      <c r="H31" s="49" t="s">
        <v>398</v>
      </c>
      <c r="I31" s="4" t="s">
        <v>384</v>
      </c>
      <c r="J31" s="4" t="s">
        <v>385</v>
      </c>
      <c r="K31" s="513" t="s">
        <v>399</v>
      </c>
      <c r="L31" s="514"/>
      <c r="M31" s="4" t="s">
        <v>400</v>
      </c>
      <c r="N31" s="381" t="s">
        <v>401</v>
      </c>
      <c r="O31" s="382"/>
      <c r="P31" s="382"/>
      <c r="Q31" s="383"/>
    </row>
    <row r="32" spans="2:17">
      <c r="B32" s="39"/>
      <c r="C32" s="39" t="str">
        <f>IF(B32="Field Nation",'Resource Descriptions'!$D$116,IF(B32="Partner",'Resource Descriptions'!$D$120,""))</f>
        <v/>
      </c>
      <c r="D32" s="113">
        <v>0</v>
      </c>
      <c r="E32" s="113" t="s">
        <v>389</v>
      </c>
      <c r="F32" s="115"/>
      <c r="G32" s="114">
        <f>IFERROR(IF(B32="Partner","Enter Partner Price",IF(B32="Field Nation",IF(E32="Regular",VLOOKUP(C32,'Resource Descriptions'!$D$116:$I$119,3,FALSE),IF(E32="OT",VLOOKUP(C32,'Resource Descriptions'!$D$116:$I$119,4,FALSE),0)),0)),0)</f>
        <v>0</v>
      </c>
      <c r="H32" s="53">
        <f t="shared" ref="H32:H39" si="4">IFERROR(D32*G32,"TBD")</f>
        <v>0</v>
      </c>
      <c r="I32" s="141" t="s">
        <v>390</v>
      </c>
      <c r="J32" s="144">
        <f>IFERROR(IF(I32="Specified Margin",Baseline!$G$8,(K32-G32)/K32),"TBD")</f>
        <v>0.3</v>
      </c>
      <c r="K32" s="511">
        <f>IFERROR(IF(I32="Specified Margin",G32/(1-J32),"Enter Sell Rate"),"TBD")</f>
        <v>0</v>
      </c>
      <c r="L32" s="512"/>
      <c r="M32" s="160">
        <f>IFERROR(D32*K32,"TBD")</f>
        <v>0</v>
      </c>
      <c r="N32" s="340"/>
      <c r="O32" s="380"/>
      <c r="P32" s="380"/>
      <c r="Q32" s="341"/>
    </row>
    <row r="33" spans="2:17">
      <c r="B33" s="39"/>
      <c r="C33" s="39" t="str">
        <f>IF(B33="Field Nation",'Resource Descriptions'!$D$116,IF(B33="Partner",'Resource Descriptions'!$D$120,""))</f>
        <v/>
      </c>
      <c r="D33" s="113">
        <v>0</v>
      </c>
      <c r="E33" s="113" t="s">
        <v>389</v>
      </c>
      <c r="F33" s="115"/>
      <c r="G33" s="114">
        <f>IFERROR(IF(B33="Partner","Enter Partner Price",IF(B33="Field Nation",IF(E33="Regular",VLOOKUP(C33,'Resource Descriptions'!$D$116:$I$119,3,FALSE),IF(E33="OT",VLOOKUP(C33,'Resource Descriptions'!$D$116:$I$119,4,FALSE),0)),0)),0)</f>
        <v>0</v>
      </c>
      <c r="H33" s="53">
        <f t="shared" si="4"/>
        <v>0</v>
      </c>
      <c r="I33" s="141" t="s">
        <v>390</v>
      </c>
      <c r="J33" s="144">
        <f>IFERROR(IF(I33="Specified Margin",Baseline!$G$8,(K33-G33)/K33),"TBD")</f>
        <v>0.3</v>
      </c>
      <c r="K33" s="511">
        <f t="shared" ref="K33:K39" si="5">IFERROR(IF(I33="Specified Margin",G33/(1-J33),"Enter Sell Rate"),"TBD")</f>
        <v>0</v>
      </c>
      <c r="L33" s="512"/>
      <c r="M33" s="160">
        <f t="shared" ref="M33:M38" si="6">IFERROR(D33*K33,"TBD")</f>
        <v>0</v>
      </c>
      <c r="N33" s="116"/>
      <c r="O33" s="117"/>
      <c r="P33" s="117"/>
      <c r="Q33" s="118"/>
    </row>
    <row r="34" spans="2:17">
      <c r="B34" s="39"/>
      <c r="C34" s="39" t="str">
        <f>IF(B34="Field Nation",'Resource Descriptions'!$D$116,IF(B34="Partner",'Resource Descriptions'!$D$120,""))</f>
        <v/>
      </c>
      <c r="D34" s="113">
        <v>0</v>
      </c>
      <c r="E34" s="113" t="s">
        <v>389</v>
      </c>
      <c r="F34" s="115"/>
      <c r="G34" s="114">
        <f>IFERROR(IF(B34="Partner","Enter Partner Price",IF(B34="Field Nation",IF(E34="Regular",VLOOKUP(C34,'Resource Descriptions'!$D$116:$I$119,3,FALSE),IF(E34="OT",VLOOKUP(C34,'Resource Descriptions'!$D$116:$I$119,4,FALSE),0)),0)),0)</f>
        <v>0</v>
      </c>
      <c r="H34" s="53">
        <f t="shared" si="4"/>
        <v>0</v>
      </c>
      <c r="I34" s="141" t="s">
        <v>390</v>
      </c>
      <c r="J34" s="144">
        <f>IFERROR(IF(I34="Specified Margin",Baseline!$G$8,(K34-G34)/K34),"TBD")</f>
        <v>0.3</v>
      </c>
      <c r="K34" s="511">
        <f>IFERROR(IF(I34="Specified Margin",G34/(1-J34),"Enter Sell Rate"),"TBD")</f>
        <v>0</v>
      </c>
      <c r="L34" s="512"/>
      <c r="M34" s="160">
        <f t="shared" si="6"/>
        <v>0</v>
      </c>
      <c r="N34" s="116"/>
      <c r="O34" s="117"/>
      <c r="P34" s="117"/>
      <c r="Q34" s="118"/>
    </row>
    <row r="35" spans="2:17">
      <c r="B35" s="39"/>
      <c r="C35" s="39" t="str">
        <f>IF(B35="Field Nation",'Resource Descriptions'!$D$116,IF(B35="Partner",'Resource Descriptions'!$D$120,""))</f>
        <v/>
      </c>
      <c r="D35" s="113">
        <v>0</v>
      </c>
      <c r="E35" s="113" t="s">
        <v>389</v>
      </c>
      <c r="F35" s="115"/>
      <c r="G35" s="114">
        <f>IFERROR(IF(B35="Partner","Enter Partner Price",IF(B35="Field Nation",IF(E35="Regular",VLOOKUP(C35,'Resource Descriptions'!$D$116:$I$119,3,FALSE),IF(E35="OT",VLOOKUP(C35,'Resource Descriptions'!$D$116:$I$119,4,FALSE),0)),0)),0)</f>
        <v>0</v>
      </c>
      <c r="H35" s="53">
        <f t="shared" si="4"/>
        <v>0</v>
      </c>
      <c r="I35" s="141" t="s">
        <v>390</v>
      </c>
      <c r="J35" s="144">
        <f>IFERROR(IF(I35="Specified Margin",Baseline!$G$8,(K35-G35)/K35),"TBD")</f>
        <v>0.3</v>
      </c>
      <c r="K35" s="511">
        <f t="shared" si="5"/>
        <v>0</v>
      </c>
      <c r="L35" s="512"/>
      <c r="M35" s="160">
        <f t="shared" si="6"/>
        <v>0</v>
      </c>
      <c r="N35" s="116"/>
      <c r="O35" s="117"/>
      <c r="P35" s="117"/>
      <c r="Q35" s="118"/>
    </row>
    <row r="36" spans="2:17">
      <c r="B36" s="39"/>
      <c r="C36" s="39" t="str">
        <f>IF(B36="Field Nation",'Resource Descriptions'!$D$116,IF(B36="Partner",'Resource Descriptions'!$D$120,""))</f>
        <v/>
      </c>
      <c r="D36" s="113">
        <v>0</v>
      </c>
      <c r="E36" s="113" t="s">
        <v>389</v>
      </c>
      <c r="F36" s="115"/>
      <c r="G36" s="114">
        <f>IFERROR(IF(B36="Partner","Enter Partner Price",IF(B36="Field Nation",IF(E36="Regular",VLOOKUP(C36,'Resource Descriptions'!$D$116:$I$119,3,FALSE),IF(E36="OT",VLOOKUP(C36,'Resource Descriptions'!$D$116:$I$119,4,FALSE),0)),0)),0)</f>
        <v>0</v>
      </c>
      <c r="H36" s="53">
        <f t="shared" si="4"/>
        <v>0</v>
      </c>
      <c r="I36" s="141" t="s">
        <v>390</v>
      </c>
      <c r="J36" s="144">
        <f>IFERROR(IF(I36="Specified Margin",Baseline!$G$8,(K36-G36)/K36),"TBD")</f>
        <v>0.3</v>
      </c>
      <c r="K36" s="511">
        <f t="shared" si="5"/>
        <v>0</v>
      </c>
      <c r="L36" s="512"/>
      <c r="M36" s="160">
        <f t="shared" si="6"/>
        <v>0</v>
      </c>
      <c r="N36" s="116"/>
      <c r="O36" s="117"/>
      <c r="P36" s="117"/>
      <c r="Q36" s="118"/>
    </row>
    <row r="37" spans="2:17">
      <c r="B37" s="39"/>
      <c r="C37" s="39" t="str">
        <f>IF(B37="Field Nation",'Resource Descriptions'!$D$116,IF(B37="Partner",'Resource Descriptions'!$D$120,""))</f>
        <v/>
      </c>
      <c r="D37" s="113">
        <v>0</v>
      </c>
      <c r="E37" s="113" t="s">
        <v>389</v>
      </c>
      <c r="F37" s="115"/>
      <c r="G37" s="114">
        <f>IFERROR(IF(B37="Partner","Enter Partner Price",IF(B37="Field Nation",IF(E37="Regular",VLOOKUP(C37,'Resource Descriptions'!$D$116:$I$119,3,FALSE),IF(E37="OT",VLOOKUP(C37,'Resource Descriptions'!$D$116:$I$119,4,FALSE),0)),0)),0)</f>
        <v>0</v>
      </c>
      <c r="H37" s="53">
        <f t="shared" si="4"/>
        <v>0</v>
      </c>
      <c r="I37" s="141" t="s">
        <v>390</v>
      </c>
      <c r="J37" s="144">
        <f>IFERROR(IF(I37="Specified Margin",Baseline!$G$8,(K37-G37)/K37),"TBD")</f>
        <v>0.3</v>
      </c>
      <c r="K37" s="511">
        <f t="shared" si="5"/>
        <v>0</v>
      </c>
      <c r="L37" s="512"/>
      <c r="M37" s="160">
        <f t="shared" si="6"/>
        <v>0</v>
      </c>
      <c r="N37" s="116"/>
      <c r="O37" s="117"/>
      <c r="P37" s="117"/>
      <c r="Q37" s="118"/>
    </row>
    <row r="38" spans="2:17">
      <c r="B38" s="39"/>
      <c r="C38" s="39" t="str">
        <f>IF(B38="Field Nation",'Resource Descriptions'!$D$116,IF(B38="Partner",'Resource Descriptions'!$D$120,""))</f>
        <v/>
      </c>
      <c r="D38" s="113">
        <v>0</v>
      </c>
      <c r="E38" s="113" t="s">
        <v>389</v>
      </c>
      <c r="F38" s="115"/>
      <c r="G38" s="114">
        <f>IFERROR(IF(B38="Partner","Enter Partner Price",IF(B38="Field Nation",IF(E38="Regular",VLOOKUP(C38,'Resource Descriptions'!$D$116:$I$119,3,FALSE),IF(E38="OT",VLOOKUP(C38,'Resource Descriptions'!$D$116:$I$119,4,FALSE),0)),0)),0)</f>
        <v>0</v>
      </c>
      <c r="H38" s="53">
        <f t="shared" si="4"/>
        <v>0</v>
      </c>
      <c r="I38" s="141" t="s">
        <v>390</v>
      </c>
      <c r="J38" s="144">
        <f>IFERROR(IF(I38="Specified Margin",Baseline!$G$8,(K38-G38)/K38),"TBD")</f>
        <v>0.3</v>
      </c>
      <c r="K38" s="511">
        <f t="shared" si="5"/>
        <v>0</v>
      </c>
      <c r="L38" s="512"/>
      <c r="M38" s="160">
        <f t="shared" si="6"/>
        <v>0</v>
      </c>
      <c r="N38" s="340"/>
      <c r="O38" s="380"/>
      <c r="P38" s="380"/>
      <c r="Q38" s="341"/>
    </row>
    <row r="39" spans="2:17">
      <c r="B39" s="39"/>
      <c r="C39" s="39" t="str">
        <f>IF(B39="Field Nation",'Resource Descriptions'!$D$116,IF(B39="Partner",'Resource Descriptions'!$D$120,""))</f>
        <v/>
      </c>
      <c r="D39" s="113">
        <v>0</v>
      </c>
      <c r="E39" s="113" t="s">
        <v>389</v>
      </c>
      <c r="F39" s="115"/>
      <c r="G39" s="114">
        <f>IFERROR(IF(B39="Partner","Enter Partner Price",IF(B39="Field Nation",IF(E39="Regular",VLOOKUP(C39,'Resource Descriptions'!$D$116:$I$119,3,FALSE),IF(E39="OT",VLOOKUP(C39,'Resource Descriptions'!$D$116:$I$119,4,FALSE),0)),0)),0)</f>
        <v>0</v>
      </c>
      <c r="H39" s="53">
        <f t="shared" si="4"/>
        <v>0</v>
      </c>
      <c r="I39" s="141" t="s">
        <v>390</v>
      </c>
      <c r="J39" s="144">
        <f>IFERROR(IF(I39="Specified Margin",Baseline!$G$8,(K39-G39)/K39),"TBD")</f>
        <v>0.3</v>
      </c>
      <c r="K39" s="511">
        <f t="shared" si="5"/>
        <v>0</v>
      </c>
      <c r="L39" s="512"/>
      <c r="M39" s="160">
        <f>IFERROR(D39*K39,"TBD")</f>
        <v>0</v>
      </c>
      <c r="N39" s="340"/>
      <c r="O39" s="380"/>
      <c r="P39" s="380"/>
      <c r="Q39" s="341"/>
    </row>
    <row r="40" spans="2:17">
      <c r="B40" s="6"/>
      <c r="C40" s="159"/>
      <c r="D40" s="135"/>
      <c r="E40" s="135"/>
      <c r="F40" s="135"/>
      <c r="G40" s="136" t="str">
        <f>IF(C3="Project",C2&amp;" Partner Cost:",C2&amp;" Per Unit Partner Cost:")</f>
        <v>Design &amp; Fulfillment Per Unit Partner Cost:</v>
      </c>
      <c r="H40" s="137">
        <f>SUM(H32:H39)</f>
        <v>0</v>
      </c>
      <c r="I40" s="137" t="s">
        <v>402</v>
      </c>
      <c r="J40" s="152" t="str">
        <f>IFERROR((M40-H40)/M40,"TBD")</f>
        <v>TBD</v>
      </c>
      <c r="K40" s="378" t="s">
        <v>403</v>
      </c>
      <c r="L40" s="379"/>
      <c r="M40" s="137">
        <f>SUM(M32:M39)</f>
        <v>0</v>
      </c>
      <c r="N40" s="135"/>
      <c r="O40" s="135"/>
      <c r="P40" s="135"/>
      <c r="Q40" s="135"/>
    </row>
    <row r="41" spans="2:17">
      <c r="D41" s="119"/>
    </row>
    <row r="42" spans="2:17">
      <c r="B42" s="7" t="str">
        <f>C2&amp;" Travel &amp; Living Cost Factors:"</f>
        <v>Design &amp; Fulfillment Travel &amp; Living Cost Factors:</v>
      </c>
      <c r="C42" s="126"/>
      <c r="D42" s="126"/>
      <c r="E42" s="126"/>
      <c r="F42" s="126"/>
      <c r="G42" s="126"/>
      <c r="H42" s="126"/>
      <c r="I42" s="126"/>
      <c r="J42" s="126"/>
      <c r="L42" s="32" t="str">
        <f>C2&amp;" Assumptions:"</f>
        <v>Design &amp; Fulfillment Assumptions:</v>
      </c>
      <c r="M42" s="32"/>
      <c r="N42" s="32"/>
      <c r="O42" s="32"/>
      <c r="P42" s="32"/>
      <c r="Q42" s="32"/>
    </row>
    <row r="43" spans="2:17">
      <c r="B43" s="4" t="s">
        <v>404</v>
      </c>
      <c r="C43" s="4" t="s">
        <v>405</v>
      </c>
      <c r="D43" s="4" t="s">
        <v>406</v>
      </c>
      <c r="E43" s="515" t="s">
        <v>407</v>
      </c>
      <c r="F43" s="516"/>
      <c r="G43" s="4" t="s">
        <v>384</v>
      </c>
      <c r="H43" s="13" t="s">
        <v>385</v>
      </c>
      <c r="I43" s="4" t="s">
        <v>408</v>
      </c>
      <c r="J43" s="4" t="s">
        <v>409</v>
      </c>
      <c r="L43" s="375"/>
      <c r="M43" s="376"/>
      <c r="N43" s="376"/>
      <c r="O43" s="376"/>
      <c r="P43" s="376"/>
      <c r="Q43" s="377"/>
    </row>
    <row r="44" spans="2:17">
      <c r="B44" s="39"/>
      <c r="C44" s="113">
        <v>0</v>
      </c>
      <c r="D44" s="120">
        <f>IFERROR(VLOOKUP(B44,'Expenses &amp; Materials'!$B$3:$C$9,2,FALSE),0)</f>
        <v>0</v>
      </c>
      <c r="E44" s="517">
        <f t="shared" ref="E44:E51" si="7">C44*D44</f>
        <v>0</v>
      </c>
      <c r="F44" s="518"/>
      <c r="G44" s="141" t="s">
        <v>390</v>
      </c>
      <c r="H44" s="153">
        <f>IFERROR(IF(G44="Specified Margin",Baseline!$G$9,(I44-D44)/I44),"TBD")</f>
        <v>0.15</v>
      </c>
      <c r="I44" s="163">
        <f>IFERROR(IF(G44="Specified Margin",D44/(1-H44),"Enter Sell Rate"),"TBD")</f>
        <v>0</v>
      </c>
      <c r="J44" s="62">
        <f>IFERROR(C44*I44,"TBD")</f>
        <v>0</v>
      </c>
      <c r="L44" s="375"/>
      <c r="M44" s="376"/>
      <c r="N44" s="376"/>
      <c r="O44" s="376"/>
      <c r="P44" s="376"/>
      <c r="Q44" s="377"/>
    </row>
    <row r="45" spans="2:17">
      <c r="B45" s="39"/>
      <c r="C45" s="113">
        <v>0</v>
      </c>
      <c r="D45" s="120">
        <f>IFERROR(VLOOKUP(B45,'Expenses &amp; Materials'!$B$3:$C$9,2,FALSE),0)</f>
        <v>0</v>
      </c>
      <c r="E45" s="517">
        <f t="shared" si="7"/>
        <v>0</v>
      </c>
      <c r="F45" s="518"/>
      <c r="G45" s="141" t="s">
        <v>390</v>
      </c>
      <c r="H45" s="153">
        <f>Baseline!$G$9</f>
        <v>0.15</v>
      </c>
      <c r="I45" s="163">
        <f t="shared" ref="I45:I51" si="8">IFERROR(IF(G45="Specified Margin",D45/(1-H45),"Enter Sell Rate"),"TBD")</f>
        <v>0</v>
      </c>
      <c r="J45" s="62">
        <f t="shared" ref="J45:J51" si="9">IFERROR(C45*I45,"TBD")</f>
        <v>0</v>
      </c>
      <c r="L45" s="375"/>
      <c r="M45" s="376"/>
      <c r="N45" s="376"/>
      <c r="O45" s="376"/>
      <c r="P45" s="376"/>
      <c r="Q45" s="377"/>
    </row>
    <row r="46" spans="2:17">
      <c r="B46" s="39"/>
      <c r="C46" s="113">
        <v>0</v>
      </c>
      <c r="D46" s="120">
        <f>IFERROR(VLOOKUP(B46,'Expenses &amp; Materials'!$B$3:$C$9,2,FALSE),0)</f>
        <v>0</v>
      </c>
      <c r="E46" s="517">
        <f t="shared" si="7"/>
        <v>0</v>
      </c>
      <c r="F46" s="518"/>
      <c r="G46" s="141" t="s">
        <v>390</v>
      </c>
      <c r="H46" s="153">
        <f>Baseline!$G$9</f>
        <v>0.15</v>
      </c>
      <c r="I46" s="163">
        <f t="shared" si="8"/>
        <v>0</v>
      </c>
      <c r="J46" s="62">
        <f t="shared" si="9"/>
        <v>0</v>
      </c>
      <c r="L46" s="375"/>
      <c r="M46" s="376"/>
      <c r="N46" s="376"/>
      <c r="O46" s="376"/>
      <c r="P46" s="376"/>
      <c r="Q46" s="377"/>
    </row>
    <row r="47" spans="2:17">
      <c r="B47" s="39"/>
      <c r="C47" s="113">
        <v>0</v>
      </c>
      <c r="D47" s="120">
        <f>IFERROR(VLOOKUP(B47,'Expenses &amp; Materials'!$B$3:$C$9,2,FALSE),0)</f>
        <v>0</v>
      </c>
      <c r="E47" s="517">
        <f t="shared" si="7"/>
        <v>0</v>
      </c>
      <c r="F47" s="518"/>
      <c r="G47" s="141" t="s">
        <v>390</v>
      </c>
      <c r="H47" s="153">
        <f>Baseline!$G$9</f>
        <v>0.15</v>
      </c>
      <c r="I47" s="163">
        <f t="shared" si="8"/>
        <v>0</v>
      </c>
      <c r="J47" s="62">
        <f t="shared" si="9"/>
        <v>0</v>
      </c>
      <c r="L47" s="375"/>
      <c r="M47" s="376"/>
      <c r="N47" s="376"/>
      <c r="O47" s="376"/>
      <c r="P47" s="376"/>
      <c r="Q47" s="377"/>
    </row>
    <row r="48" spans="2:17">
      <c r="B48" s="39"/>
      <c r="C48" s="113">
        <v>0</v>
      </c>
      <c r="D48" s="120">
        <f>IFERROR(VLOOKUP(B48,'Expenses &amp; Materials'!$B$3:$C$9,2,FALSE),0)</f>
        <v>0</v>
      </c>
      <c r="E48" s="517">
        <f t="shared" si="7"/>
        <v>0</v>
      </c>
      <c r="F48" s="518"/>
      <c r="G48" s="141" t="s">
        <v>390</v>
      </c>
      <c r="H48" s="153">
        <f>Baseline!$G$9</f>
        <v>0.15</v>
      </c>
      <c r="I48" s="163">
        <f t="shared" si="8"/>
        <v>0</v>
      </c>
      <c r="J48" s="62">
        <f t="shared" si="9"/>
        <v>0</v>
      </c>
      <c r="L48" s="375"/>
      <c r="M48" s="376"/>
      <c r="N48" s="376"/>
      <c r="O48" s="376"/>
      <c r="P48" s="376"/>
      <c r="Q48" s="377"/>
    </row>
    <row r="49" spans="2:17">
      <c r="B49" s="39"/>
      <c r="C49" s="113">
        <v>0</v>
      </c>
      <c r="D49" s="120">
        <f>IFERROR(VLOOKUP(B49,'Expenses &amp; Materials'!$B$3:$C$9,2,FALSE),0)</f>
        <v>0</v>
      </c>
      <c r="E49" s="517">
        <f t="shared" si="7"/>
        <v>0</v>
      </c>
      <c r="F49" s="518"/>
      <c r="G49" s="141" t="s">
        <v>390</v>
      </c>
      <c r="H49" s="153">
        <f>Baseline!$G$9</f>
        <v>0.15</v>
      </c>
      <c r="I49" s="163">
        <f t="shared" si="8"/>
        <v>0</v>
      </c>
      <c r="J49" s="62">
        <f t="shared" si="9"/>
        <v>0</v>
      </c>
      <c r="L49" s="375"/>
      <c r="M49" s="376"/>
      <c r="N49" s="376"/>
      <c r="O49" s="376"/>
      <c r="P49" s="376"/>
      <c r="Q49" s="377"/>
    </row>
    <row r="50" spans="2:17">
      <c r="B50" s="39"/>
      <c r="C50" s="113">
        <v>0</v>
      </c>
      <c r="D50" s="120">
        <f>IFERROR(VLOOKUP(B50,'Expenses &amp; Materials'!$B$3:$C$9,2,FALSE),0)</f>
        <v>0</v>
      </c>
      <c r="E50" s="517">
        <f t="shared" si="7"/>
        <v>0</v>
      </c>
      <c r="F50" s="518"/>
      <c r="G50" s="141" t="s">
        <v>390</v>
      </c>
      <c r="H50" s="153">
        <f>Baseline!$G$9</f>
        <v>0.15</v>
      </c>
      <c r="I50" s="163">
        <f t="shared" si="8"/>
        <v>0</v>
      </c>
      <c r="J50" s="62">
        <f t="shared" si="9"/>
        <v>0</v>
      </c>
      <c r="L50" s="375"/>
      <c r="M50" s="376"/>
      <c r="N50" s="376"/>
      <c r="O50" s="376"/>
      <c r="P50" s="376"/>
      <c r="Q50" s="377"/>
    </row>
    <row r="51" spans="2:17">
      <c r="B51" s="39"/>
      <c r="C51" s="113">
        <v>0</v>
      </c>
      <c r="D51" s="120">
        <f>IFERROR(VLOOKUP(B51,'Expenses &amp; Materials'!$B$3:$C$9,2,FALSE),0)</f>
        <v>0</v>
      </c>
      <c r="E51" s="517">
        <f t="shared" si="7"/>
        <v>0</v>
      </c>
      <c r="F51" s="518"/>
      <c r="G51" s="141" t="s">
        <v>390</v>
      </c>
      <c r="H51" s="153">
        <f>Baseline!$G$9</f>
        <v>0.15</v>
      </c>
      <c r="I51" s="163">
        <f t="shared" si="8"/>
        <v>0</v>
      </c>
      <c r="J51" s="62">
        <f t="shared" si="9"/>
        <v>0</v>
      </c>
      <c r="L51" s="375"/>
      <c r="M51" s="376"/>
      <c r="N51" s="376"/>
      <c r="O51" s="376"/>
      <c r="P51" s="376"/>
      <c r="Q51" s="377"/>
    </row>
    <row r="52" spans="2:17">
      <c r="B52" s="6"/>
      <c r="C52" s="135"/>
      <c r="D52" s="135" t="str">
        <f>IF(C3="Project",C2&amp;" Travel &amp; Living Cost:",C2&amp;" Per Unit Travel &amp; Living Cost:")</f>
        <v>Design &amp; Fulfillment Per Unit Travel &amp; Living Cost:</v>
      </c>
      <c r="E52" s="519">
        <f>SUM(E44:E51)</f>
        <v>0</v>
      </c>
      <c r="F52" s="520"/>
      <c r="G52" s="143" t="s">
        <v>410</v>
      </c>
      <c r="H52" s="142" t="str">
        <f>IFERROR((J52-E52)/J52,"TBD")</f>
        <v>TBD</v>
      </c>
      <c r="I52" s="8" t="s">
        <v>411</v>
      </c>
      <c r="J52" s="137">
        <f>SUM(J44:J51)</f>
        <v>0</v>
      </c>
      <c r="L52" s="375"/>
      <c r="M52" s="376"/>
      <c r="N52" s="376"/>
      <c r="O52" s="376"/>
      <c r="P52" s="376"/>
      <c r="Q52" s="377"/>
    </row>
    <row r="53" spans="2:17">
      <c r="L53" s="375"/>
      <c r="M53" s="376"/>
      <c r="N53" s="376"/>
      <c r="O53" s="376"/>
      <c r="P53" s="376"/>
      <c r="Q53" s="377"/>
    </row>
    <row r="54" spans="2:17">
      <c r="B54" s="7" t="str">
        <f>C2&amp;" Material &amp; Other Cost Factors:"</f>
        <v>Design &amp; Fulfillment Material &amp; Other Cost Factors:</v>
      </c>
      <c r="C54" s="126"/>
      <c r="D54" s="126"/>
      <c r="E54" s="126"/>
      <c r="F54" s="126"/>
      <c r="G54" s="126"/>
      <c r="H54" s="126"/>
      <c r="I54" s="126"/>
      <c r="J54" s="126"/>
      <c r="L54" s="375"/>
      <c r="M54" s="376"/>
      <c r="N54" s="376"/>
      <c r="O54" s="376"/>
      <c r="P54" s="376"/>
      <c r="Q54" s="377"/>
    </row>
    <row r="55" spans="2:17">
      <c r="B55" s="4" t="s">
        <v>404</v>
      </c>
      <c r="C55" s="4" t="s">
        <v>405</v>
      </c>
      <c r="D55" s="4" t="s">
        <v>406</v>
      </c>
      <c r="E55" s="515" t="s">
        <v>383</v>
      </c>
      <c r="F55" s="516"/>
      <c r="G55" s="4" t="s">
        <v>384</v>
      </c>
      <c r="H55" s="13" t="s">
        <v>385</v>
      </c>
      <c r="I55" s="4" t="s">
        <v>412</v>
      </c>
      <c r="J55" s="4" t="s">
        <v>413</v>
      </c>
      <c r="L55" s="375"/>
      <c r="M55" s="376"/>
      <c r="N55" s="376"/>
      <c r="O55" s="376"/>
      <c r="P55" s="376"/>
      <c r="Q55" s="377"/>
    </row>
    <row r="56" spans="2:17">
      <c r="B56" s="39"/>
      <c r="C56" s="113">
        <v>0</v>
      </c>
      <c r="D56" s="120">
        <f>IFERROR(VLOOKUP(B56,'Expenses &amp; Materials'!$B$13:$C$18,2,FALSE),0)</f>
        <v>0</v>
      </c>
      <c r="E56" s="521">
        <f t="shared" ref="E56:E63" si="10">C56*D56</f>
        <v>0</v>
      </c>
      <c r="F56" s="522"/>
      <c r="G56" s="141" t="s">
        <v>390</v>
      </c>
      <c r="H56" s="153">
        <f>IFERROR(IF(G56="Specified Margin",Baseline!$G$10,(I56-D56)/I56),"TBD")</f>
        <v>0.15</v>
      </c>
      <c r="I56" s="163">
        <f>IFERROR(IF(G56="Specified Margin",D56/(1-H56),"Enter Sell Rate"),"TBD")</f>
        <v>0</v>
      </c>
      <c r="J56" s="62">
        <f>IFERROR(C56*I56,"TBD")</f>
        <v>0</v>
      </c>
      <c r="L56" s="372"/>
      <c r="M56" s="373"/>
      <c r="N56" s="373"/>
      <c r="O56" s="373"/>
      <c r="P56" s="373"/>
      <c r="Q56" s="374"/>
    </row>
    <row r="57" spans="2:17">
      <c r="B57" s="39"/>
      <c r="C57" s="113">
        <v>0</v>
      </c>
      <c r="D57" s="120">
        <f>IFERROR(VLOOKUP(B57,'Expenses &amp; Materials'!$B$13:$C$18,2,FALSE),0)</f>
        <v>0</v>
      </c>
      <c r="E57" s="521">
        <f t="shared" si="10"/>
        <v>0</v>
      </c>
      <c r="F57" s="522"/>
      <c r="G57" s="141" t="s">
        <v>390</v>
      </c>
      <c r="H57" s="153">
        <f>Baseline!$G$10</f>
        <v>0.15</v>
      </c>
      <c r="I57" s="163">
        <f t="shared" ref="I57:I63" si="11">IFERROR(IF(G57="Specified Margin",D57/(1-H57),"Enter Sell Rate"),"TBD")</f>
        <v>0</v>
      </c>
      <c r="J57" s="62">
        <f t="shared" ref="J57:J63" si="12">IFERROR(C57*I57,"TBD")</f>
        <v>0</v>
      </c>
    </row>
    <row r="58" spans="2:17">
      <c r="B58" s="39"/>
      <c r="C58" s="113">
        <v>0</v>
      </c>
      <c r="D58" s="120">
        <f>IFERROR(VLOOKUP(B58,'Expenses &amp; Materials'!$B$13:$C$18,2,FALSE),0)</f>
        <v>0</v>
      </c>
      <c r="E58" s="521">
        <f t="shared" si="10"/>
        <v>0</v>
      </c>
      <c r="F58" s="522"/>
      <c r="G58" s="141" t="s">
        <v>390</v>
      </c>
      <c r="H58" s="153">
        <f>Baseline!$G$10</f>
        <v>0.15</v>
      </c>
      <c r="I58" s="163">
        <f t="shared" si="11"/>
        <v>0</v>
      </c>
      <c r="J58" s="62">
        <f t="shared" si="12"/>
        <v>0</v>
      </c>
      <c r="L58" s="7" t="str">
        <f>C2&amp;" Financial Breakdown:"</f>
        <v>Design &amp; Fulfillment Financial Breakdown:</v>
      </c>
      <c r="M58" s="126"/>
      <c r="N58" s="126"/>
      <c r="O58" s="126"/>
      <c r="P58" s="126"/>
      <c r="Q58" s="126"/>
    </row>
    <row r="59" spans="2:17">
      <c r="B59" s="39"/>
      <c r="C59" s="113">
        <v>0</v>
      </c>
      <c r="D59" s="120">
        <f>IFERROR(VLOOKUP(B59,'Expenses &amp; Materials'!$B$13:$C$18,2,FALSE),0)</f>
        <v>0</v>
      </c>
      <c r="E59" s="521">
        <f t="shared" si="10"/>
        <v>0</v>
      </c>
      <c r="F59" s="522"/>
      <c r="G59" s="141" t="s">
        <v>390</v>
      </c>
      <c r="H59" s="153">
        <f>Baseline!$G$10</f>
        <v>0.15</v>
      </c>
      <c r="I59" s="163">
        <f t="shared" si="11"/>
        <v>0</v>
      </c>
      <c r="J59" s="62">
        <f t="shared" si="12"/>
        <v>0</v>
      </c>
      <c r="L59" s="4" t="str">
        <f>C2&amp;" Cost Factors:"</f>
        <v>Design &amp; Fulfillment Cost Factors:</v>
      </c>
      <c r="M59" s="4" t="str">
        <f>"Total "&amp;C2&amp;" Cost:"</f>
        <v>Total Design &amp; Fulfillment Cost:</v>
      </c>
      <c r="N59" s="4" t="str">
        <f>C2&amp;" Cost/Unit:"</f>
        <v>Design &amp; Fulfillment Cost/Unit:</v>
      </c>
      <c r="O59" s="4" t="str">
        <f>IF(Baseline!G3="Variable Margin",C2&amp;" Blended Margin %:","Blended Margin %")</f>
        <v>Blended Margin %</v>
      </c>
      <c r="P59" s="128" t="str">
        <f>"Total "&amp;C2&amp;" Sell Price:"</f>
        <v>Total Design &amp; Fulfillment Sell Price:</v>
      </c>
      <c r="Q59" s="4" t="str">
        <f>C2&amp;" Sell Price/Unit:"</f>
        <v>Design &amp; Fulfillment Sell Price/Unit:</v>
      </c>
    </row>
    <row r="60" spans="2:17">
      <c r="B60" s="39"/>
      <c r="C60" s="113">
        <v>0</v>
      </c>
      <c r="D60" s="120">
        <f>IFERROR(VLOOKUP(B60,'Expenses &amp; Materials'!$B$13:$C$18,2,FALSE),0)</f>
        <v>0</v>
      </c>
      <c r="E60" s="521">
        <f t="shared" si="10"/>
        <v>0</v>
      </c>
      <c r="F60" s="522"/>
      <c r="G60" s="141" t="s">
        <v>390</v>
      </c>
      <c r="H60" s="153">
        <f>Baseline!$G$10</f>
        <v>0.15</v>
      </c>
      <c r="I60" s="163">
        <f t="shared" si="11"/>
        <v>0</v>
      </c>
      <c r="J60" s="62">
        <f t="shared" si="12"/>
        <v>0</v>
      </c>
      <c r="L60" s="137" t="s">
        <v>280</v>
      </c>
      <c r="M60" s="62">
        <f>IF($C$3="Project",$H$28,$H$28*$C$4)</f>
        <v>0</v>
      </c>
      <c r="N60" s="53">
        <f>IF(C3="Project",$H$28/$C$4,$H$28)</f>
        <v>0</v>
      </c>
      <c r="O60" s="79" t="str">
        <f>J28</f>
        <v>TBD</v>
      </c>
      <c r="P60" s="133" t="str">
        <f>IFERROR(IF(Baseline!$G$3="Variable Margin",IF(C3="Project",M28,M28*C4),M60/$M$64*Baseline!$D$14),"TBD")</f>
        <v>TBD</v>
      </c>
      <c r="Q60" s="53" t="str">
        <f>IFERROR(P60/$C$4,"TBD")</f>
        <v>TBD</v>
      </c>
    </row>
    <row r="61" spans="2:17">
      <c r="B61" s="39"/>
      <c r="C61" s="113">
        <v>0</v>
      </c>
      <c r="D61" s="120">
        <f>IFERROR(VLOOKUP(B61,'Expenses &amp; Materials'!$B$13:$C$18,2,FALSE),0)</f>
        <v>0</v>
      </c>
      <c r="E61" s="521">
        <f t="shared" si="10"/>
        <v>0</v>
      </c>
      <c r="F61" s="522"/>
      <c r="G61" s="141" t="s">
        <v>390</v>
      </c>
      <c r="H61" s="153">
        <f>Baseline!$G$10</f>
        <v>0.15</v>
      </c>
      <c r="I61" s="163">
        <f t="shared" si="11"/>
        <v>0</v>
      </c>
      <c r="J61" s="62">
        <f t="shared" si="12"/>
        <v>0</v>
      </c>
      <c r="L61" s="137" t="s">
        <v>394</v>
      </c>
      <c r="M61" s="62">
        <f>IF($C$3="Project",$H$40,$H$40*$C$4)</f>
        <v>0</v>
      </c>
      <c r="N61" s="53">
        <f>IF(C3="Project",$H$40/$C$4,$H$40)</f>
        <v>0</v>
      </c>
      <c r="O61" s="79" t="str">
        <f>J40</f>
        <v>TBD</v>
      </c>
      <c r="P61" s="133" t="str">
        <f>IFERROR(IF(Baseline!$G$3="Variable Margin",IF(C3="Project",M40,M40*C4),M61/$M$64*Baseline!$D$14),"TBD")</f>
        <v>TBD</v>
      </c>
      <c r="Q61" s="53" t="str">
        <f>IFERROR(P61/$C$4,"TBD")</f>
        <v>TBD</v>
      </c>
    </row>
    <row r="62" spans="2:17">
      <c r="B62" s="39"/>
      <c r="C62" s="113">
        <v>0</v>
      </c>
      <c r="D62" s="120">
        <f>IFERROR(VLOOKUP(B62,'Expenses &amp; Materials'!$B$13:$C$18,2,FALSE),0)</f>
        <v>0</v>
      </c>
      <c r="E62" s="521">
        <f t="shared" si="10"/>
        <v>0</v>
      </c>
      <c r="F62" s="522"/>
      <c r="G62" s="141" t="s">
        <v>390</v>
      </c>
      <c r="H62" s="153">
        <f>Baseline!$G$10</f>
        <v>0.15</v>
      </c>
      <c r="I62" s="163">
        <f t="shared" si="11"/>
        <v>0</v>
      </c>
      <c r="J62" s="62">
        <f t="shared" si="12"/>
        <v>0</v>
      </c>
      <c r="L62" s="137" t="s">
        <v>238</v>
      </c>
      <c r="M62" s="62">
        <f>IF($C$3="Project",$E$52,$E$52*$C$4)</f>
        <v>0</v>
      </c>
      <c r="N62" s="53">
        <f>IF(C3="Project",$E$52/$C$4,$E$52)</f>
        <v>0</v>
      </c>
      <c r="O62" s="79" t="str">
        <f>H52</f>
        <v>TBD</v>
      </c>
      <c r="P62" s="133" t="str">
        <f>IFERROR(IF(Baseline!$G$3="Variable Margin",IF(C3="Project",J52,J52*C4),M62/$M$64*Baseline!$D$14),"TBD")</f>
        <v>TBD</v>
      </c>
      <c r="Q62" s="53" t="str">
        <f>IFERROR(P62/$C$4,"TBD")</f>
        <v>TBD</v>
      </c>
    </row>
    <row r="63" spans="2:17">
      <c r="B63" s="39"/>
      <c r="C63" s="113">
        <v>0</v>
      </c>
      <c r="D63" s="120">
        <f>IFERROR(VLOOKUP(B63,'Expenses &amp; Materials'!$B$13:$C$18,2,FALSE),0)</f>
        <v>0</v>
      </c>
      <c r="E63" s="521">
        <f t="shared" si="10"/>
        <v>0</v>
      </c>
      <c r="F63" s="522"/>
      <c r="G63" s="141" t="s">
        <v>390</v>
      </c>
      <c r="H63" s="153">
        <f>Baseline!$G$10</f>
        <v>0.15</v>
      </c>
      <c r="I63" s="163">
        <f t="shared" si="11"/>
        <v>0</v>
      </c>
      <c r="J63" s="62">
        <f t="shared" si="12"/>
        <v>0</v>
      </c>
      <c r="L63" s="137" t="s">
        <v>415</v>
      </c>
      <c r="M63" s="62">
        <f>IF($C$3="Project",$E$64,$E$64*$C$4)</f>
        <v>0</v>
      </c>
      <c r="N63" s="53">
        <f>IF(C3="Project",$E$64/$C$4,$E$64)</f>
        <v>0</v>
      </c>
      <c r="O63" s="79" t="str">
        <f>H64</f>
        <v>TBD</v>
      </c>
      <c r="P63" s="133" t="str">
        <f>IFERROR(IF(Baseline!$G$3="Variable Margin",IF(C3="Project",J64,J64*C4),M63/$M$64*Baseline!$D$14),"TBD")</f>
        <v>TBD</v>
      </c>
      <c r="Q63" s="53" t="str">
        <f>IFERROR(P63/$C$4,"TBD")</f>
        <v>TBD</v>
      </c>
    </row>
    <row r="64" spans="2:17">
      <c r="B64" s="6"/>
      <c r="C64" s="135"/>
      <c r="D64" s="6" t="str">
        <f>IF(C3="Project",C2&amp;" Material &amp; Other Cost:",C2&amp;" Per Unit Material &amp; Other Cost:")</f>
        <v>Design &amp; Fulfillment Per Unit Material &amp; Other Cost:</v>
      </c>
      <c r="E64" s="519">
        <f>SUM(E56:E63)</f>
        <v>0</v>
      </c>
      <c r="F64" s="520"/>
      <c r="G64" s="143" t="s">
        <v>416</v>
      </c>
      <c r="H64" s="142" t="str">
        <f>IFERROR((J64-E64)/J64,"TBD")</f>
        <v>TBD</v>
      </c>
      <c r="I64" s="8" t="s">
        <v>417</v>
      </c>
      <c r="J64" s="137">
        <f>SUM(J56:J63)</f>
        <v>0</v>
      </c>
      <c r="L64" s="137" t="s">
        <v>418</v>
      </c>
      <c r="M64" s="137">
        <f>SUM(M60:M63)</f>
        <v>0</v>
      </c>
      <c r="N64" s="8">
        <f>IFERROR(M64/C4,"TBD")</f>
        <v>0</v>
      </c>
      <c r="O64" s="77" t="str">
        <f>IFERROR((P64-M64)/P64,"TBD")</f>
        <v>TBD</v>
      </c>
      <c r="P64" s="143">
        <f>SUM(P60:P63)</f>
        <v>0</v>
      </c>
      <c r="Q64" s="8">
        <f>SUM(Q60:Q63)</f>
        <v>0</v>
      </c>
    </row>
  </sheetData>
  <sheetProtection algorithmName="SHA-512" hashValue="cx57H3G/zXI+yeb41xjETV16JoQbJ71o7nTIYpauNbPyfQS7P5UF8+pp/u+d8DR/Yb4O341NaBAg/aSyJZteNA==" saltValue="EfkrV/GxpUXZ35oAglxrqA==" spinCount="100000" sheet="1" objects="1" scenarios="1"/>
  <mergeCells count="77">
    <mergeCell ref="E61:F61"/>
    <mergeCell ref="E62:F62"/>
    <mergeCell ref="E63:F63"/>
    <mergeCell ref="K33:L33"/>
    <mergeCell ref="K34:L34"/>
    <mergeCell ref="K35:L35"/>
    <mergeCell ref="K36:L36"/>
    <mergeCell ref="K37:L37"/>
    <mergeCell ref="E43:F43"/>
    <mergeCell ref="K38:L38"/>
    <mergeCell ref="K39:L39"/>
    <mergeCell ref="K40:L40"/>
    <mergeCell ref="L56:Q56"/>
    <mergeCell ref="L51:Q51"/>
    <mergeCell ref="L52:Q52"/>
    <mergeCell ref="L53:Q53"/>
    <mergeCell ref="E64:F64"/>
    <mergeCell ref="E44:F44"/>
    <mergeCell ref="E45:F45"/>
    <mergeCell ref="E46:F46"/>
    <mergeCell ref="E47:F47"/>
    <mergeCell ref="E48:F48"/>
    <mergeCell ref="E49:F49"/>
    <mergeCell ref="E50:F50"/>
    <mergeCell ref="E51:F51"/>
    <mergeCell ref="E56:F56"/>
    <mergeCell ref="E57:F57"/>
    <mergeCell ref="E58:F58"/>
    <mergeCell ref="E59:F59"/>
    <mergeCell ref="E55:F55"/>
    <mergeCell ref="E52:F52"/>
    <mergeCell ref="E60:F60"/>
    <mergeCell ref="J4:K4"/>
    <mergeCell ref="K26:L26"/>
    <mergeCell ref="K27:L27"/>
    <mergeCell ref="K28:L28"/>
    <mergeCell ref="K32:L32"/>
    <mergeCell ref="K9:L9"/>
    <mergeCell ref="K10:L10"/>
    <mergeCell ref="K11:L11"/>
    <mergeCell ref="K22:L22"/>
    <mergeCell ref="K23:L23"/>
    <mergeCell ref="K31:L31"/>
    <mergeCell ref="K12:L12"/>
    <mergeCell ref="K13:L13"/>
    <mergeCell ref="K14:L14"/>
    <mergeCell ref="K15:L15"/>
    <mergeCell ref="K16:L16"/>
    <mergeCell ref="J3:K3"/>
    <mergeCell ref="L50:Q50"/>
    <mergeCell ref="N31:Q31"/>
    <mergeCell ref="N32:Q32"/>
    <mergeCell ref="N38:Q38"/>
    <mergeCell ref="N39:Q39"/>
    <mergeCell ref="L43:Q43"/>
    <mergeCell ref="L44:Q44"/>
    <mergeCell ref="L45:Q45"/>
    <mergeCell ref="L46:Q46"/>
    <mergeCell ref="L47:Q47"/>
    <mergeCell ref="L48:Q48"/>
    <mergeCell ref="L49:Q49"/>
    <mergeCell ref="K8:L8"/>
    <mergeCell ref="K24:L24"/>
    <mergeCell ref="K25:L25"/>
    <mergeCell ref="L54:Q54"/>
    <mergeCell ref="L55:Q55"/>
    <mergeCell ref="N27:Q27"/>
    <mergeCell ref="N7:Q7"/>
    <mergeCell ref="N8:Q8"/>
    <mergeCell ref="N24:Q24"/>
    <mergeCell ref="N25:Q25"/>
    <mergeCell ref="N26:Q26"/>
    <mergeCell ref="K17:L17"/>
    <mergeCell ref="K18:L18"/>
    <mergeCell ref="K19:L19"/>
    <mergeCell ref="K20:L20"/>
    <mergeCell ref="K21:L21"/>
  </mergeCells>
  <conditionalFormatting sqref="M3">
    <cfRule type="expression" dxfId="156" priority="23">
      <formula>H3="Partner"</formula>
    </cfRule>
  </conditionalFormatting>
  <conditionalFormatting sqref="G32">
    <cfRule type="expression" dxfId="155" priority="34">
      <formula>B32="Partner"</formula>
    </cfRule>
  </conditionalFormatting>
  <conditionalFormatting sqref="G33:G39">
    <cfRule type="expression" dxfId="154" priority="33">
      <formula>B33="Partner"</formula>
    </cfRule>
  </conditionalFormatting>
  <conditionalFormatting sqref="D44:D51">
    <cfRule type="expression" dxfId="153" priority="29">
      <formula>OR(B44="Roundtrip Airfare",B44="Metro City Hotel",B44="Non-Metro City Hotel",B44="Vehicle/Taxi/Uber",B44="Per Diem")=TRUE</formula>
    </cfRule>
  </conditionalFormatting>
  <conditionalFormatting sqref="D56">
    <cfRule type="expression" dxfId="152" priority="28">
      <formula>OR(B56="Background Check",B56="Storage (Per Pallet)")=TRUE</formula>
    </cfRule>
  </conditionalFormatting>
  <conditionalFormatting sqref="D57 D59 D61:D62">
    <cfRule type="expression" dxfId="151" priority="27">
      <formula>OR(B57="Background Check",B57="Storage (Per Pallet)")=TRUE</formula>
    </cfRule>
  </conditionalFormatting>
  <conditionalFormatting sqref="D63 D58 D60">
    <cfRule type="expression" dxfId="150" priority="26">
      <formula>OR(B58="Background Check",B58="Storage (Per Pallet)")=TRUE</formula>
    </cfRule>
  </conditionalFormatting>
  <conditionalFormatting sqref="H3:H4">
    <cfRule type="expression" dxfId="149" priority="24">
      <formula>C3="Partner"</formula>
    </cfRule>
  </conditionalFormatting>
  <conditionalFormatting sqref="J3">
    <cfRule type="cellIs" dxfId="148" priority="22" operator="lessThan">
      <formula>0.375</formula>
    </cfRule>
  </conditionalFormatting>
  <conditionalFormatting sqref="J32:J39">
    <cfRule type="expression" dxfId="147" priority="18">
      <formula>I32="Specified Sell Rate"</formula>
    </cfRule>
  </conditionalFormatting>
  <conditionalFormatting sqref="K8:K27">
    <cfRule type="expression" dxfId="146" priority="14">
      <formula>K8="Enter Sell Rate"</formula>
    </cfRule>
    <cfRule type="expression" dxfId="145" priority="15">
      <formula>I8="Specified Margin"</formula>
    </cfRule>
  </conditionalFormatting>
  <conditionalFormatting sqref="K32:K39">
    <cfRule type="expression" dxfId="144" priority="10">
      <formula>K32="Enter Sell Rate"</formula>
    </cfRule>
    <cfRule type="expression" dxfId="143" priority="11">
      <formula>I32="Specified Margin"</formula>
    </cfRule>
  </conditionalFormatting>
  <conditionalFormatting sqref="H44:H51">
    <cfRule type="expression" dxfId="142" priority="9">
      <formula>OR(E44="Roundtrip Airfare",E44="Metro City Hotel",E44="Non-Metro City Hotel",E44="Vehicle/Taxi/Uber",E44="Per Diem")=TRUE</formula>
    </cfRule>
  </conditionalFormatting>
  <conditionalFormatting sqref="I44:I51">
    <cfRule type="expression" dxfId="141" priority="7">
      <formula>I44="Enter Sell Rate"</formula>
    </cfRule>
    <cfRule type="expression" dxfId="140" priority="8">
      <formula>G44="Specified Sell Rate"</formula>
    </cfRule>
  </conditionalFormatting>
  <conditionalFormatting sqref="H56:H63">
    <cfRule type="expression" dxfId="139" priority="6">
      <formula>OR(E56="Roundtrip Airfare",E56="Metro City Hotel",E56="Non-Metro City Hotel",E56="Vehicle/Taxi/Uber",E56="Per Diem")=TRUE</formula>
    </cfRule>
  </conditionalFormatting>
  <conditionalFormatting sqref="I56:I63">
    <cfRule type="expression" dxfId="138" priority="4">
      <formula>I56="Enter Sell Rate"</formula>
    </cfRule>
    <cfRule type="expression" dxfId="137" priority="5">
      <formula>G56="Specified Sell Rate"</formula>
    </cfRule>
  </conditionalFormatting>
  <conditionalFormatting sqref="J8:J27">
    <cfRule type="expression" dxfId="136" priority="3">
      <formula>I8="Specified Sell Rate"</formula>
    </cfRule>
  </conditionalFormatting>
  <dataValidations count="8">
    <dataValidation type="list" allowBlank="1" showInputMessage="1" sqref="C3" xr:uid="{00000000-0002-0000-0600-000002000000}">
      <formula1>"Project, Per Unit"</formula1>
    </dataValidation>
    <dataValidation type="list" allowBlank="1" showInputMessage="1" showErrorMessage="1" sqref="E32:E39" xr:uid="{00000000-0002-0000-0600-000000000000}">
      <formula1>"Regular,OT"</formula1>
    </dataValidation>
    <dataValidation type="list" allowBlank="1" showInputMessage="1" showErrorMessage="1" sqref="B32:B39" xr:uid="{00000000-0002-0000-0600-000001000000}">
      <formula1>"Field Nation,Partner"</formula1>
    </dataValidation>
    <dataValidation type="list" allowBlank="1" showInputMessage="1" showErrorMessage="1" sqref="G56:G63 G44:G51 I32:I39 I8:I27" xr:uid="{E907632B-18EA-4EF8-BE46-C022CAE76205}">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8099E008-F59C-4D55-8B69-9CFD1FD2FB95}">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D66F2792-0388-466B-B991-DEEB764E121D}">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493D18B8-2791-47A5-B7A3-5A1E92FB5D39}">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1349D3DD-0C6B-4D29-A0F5-6E323EA990A3}">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19" id="{F39609B8-3509-456F-B3D3-F267484D44EB}">
            <xm:f>Baseline!$D$6="Department Based"</xm:f>
            <x14:dxf>
              <font>
                <color theme="3" tint="0.59996337778862885"/>
              </font>
            </x14:dxf>
          </x14:cfRule>
          <xm:sqref>D2:D3</xm:sqref>
        </x14:conditionalFormatting>
        <x14:conditionalFormatting xmlns:xm="http://schemas.microsoft.com/office/excel/2006/main">
          <x14:cfRule type="expression" priority="420" id="{31A68BB3-7A76-486D-8AE8-98AF7526755A}">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21" id="{201CE75A-951A-4797-A15C-E0D7271B719D}">
            <xm:f>Baseline!$D$6="Phase Based"</xm:f>
            <x14:dxf>
              <fill>
                <patternFill>
                  <bgColor theme="2" tint="-0.24994659260841701"/>
                </patternFill>
              </fill>
            </x14:dxf>
          </x14:cfRule>
          <xm:sqref>B8</xm:sqref>
        </x14:conditionalFormatting>
        <x14:conditionalFormatting xmlns:xm="http://schemas.microsoft.com/office/excel/2006/main">
          <x14:cfRule type="expression" priority="2" id="{F50D9D91-FCF2-4901-9126-8000E475D145}">
            <xm:f>'COLA (WIP)'!$C$4="Yes"</xm:f>
            <x14:dxf>
              <fill>
                <patternFill>
                  <bgColor theme="0"/>
                </patternFill>
              </fill>
            </x14:dxf>
          </x14:cfRule>
          <xm:sqref>E4</xm:sqref>
        </x14:conditionalFormatting>
        <x14:conditionalFormatting xmlns:xm="http://schemas.microsoft.com/office/excel/2006/main">
          <x14:cfRule type="expression" priority="1" id="{7828965E-E392-4DBD-ADEE-1CDB2C50AA54}">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600-000003000000}">
          <x14:formula1>
            <xm:f>IF(B32="Field Nation",'Resource Descriptions'!$D$116:$D$119,'Resource Descriptions'!$D$120)</xm:f>
          </x14:formula1>
          <xm:sqref>C32:C39</xm:sqref>
        </x14:dataValidation>
        <x14:dataValidation type="list" allowBlank="1" showInputMessage="1" xr:uid="{00000000-0002-0000-0600-000007000000}">
          <x14:formula1>
            <xm:f>'Expenses &amp; Materials'!$B$4:$B$10</xm:f>
          </x14:formula1>
          <xm:sqref>B44:B51</xm:sqref>
        </x14:dataValidation>
        <x14:dataValidation type="list" allowBlank="1" showInputMessage="1" xr:uid="{00000000-0002-0000-0600-000006000000}">
          <x14:formula1>
            <xm:f>'Expenses &amp; Materials'!$B$14:$B$16</xm:f>
          </x14:formula1>
          <xm:sqref>B56:B63</xm:sqref>
        </x14:dataValidation>
        <x14:dataValidation type="list" allowBlank="1" showInputMessage="1" showErrorMessage="1" xr:uid="{00000000-0002-0000-0600-000005000000}">
          <x14:formula1>
            <xm:f>'Data Tables'!$B$4:$B$15</xm:f>
          </x14:formula1>
          <xm:sqref>B8:B27</xm:sqref>
        </x14:dataValidation>
        <x14:dataValidation type="list" allowBlank="1" showInputMessage="1" showErrorMessage="1" xr:uid="{65BD0AB9-A09E-43E7-A39E-14BF8AE28C5A}">
          <x14:formula1>
            <xm:f>OFFSET('Resource Descriptions'!$D$6,VLOOKUP(B8,'Data Tables'!$B$3:$E$17,2,FALSE),0,VLOOKUP(B8,'Data Tables'!$B$3:$E$17,4,FALSE),1)</xm:f>
          </x14:formula1>
          <xm:sqref>C8:C27</xm:sqref>
        </x14:dataValidation>
        <x14:dataValidation type="list" allowBlank="1" showInputMessage="1" showErrorMessage="1" xr:uid="{9EF0D1F9-20A2-44B2-A814-10D5B0F4A036}">
          <x14:formula1>
            <xm:f>OFFSET('Data Tables'!$C$20,VLOOKUP(C8,'Data Tables'!$G$17:$J$118,2,FALSE),0,VLOOKUP(C8,'Data Tables'!$G$17:$J$118,4,FALSE),1)</xm:f>
          </x14:formula1>
          <xm:sqref>E8:E27</xm:sqref>
        </x14:dataValidation>
        <x14:dataValidation type="list" allowBlank="1" showInputMessage="1" showErrorMessage="1" xr:uid="{018A8226-78CD-46FB-8A94-36F7704D66FB}">
          <x14:formula1>
            <xm:f>IF('COLA (WIP)'!C4="Yes",'COLA (WIP)'!$D$10:$M$10,"")</xm:f>
          </x14:formula1>
          <xm:sqref>E4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Q64"/>
  <sheetViews>
    <sheetView showGridLines="0" zoomScale="80" zoomScaleNormal="80" workbookViewId="0">
      <selection activeCell="C2" sqref="C2"/>
    </sheetView>
  </sheetViews>
  <sheetFormatPr defaultColWidth="8.85546875" defaultRowHeight="15"/>
  <cols>
    <col min="1" max="1" width="3.42578125" style="33" customWidth="1"/>
    <col min="2" max="2" width="28.42578125" style="33" bestFit="1" customWidth="1"/>
    <col min="3" max="3" width="32.140625" style="33" bestFit="1" customWidth="1"/>
    <col min="4" max="5" width="20.42578125" style="33" customWidth="1"/>
    <col min="6" max="6" width="3.42578125" style="33" customWidth="1"/>
    <col min="7" max="10" width="23.42578125" style="33" customWidth="1"/>
    <col min="11" max="11" width="3.42578125" style="33" customWidth="1"/>
    <col min="12" max="17" width="23.42578125" style="33" customWidth="1"/>
    <col min="18" max="16384" width="8.85546875" style="33"/>
  </cols>
  <sheetData>
    <row r="2" spans="1:17">
      <c r="A2" s="109"/>
      <c r="B2" s="121" t="s">
        <v>370</v>
      </c>
      <c r="C2" s="110" t="str">
        <f>IF(Baseline!D6='Data Tables'!L3,'Data Tables'!L8,IF(Baseline!D6='Data Tables'!M3,'Data Tables'!M8,'Data Tables'!N8))</f>
        <v>Workplace</v>
      </c>
      <c r="D2" s="34" t="s">
        <v>371</v>
      </c>
      <c r="E2" s="111" t="s">
        <v>372</v>
      </c>
      <c r="G2" s="122" t="s">
        <v>373</v>
      </c>
      <c r="H2" s="122"/>
      <c r="I2" s="123"/>
      <c r="J2" s="7"/>
      <c r="K2" s="7"/>
      <c r="L2" s="7"/>
      <c r="M2" s="7"/>
    </row>
    <row r="3" spans="1:17">
      <c r="B3" s="4" t="s">
        <v>374</v>
      </c>
      <c r="C3" s="39" t="str">
        <f>IF(Baseline!D6="Department Based","Per Unit","Project")</f>
        <v>Per Unit</v>
      </c>
      <c r="D3" s="34" t="s">
        <v>375</v>
      </c>
      <c r="E3" s="39">
        <v>0</v>
      </c>
      <c r="G3" s="4" t="str">
        <f>C2&amp;" Price:"</f>
        <v>Workplace Price:</v>
      </c>
      <c r="H3" s="124">
        <f>P64</f>
        <v>0</v>
      </c>
      <c r="I3" s="4" t="s">
        <v>303</v>
      </c>
      <c r="J3" s="384">
        <f>Baseline!$G$24</f>
        <v>0.41046428571428573</v>
      </c>
      <c r="K3" s="385"/>
      <c r="L3" s="4" t="s">
        <v>376</v>
      </c>
      <c r="M3" s="124">
        <f>Baseline!$D$24</f>
        <v>28000</v>
      </c>
    </row>
    <row r="4" spans="1:17">
      <c r="B4" s="4" t="s">
        <v>322</v>
      </c>
      <c r="C4" s="110">
        <f>Baseline!D8</f>
        <v>1</v>
      </c>
      <c r="D4" s="224" t="s">
        <v>377</v>
      </c>
      <c r="E4" s="225"/>
      <c r="G4" s="4" t="str">
        <f>C2&amp;" Blended Margin %:"</f>
        <v>Workplace Blended Margin %:</v>
      </c>
      <c r="H4" s="125" t="str">
        <f>O64</f>
        <v>TBD</v>
      </c>
      <c r="I4" s="4" t="s">
        <v>306</v>
      </c>
      <c r="J4" s="384">
        <f ca="1">Baseline!$G$27</f>
        <v>0.37715551785714285</v>
      </c>
      <c r="K4" s="385"/>
      <c r="L4" s="4" t="s">
        <v>378</v>
      </c>
      <c r="M4" s="77">
        <f ca="1">Baseline!$J$5</f>
        <v>8.6024110983219243E-2</v>
      </c>
    </row>
    <row r="6" spans="1:17">
      <c r="B6" s="7" t="str">
        <f>C2&amp;" Resource Cost Factors:"</f>
        <v>Workplace Resource Cost Factors:</v>
      </c>
      <c r="C6" s="7"/>
      <c r="D6" s="126"/>
      <c r="E6" s="126"/>
      <c r="F6" s="126"/>
      <c r="G6" s="126"/>
      <c r="H6" s="126"/>
      <c r="I6" s="126"/>
      <c r="J6" s="126"/>
      <c r="K6" s="126"/>
      <c r="L6" s="126"/>
      <c r="M6" s="126"/>
      <c r="N6" s="126"/>
      <c r="O6" s="126"/>
      <c r="P6" s="126"/>
      <c r="Q6" s="127"/>
    </row>
    <row r="7" spans="1:17">
      <c r="B7" s="4" t="s">
        <v>379</v>
      </c>
      <c r="C7" s="4" t="s">
        <v>280</v>
      </c>
      <c r="D7" s="4" t="s">
        <v>380</v>
      </c>
      <c r="E7" s="128" t="s">
        <v>381</v>
      </c>
      <c r="F7" s="128"/>
      <c r="G7" s="49" t="s">
        <v>382</v>
      </c>
      <c r="H7" s="49" t="s">
        <v>383</v>
      </c>
      <c r="I7" s="4" t="s">
        <v>384</v>
      </c>
      <c r="J7" s="4" t="s">
        <v>385</v>
      </c>
      <c r="K7" s="129"/>
      <c r="L7" s="129" t="s">
        <v>386</v>
      </c>
      <c r="M7" s="4" t="s">
        <v>387</v>
      </c>
      <c r="N7" s="381" t="s">
        <v>388</v>
      </c>
      <c r="O7" s="382"/>
      <c r="P7" s="382"/>
      <c r="Q7" s="383"/>
    </row>
    <row r="8" spans="1:17">
      <c r="B8" s="39" t="str">
        <f>IF(Baseline!$D$6="Department Based","Digital Workplace - Field Services &amp; Support","PMO")</f>
        <v>Digital Workplace - Field Services &amp; Support</v>
      </c>
      <c r="C8" s="39" t="str">
        <f>IF(Baseline!$D$6="Department Based","Field Service Engineer L3","")</f>
        <v>Field Service Engineer L3</v>
      </c>
      <c r="D8" s="113">
        <v>0</v>
      </c>
      <c r="E8" s="113" t="s">
        <v>389</v>
      </c>
      <c r="F8" s="130"/>
      <c r="G8" s="131">
        <f>IFERROR(IF(E8="Regular",VLOOKUP(C8,Resource_Rates_Table[],3,FALSE),(IF(Workplace!E8="OT",VLOOKUP(C8,Resource_Rates_Table[],4,FALSE),IF(E8="Regular/1st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58.48</v>
      </c>
      <c r="H8" s="132">
        <f>D8*G8</f>
        <v>0</v>
      </c>
      <c r="I8" s="141" t="s">
        <v>390</v>
      </c>
      <c r="J8" s="144">
        <f>IFERROR(IF(I8="Specified Margin",IFERROR(_xlfn.IFS(ISNUMBER(SEARCH("India",C8))=TRUE,Baseline!$G$6,ISNUMBER(SEARCH("Pakistan",C8))=TRUE,Baseline!$G$7),Baseline!$G$5),(K8-G8)/K8),"TBD")</f>
        <v>0.35</v>
      </c>
      <c r="K8" s="511">
        <f>IFERROR(IF(I8="Specified Margin",G8/(1-J8),"Enter Sell Rate"),"TBD")</f>
        <v>89.969230769230762</v>
      </c>
      <c r="L8" s="512"/>
      <c r="M8" s="149">
        <f>IFERROR(D8*K8,"TBD")</f>
        <v>0</v>
      </c>
      <c r="N8" s="340"/>
      <c r="O8" s="380"/>
      <c r="P8" s="380"/>
      <c r="Q8" s="341"/>
    </row>
    <row r="9" spans="1:17">
      <c r="B9" s="39" t="str">
        <f>IF(Baseline!$D$6="Department Based","Digital Workplace - Field Services &amp; Support","")</f>
        <v>Digital Workplace - Field Services &amp; Support</v>
      </c>
      <c r="C9" s="39" t="str">
        <f>IF(Baseline!$D$6="Department Based","Field Service Engineer L2","")</f>
        <v>Field Service Engineer L2</v>
      </c>
      <c r="D9" s="113">
        <v>0</v>
      </c>
      <c r="E9" s="113" t="s">
        <v>389</v>
      </c>
      <c r="F9" s="130"/>
      <c r="G9" s="131">
        <f>IFERROR(IF(E9="Regular",VLOOKUP(C9,Resource_Rates_Table[],3,FALSE),(IF(Workplace!E9="OT",VLOOKUP(C9,Resource_Rates_Table[],4,FALSE),IF(E9="Regular/1st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48.4</v>
      </c>
      <c r="H9" s="62">
        <f>D9*G9</f>
        <v>0</v>
      </c>
      <c r="I9" s="141" t="s">
        <v>390</v>
      </c>
      <c r="J9" s="144">
        <f>IFERROR(IF(I9="Specified Margin",IFERROR(_xlfn.IFS(ISNUMBER(SEARCH("India",C9))=TRUE,Baseline!$G$6,ISNUMBER(SEARCH("Pakistan",C9))=TRUE,Baseline!$G$7),Baseline!$G$5),(K9-G9)/K9),"TBD")</f>
        <v>0.35</v>
      </c>
      <c r="K9" s="511">
        <f t="shared" ref="K9:K27" si="0">IFERROR(IF(I9="Specified Margin",G9/(1-J9),"Enter Sell Rate"),"TBD")</f>
        <v>74.461538461538453</v>
      </c>
      <c r="L9" s="512"/>
      <c r="M9" s="149">
        <f>IFERROR(D9*K9,"TBD")</f>
        <v>0</v>
      </c>
      <c r="N9" s="116"/>
      <c r="O9" s="117"/>
      <c r="P9" s="117"/>
      <c r="Q9" s="118"/>
    </row>
    <row r="10" spans="1:17">
      <c r="B10" s="39" t="str">
        <f>IF(Baseline!$D$6="Department Based","Digital Workplace - Field Services &amp; Support","")</f>
        <v>Digital Workplace - Field Services &amp; Support</v>
      </c>
      <c r="C10" s="39" t="str">
        <f>IF(Baseline!$D$6="Department Based","Field Service Engineer L1","")</f>
        <v>Field Service Engineer L1</v>
      </c>
      <c r="D10" s="113">
        <v>0</v>
      </c>
      <c r="E10" s="113" t="s">
        <v>389</v>
      </c>
      <c r="F10" s="130"/>
      <c r="G10" s="131">
        <f>IFERROR(IF(E10="Regular",VLOOKUP(C10,Resource_Rates_Table[],3,FALSE),(IF(Workplace!E10="OT",VLOOKUP(C10,Resource_Rates_Table[],4,FALSE),IF(E10="Regular/1st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42.79</v>
      </c>
      <c r="H10" s="62">
        <f>D10*G10</f>
        <v>0</v>
      </c>
      <c r="I10" s="141" t="s">
        <v>390</v>
      </c>
      <c r="J10" s="144" cm="1">
        <f t="array" ref="J10">IFERROR(IF(I10="Specified Margin",IFERROR(_xlfn.IFS(ISNUMBER(SEARCH("India",C10))=TRUE,Baseline!$G$6,ISNUMBER(SEARCH("Pakistan",C10))=TRUE,Baseline!$G$7),Baseline!$G$5),(K10-G10)/K10),"TBD")</f>
        <v>0.35</v>
      </c>
      <c r="K10" s="511">
        <f t="shared" si="0"/>
        <v>65.830769230769221</v>
      </c>
      <c r="L10" s="512"/>
      <c r="M10" s="149">
        <f t="shared" ref="M10:M27" si="1">IFERROR(D10*K10,"TBD")</f>
        <v>0</v>
      </c>
      <c r="N10" s="116"/>
      <c r="O10" s="117"/>
      <c r="P10" s="117"/>
      <c r="Q10" s="118"/>
    </row>
    <row r="11" spans="1:17">
      <c r="B11" s="39"/>
      <c r="C11" s="39"/>
      <c r="D11" s="113">
        <v>0</v>
      </c>
      <c r="E11" s="113" t="s">
        <v>389</v>
      </c>
      <c r="F11" s="130"/>
      <c r="G11" s="131">
        <f>IFERROR(IF(E11="Regular",VLOOKUP(C11,Resource_Rates_Table[],3,FALSE),(IF(Workplace!E11="OT",VLOOKUP(C11,Resource_Rates_Table[],4,FALSE),IF(E11="Regular/1st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0</v>
      </c>
      <c r="H11" s="62">
        <f>D11*G11</f>
        <v>0</v>
      </c>
      <c r="I11" s="141" t="s">
        <v>390</v>
      </c>
      <c r="J11" s="144" cm="1">
        <f t="array" ref="J11">IFERROR(IF(I11="Specified Margin",IFERROR(_xlfn.IFS(ISNUMBER(SEARCH("India",C11))=TRUE,Baseline!$G$6,ISNUMBER(SEARCH("Pakistan",C11))=TRUE,Baseline!$G$7),Baseline!$G$5),(K11-G11)/K11),"TBD")</f>
        <v>0.35</v>
      </c>
      <c r="K11" s="511">
        <f t="shared" si="0"/>
        <v>0</v>
      </c>
      <c r="L11" s="512"/>
      <c r="M11" s="149">
        <f t="shared" si="1"/>
        <v>0</v>
      </c>
      <c r="N11" s="116"/>
      <c r="O11" s="117"/>
      <c r="P11" s="117"/>
      <c r="Q11" s="118"/>
    </row>
    <row r="12" spans="1:17">
      <c r="B12" s="39"/>
      <c r="C12" s="39"/>
      <c r="D12" s="113">
        <v>0</v>
      </c>
      <c r="E12" s="113" t="s">
        <v>389</v>
      </c>
      <c r="F12" s="130"/>
      <c r="G12" s="131">
        <f>IFERROR(IF(E12="Regular",VLOOKUP(C12,Resource_Rates_Table[],3,FALSE),(IF(Workplace!E12="OT",VLOOKUP(C12,Resource_Rates_Table[],4,FALSE),IF(E12="Regular/1st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D12*G12</f>
        <v>0</v>
      </c>
      <c r="I12" s="141" t="s">
        <v>390</v>
      </c>
      <c r="J12" s="144" cm="1">
        <f t="array" ref="J12">IFERROR(IF(I12="Specified Margin",IFERROR(_xlfn.IFS(ISNUMBER(SEARCH("India",C12))=TRUE,Baseline!$G$6,ISNUMBER(SEARCH("Pakistan",C12))=TRUE,Baseline!$G$7),Baseline!$G$5),(K12-G12)/K12),"TBD")</f>
        <v>0.35</v>
      </c>
      <c r="K12" s="511">
        <f t="shared" si="0"/>
        <v>0</v>
      </c>
      <c r="L12" s="512"/>
      <c r="M12" s="149">
        <f t="shared" si="1"/>
        <v>0</v>
      </c>
      <c r="N12" s="116"/>
      <c r="O12" s="117"/>
      <c r="P12" s="117"/>
      <c r="Q12" s="118"/>
    </row>
    <row r="13" spans="1:17">
      <c r="B13" s="39"/>
      <c r="C13" s="39"/>
      <c r="D13" s="113">
        <v>0</v>
      </c>
      <c r="E13" s="113" t="s">
        <v>389</v>
      </c>
      <c r="F13" s="130"/>
      <c r="G13" s="131">
        <f>IFERROR(IF(E13="Regular",VLOOKUP(C13,Resource_Rates_Table[],3,FALSE),(IF(Workplace!E13="OT",VLOOKUP(C13,Resource_Rates_Table[],4,FALSE),IF(E13="Regular/1st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ref="H13:H21" si="2">D13*G13</f>
        <v>0</v>
      </c>
      <c r="I13" s="141" t="s">
        <v>390</v>
      </c>
      <c r="J13" s="144" cm="1">
        <f t="array" ref="J13">IFERROR(IF(I13="Specified Margin",IFERROR(_xlfn.IFS(ISNUMBER(SEARCH("India",C13))=TRUE,Baseline!$G$6,ISNUMBER(SEARCH("Pakistan",C13))=TRUE,Baseline!$G$7),Baseline!$G$5),(K13-G13)/K13),"TBD")</f>
        <v>0.35</v>
      </c>
      <c r="K13" s="511">
        <f t="shared" si="0"/>
        <v>0</v>
      </c>
      <c r="L13" s="512"/>
      <c r="M13" s="149">
        <f t="shared" si="1"/>
        <v>0</v>
      </c>
      <c r="N13" s="116"/>
      <c r="O13" s="117"/>
      <c r="P13" s="117"/>
      <c r="Q13" s="118"/>
    </row>
    <row r="14" spans="1:17">
      <c r="B14" s="39"/>
      <c r="C14" s="39"/>
      <c r="D14" s="113">
        <v>0</v>
      </c>
      <c r="E14" s="113" t="s">
        <v>389</v>
      </c>
      <c r="F14" s="130"/>
      <c r="G14" s="131">
        <f>IFERROR(IF(E14="Regular",VLOOKUP(C14,Resource_Rates_Table[],3,FALSE),(IF(Workplace!E14="OT",VLOOKUP(C14,Resource_Rates_Table[],4,FALSE),IF(E14="Regular/1st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390</v>
      </c>
      <c r="J14" s="144" cm="1">
        <f t="array" ref="J14">IFERROR(IF(I14="Specified Margin",IFERROR(_xlfn.IFS(ISNUMBER(SEARCH("India",C14))=TRUE,Baseline!$G$6,ISNUMBER(SEARCH("Pakistan",C14))=TRUE,Baseline!$G$7),Baseline!$G$5),(K14-G14)/K14),"TBD")</f>
        <v>0.35</v>
      </c>
      <c r="K14" s="511">
        <f t="shared" si="0"/>
        <v>0</v>
      </c>
      <c r="L14" s="512"/>
      <c r="M14" s="149">
        <f t="shared" si="1"/>
        <v>0</v>
      </c>
      <c r="N14" s="116"/>
      <c r="O14" s="117"/>
      <c r="P14" s="117"/>
      <c r="Q14" s="118"/>
    </row>
    <row r="15" spans="1:17">
      <c r="B15" s="39"/>
      <c r="C15" s="39"/>
      <c r="D15" s="113">
        <v>0</v>
      </c>
      <c r="E15" s="113" t="s">
        <v>389</v>
      </c>
      <c r="F15" s="133"/>
      <c r="G15" s="131">
        <f>IFERROR(IF(E15="Regular",VLOOKUP(C15,Resource_Rates_Table[],3,FALSE),(IF(Workplace!E15="OT",VLOOKUP(C15,Resource_Rates_Table[],4,FALSE),IF(E15="Regular/1st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390</v>
      </c>
      <c r="J15" s="144" cm="1">
        <f t="array" ref="J15">IFERROR(IF(I15="Specified Margin",IFERROR(_xlfn.IFS(ISNUMBER(SEARCH("India",C15))=TRUE,Baseline!$G$6,ISNUMBER(SEARCH("Pakistan",C15))=TRUE,Baseline!$G$7),Baseline!$G$5),(K15-G15)/K15),"TBD")</f>
        <v>0.35</v>
      </c>
      <c r="K15" s="511">
        <f t="shared" si="0"/>
        <v>0</v>
      </c>
      <c r="L15" s="512"/>
      <c r="M15" s="149">
        <f t="shared" si="1"/>
        <v>0</v>
      </c>
      <c r="N15" s="116"/>
      <c r="O15" s="117"/>
      <c r="P15" s="117"/>
      <c r="Q15" s="118"/>
    </row>
    <row r="16" spans="1:17">
      <c r="B16" s="39"/>
      <c r="C16" s="39"/>
      <c r="D16" s="113">
        <v>0</v>
      </c>
      <c r="E16" s="113" t="s">
        <v>389</v>
      </c>
      <c r="F16" s="130"/>
      <c r="G16" s="131">
        <f>IFERROR(IF(E16="Regular",VLOOKUP(C16,Resource_Rates_Table[],3,FALSE),(IF(Workplace!E16="OT",VLOOKUP(C16,Resource_Rates_Table[],4,FALSE),IF(E16="Regular/1st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390</v>
      </c>
      <c r="J16" s="144" cm="1">
        <f t="array" ref="J16">IFERROR(IF(I16="Specified Margin",IFERROR(_xlfn.IFS(ISNUMBER(SEARCH("India",C16))=TRUE,Baseline!$G$6,ISNUMBER(SEARCH("Pakistan",C16))=TRUE,Baseline!$G$7),Baseline!$G$5),(K16-G16)/K16),"TBD")</f>
        <v>0.35</v>
      </c>
      <c r="K16" s="511">
        <f t="shared" si="0"/>
        <v>0</v>
      </c>
      <c r="L16" s="512"/>
      <c r="M16" s="149">
        <f t="shared" si="1"/>
        <v>0</v>
      </c>
      <c r="N16" s="116"/>
      <c r="O16" s="117"/>
      <c r="P16" s="117"/>
      <c r="Q16" s="118"/>
    </row>
    <row r="17" spans="2:17">
      <c r="B17" s="39"/>
      <c r="C17" s="39"/>
      <c r="D17" s="113">
        <v>0</v>
      </c>
      <c r="E17" s="113" t="s">
        <v>389</v>
      </c>
      <c r="F17" s="130"/>
      <c r="G17" s="131">
        <f>IFERROR(IF(E17="Regular",VLOOKUP(C17,Resource_Rates_Table[],3,FALSE),(IF(Workplace!E17="OT",VLOOKUP(C17,Resource_Rates_Table[],4,FALSE),IF(E17="Regular/1st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390</v>
      </c>
      <c r="J17" s="144" cm="1">
        <f t="array" ref="J17">IFERROR(IF(I17="Specified Margin",IFERROR(_xlfn.IFS(ISNUMBER(SEARCH("India",C17))=TRUE,Baseline!$G$6,ISNUMBER(SEARCH("Pakistan",C17))=TRUE,Baseline!$G$7),Baseline!$G$5),(K17-G17)/K17),"TBD")</f>
        <v>0.35</v>
      </c>
      <c r="K17" s="511">
        <f t="shared" si="0"/>
        <v>0</v>
      </c>
      <c r="L17" s="512"/>
      <c r="M17" s="149">
        <f t="shared" si="1"/>
        <v>0</v>
      </c>
      <c r="N17" s="116"/>
      <c r="O17" s="117"/>
      <c r="P17" s="117"/>
      <c r="Q17" s="118"/>
    </row>
    <row r="18" spans="2:17">
      <c r="B18" s="39"/>
      <c r="C18" s="39"/>
      <c r="D18" s="113">
        <v>0</v>
      </c>
      <c r="E18" s="113" t="s">
        <v>389</v>
      </c>
      <c r="F18" s="133"/>
      <c r="G18" s="131">
        <f>IFERROR(IF(E18="Regular",VLOOKUP(C18,Resource_Rates_Table[],3,FALSE),(IF(Workplace!E18="OT",VLOOKUP(C18,Resource_Rates_Table[],4,FALSE),IF(E18="Regular/1st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390</v>
      </c>
      <c r="J18" s="144" cm="1">
        <f t="array" ref="J18">IFERROR(IF(I18="Specified Margin",IFERROR(_xlfn.IFS(ISNUMBER(SEARCH("India",C18))=TRUE,Baseline!$G$6,ISNUMBER(SEARCH("Pakistan",C18))=TRUE,Baseline!$G$7),Baseline!$G$5),(K18-G18)/K18),"TBD")</f>
        <v>0.35</v>
      </c>
      <c r="K18" s="511">
        <f t="shared" si="0"/>
        <v>0</v>
      </c>
      <c r="L18" s="512"/>
      <c r="M18" s="149">
        <f t="shared" si="1"/>
        <v>0</v>
      </c>
      <c r="N18" s="116"/>
      <c r="O18" s="117"/>
      <c r="P18" s="117"/>
      <c r="Q18" s="118"/>
    </row>
    <row r="19" spans="2:17">
      <c r="B19" s="39"/>
      <c r="C19" s="39"/>
      <c r="D19" s="113">
        <v>0</v>
      </c>
      <c r="E19" s="113" t="s">
        <v>389</v>
      </c>
      <c r="F19" s="130"/>
      <c r="G19" s="131">
        <f>IFERROR(IF(E19="Regular",VLOOKUP(C19,Resource_Rates_Table[],3,FALSE),(IF(Workplace!E19="OT",VLOOKUP(C19,Resource_Rates_Table[],4,FALSE),IF(E19="Regular/1st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390</v>
      </c>
      <c r="J19" s="144" cm="1">
        <f t="array" ref="J19">IFERROR(IF(I19="Specified Margin",IFERROR(_xlfn.IFS(ISNUMBER(SEARCH("India",C19))=TRUE,Baseline!$G$6,ISNUMBER(SEARCH("Pakistan",C19))=TRUE,Baseline!$G$7),Baseline!$G$5),(K19-G19)/K19),"TBD")</f>
        <v>0.35</v>
      </c>
      <c r="K19" s="511">
        <f t="shared" si="0"/>
        <v>0</v>
      </c>
      <c r="L19" s="512"/>
      <c r="M19" s="149">
        <f t="shared" si="1"/>
        <v>0</v>
      </c>
      <c r="N19" s="116"/>
      <c r="O19" s="117"/>
      <c r="P19" s="117"/>
      <c r="Q19" s="118"/>
    </row>
    <row r="20" spans="2:17">
      <c r="B20" s="39"/>
      <c r="C20" s="39"/>
      <c r="D20" s="113">
        <v>0</v>
      </c>
      <c r="E20" s="113" t="s">
        <v>389</v>
      </c>
      <c r="F20" s="130"/>
      <c r="G20" s="131">
        <f>IFERROR(IF(E20="Regular",VLOOKUP(C20,Resource_Rates_Table[],3,FALSE),(IF(Workplace!E20="OT",VLOOKUP(C20,Resource_Rates_Table[],4,FALSE),IF(E20="Regular/1st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390</v>
      </c>
      <c r="J20" s="144" cm="1">
        <f t="array" ref="J20">IFERROR(IF(I20="Specified Margin",IFERROR(_xlfn.IFS(ISNUMBER(SEARCH("India",C20))=TRUE,Baseline!$G$6,ISNUMBER(SEARCH("Pakistan",C20))=TRUE,Baseline!$G$7),Baseline!$G$5),(K20-G20)/K20),"TBD")</f>
        <v>0.35</v>
      </c>
      <c r="K20" s="511">
        <f t="shared" si="0"/>
        <v>0</v>
      </c>
      <c r="L20" s="512"/>
      <c r="M20" s="149">
        <f t="shared" si="1"/>
        <v>0</v>
      </c>
      <c r="N20" s="116"/>
      <c r="O20" s="117"/>
      <c r="P20" s="117"/>
      <c r="Q20" s="118"/>
    </row>
    <row r="21" spans="2:17">
      <c r="B21" s="39"/>
      <c r="C21" s="39"/>
      <c r="D21" s="113">
        <v>0</v>
      </c>
      <c r="E21" s="113" t="s">
        <v>389</v>
      </c>
      <c r="F21" s="133"/>
      <c r="G21" s="131">
        <f>IFERROR(IF(E21="Regular",VLOOKUP(C21,Resource_Rates_Table[],3,FALSE),(IF(Workplace!E21="OT",VLOOKUP(C21,Resource_Rates_Table[],4,FALSE),IF(E21="Regular/1st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390</v>
      </c>
      <c r="J21" s="144" cm="1">
        <f t="array" ref="J21">IFERROR(IF(I21="Specified Margin",IFERROR(_xlfn.IFS(ISNUMBER(SEARCH("India",C21))=TRUE,Baseline!$G$6,ISNUMBER(SEARCH("Pakistan",C21))=TRUE,Baseline!$G$7),Baseline!$G$5),(K21-G21)/K21),"TBD")</f>
        <v>0.35</v>
      </c>
      <c r="K21" s="511">
        <f>IFERROR(IF(I21="Specified Margin",G21/(1-J21),"Enter Sell Rate"),"TBD")</f>
        <v>0</v>
      </c>
      <c r="L21" s="512"/>
      <c r="M21" s="149">
        <f t="shared" si="1"/>
        <v>0</v>
      </c>
      <c r="N21" s="116"/>
      <c r="O21" s="117"/>
      <c r="P21" s="117"/>
      <c r="Q21" s="118"/>
    </row>
    <row r="22" spans="2:17">
      <c r="B22" s="39"/>
      <c r="C22" s="39"/>
      <c r="D22" s="113">
        <v>0</v>
      </c>
      <c r="E22" s="113" t="s">
        <v>389</v>
      </c>
      <c r="F22" s="130"/>
      <c r="G22" s="131">
        <f>IFERROR(IF(E22="Regular",VLOOKUP(C22,Resource_Rates_Table[],3,FALSE),(IF(Workplace!E22="OT",VLOOKUP(C22,Resource_Rates_Table[],4,FALSE),IF(E22="Regular/1st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ref="H22:H27" si="3">D22*G22</f>
        <v>0</v>
      </c>
      <c r="I22" s="141" t="s">
        <v>390</v>
      </c>
      <c r="J22" s="144" cm="1">
        <f t="array" ref="J22">IFERROR(IF(I22="Specified Margin",IFERROR(_xlfn.IFS(ISNUMBER(SEARCH("India",C22))=TRUE,Baseline!$G$6,ISNUMBER(SEARCH("Pakistan",C22))=TRUE,Baseline!$G$7),Baseline!$G$5),(K22-G22)/K22),"TBD")</f>
        <v>0.35</v>
      </c>
      <c r="K22" s="511">
        <f t="shared" si="0"/>
        <v>0</v>
      </c>
      <c r="L22" s="512"/>
      <c r="M22" s="149">
        <f t="shared" si="1"/>
        <v>0</v>
      </c>
      <c r="N22" s="116"/>
      <c r="O22" s="117"/>
      <c r="P22" s="117"/>
      <c r="Q22" s="118"/>
    </row>
    <row r="23" spans="2:17">
      <c r="B23" s="39"/>
      <c r="C23" s="39"/>
      <c r="D23" s="113">
        <v>0</v>
      </c>
      <c r="E23" s="113" t="s">
        <v>389</v>
      </c>
      <c r="F23" s="130"/>
      <c r="G23" s="131">
        <f>IFERROR(IF(E23="Regular",VLOOKUP(C23,Resource_Rates_Table[],3,FALSE),(IF(Workplace!E23="OT",VLOOKUP(C23,Resource_Rates_Table[],4,FALSE),IF(E23="Regular/1st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390</v>
      </c>
      <c r="J23" s="144" cm="1">
        <f t="array" ref="J23">IFERROR(IF(I23="Specified Margin",IFERROR(_xlfn.IFS(ISNUMBER(SEARCH("India",C23))=TRUE,Baseline!$G$6,ISNUMBER(SEARCH("Pakistan",C23))=TRUE,Baseline!$G$7),Baseline!$G$5),(K23-G23)/K23),"TBD")</f>
        <v>0.35</v>
      </c>
      <c r="K23" s="511">
        <f t="shared" si="0"/>
        <v>0</v>
      </c>
      <c r="L23" s="512"/>
      <c r="M23" s="149">
        <f t="shared" si="1"/>
        <v>0</v>
      </c>
      <c r="N23" s="116"/>
      <c r="O23" s="117"/>
      <c r="P23" s="117"/>
      <c r="Q23" s="118"/>
    </row>
    <row r="24" spans="2:17">
      <c r="B24" s="39"/>
      <c r="C24" s="39"/>
      <c r="D24" s="113">
        <v>0</v>
      </c>
      <c r="E24" s="113" t="s">
        <v>389</v>
      </c>
      <c r="F24" s="133"/>
      <c r="G24" s="131">
        <f>IFERROR(IF(E24="Regular",VLOOKUP(C24,Resource_Rates_Table[],3,FALSE),(IF(Workplace!E24="OT",VLOOKUP(C24,Resource_Rates_Table[],4,FALSE),IF(E24="Regular/1st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390</v>
      </c>
      <c r="J24" s="144" cm="1">
        <f t="array" ref="J24">IFERROR(IF(I24="Specified Margin",IFERROR(_xlfn.IFS(ISNUMBER(SEARCH("India",C24))=TRUE,Baseline!$G$6,ISNUMBER(SEARCH("Pakistan",C24))=TRUE,Baseline!$G$7),Baseline!$G$5),(K24-G24)/K24),"TBD")</f>
        <v>0.35</v>
      </c>
      <c r="K24" s="511">
        <f t="shared" si="0"/>
        <v>0</v>
      </c>
      <c r="L24" s="512"/>
      <c r="M24" s="149">
        <f t="shared" si="1"/>
        <v>0</v>
      </c>
      <c r="N24" s="340"/>
      <c r="O24" s="380"/>
      <c r="P24" s="380"/>
      <c r="Q24" s="341"/>
    </row>
    <row r="25" spans="2:17">
      <c r="B25" s="39"/>
      <c r="C25" s="39"/>
      <c r="D25" s="113">
        <v>0</v>
      </c>
      <c r="E25" s="113" t="s">
        <v>389</v>
      </c>
      <c r="F25" s="133"/>
      <c r="G25" s="131">
        <f>IFERROR(IF(E25="Regular",VLOOKUP(C25,Resource_Rates_Table[],3,FALSE),(IF(Workplace!E25="OT",VLOOKUP(C25,Resource_Rates_Table[],4,FALSE),IF(E25="Regular/1st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390</v>
      </c>
      <c r="J25" s="144" cm="1">
        <f t="array" ref="J25">IFERROR(IF(I25="Specified Margin",IFERROR(_xlfn.IFS(ISNUMBER(SEARCH("India",C25))=TRUE,Baseline!$G$6,ISNUMBER(SEARCH("Pakistan",C25))=TRUE,Baseline!$G$7),Baseline!$G$5),(K25-G25)/K25),"TBD")</f>
        <v>0.35</v>
      </c>
      <c r="K25" s="511">
        <f t="shared" si="0"/>
        <v>0</v>
      </c>
      <c r="L25" s="512"/>
      <c r="M25" s="149">
        <f t="shared" si="1"/>
        <v>0</v>
      </c>
      <c r="N25" s="340"/>
      <c r="O25" s="380"/>
      <c r="P25" s="380"/>
      <c r="Q25" s="341"/>
    </row>
    <row r="26" spans="2:17">
      <c r="B26" s="39"/>
      <c r="C26" s="39"/>
      <c r="D26" s="113">
        <v>0</v>
      </c>
      <c r="E26" s="113" t="s">
        <v>389</v>
      </c>
      <c r="F26" s="133"/>
      <c r="G26" s="131">
        <f>IFERROR(IF(E26="Regular",VLOOKUP(C26,Resource_Rates_Table[],3,FALSE),(IF(Workplace!E26="OT",VLOOKUP(C26,Resource_Rates_Table[],4,FALSE),IF(E26="Regular/1st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390</v>
      </c>
      <c r="J26" s="144" cm="1">
        <f t="array" ref="J26">IFERROR(IF(I26="Specified Margin",IFERROR(_xlfn.IFS(ISNUMBER(SEARCH("India",C26))=TRUE,Baseline!$G$6,ISNUMBER(SEARCH("Pakistan",C26))=TRUE,Baseline!$G$7),Baseline!$G$5),(K26-G26)/K26),"TBD")</f>
        <v>0.35</v>
      </c>
      <c r="K26" s="511">
        <f t="shared" si="0"/>
        <v>0</v>
      </c>
      <c r="L26" s="512"/>
      <c r="M26" s="149">
        <f t="shared" si="1"/>
        <v>0</v>
      </c>
      <c r="N26" s="340"/>
      <c r="O26" s="380"/>
      <c r="P26" s="380"/>
      <c r="Q26" s="341"/>
    </row>
    <row r="27" spans="2:17">
      <c r="B27" s="39"/>
      <c r="C27" s="39"/>
      <c r="D27" s="113">
        <v>0</v>
      </c>
      <c r="E27" s="113" t="s">
        <v>389</v>
      </c>
      <c r="F27" s="133"/>
      <c r="G27" s="131">
        <f>IFERROR(IF(E27="Regular",VLOOKUP(C27,Resource_Rates_Table[],3,FALSE),(IF(Workplace!E27="OT",VLOOKUP(C27,Resource_Rates_Table[],4,FALSE),IF(E27="Regular/1st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390</v>
      </c>
      <c r="J27" s="144" cm="1">
        <f t="array" ref="J27">IFERROR(IF(I27="Specified Margin",IFERROR(_xlfn.IFS(ISNUMBER(SEARCH("India",C27))=TRUE,Baseline!$G$6,ISNUMBER(SEARCH("Pakistan",C27))=TRUE,Baseline!$G$7),Baseline!$G$5),(K27-G27)/K27),"TBD")</f>
        <v>0.35</v>
      </c>
      <c r="K27" s="511">
        <f t="shared" si="0"/>
        <v>0</v>
      </c>
      <c r="L27" s="512"/>
      <c r="M27" s="149">
        <f t="shared" si="1"/>
        <v>0</v>
      </c>
      <c r="N27" s="340"/>
      <c r="O27" s="380"/>
      <c r="P27" s="380"/>
      <c r="Q27" s="341"/>
    </row>
    <row r="28" spans="2:17">
      <c r="B28" s="6"/>
      <c r="C28" s="6" t="s">
        <v>391</v>
      </c>
      <c r="D28" s="134">
        <f>SUM(D8:D27)</f>
        <v>0</v>
      </c>
      <c r="E28" s="135"/>
      <c r="F28" s="135"/>
      <c r="G28" s="136" t="str">
        <f>IF(C3="Project",C2&amp;" Resource Cost:",C2&amp;" Per Unit Resource Cost:")</f>
        <v>Workplace Per Unit Resource Cost:</v>
      </c>
      <c r="H28" s="137">
        <f>SUM(H8:H27)</f>
        <v>0</v>
      </c>
      <c r="I28" s="137" t="s">
        <v>392</v>
      </c>
      <c r="J28" s="152" t="str">
        <f>IFERROR((M28-H28)/M28,"TBD")</f>
        <v>TBD</v>
      </c>
      <c r="K28" s="378" t="s">
        <v>393</v>
      </c>
      <c r="L28" s="379"/>
      <c r="M28" s="137">
        <f>SUM(M8:M27)</f>
        <v>0</v>
      </c>
      <c r="N28" s="135"/>
      <c r="O28" s="135"/>
      <c r="P28" s="135"/>
      <c r="Q28" s="135"/>
    </row>
    <row r="29" spans="2:17">
      <c r="D29" s="119"/>
    </row>
    <row r="30" spans="2:17">
      <c r="B30" s="7" t="str">
        <f>C2&amp;" Partner Cost Factors:"</f>
        <v>Workplace Partner Cost Factors:</v>
      </c>
      <c r="C30" s="7"/>
      <c r="D30" s="126"/>
      <c r="E30" s="126"/>
      <c r="F30" s="126"/>
      <c r="G30" s="126"/>
      <c r="H30" s="126"/>
      <c r="I30" s="126"/>
      <c r="J30" s="126"/>
      <c r="K30" s="126"/>
      <c r="L30" s="126"/>
      <c r="M30" s="126"/>
      <c r="N30" s="126"/>
      <c r="O30" s="126"/>
      <c r="P30" s="126"/>
      <c r="Q30" s="127"/>
    </row>
    <row r="31" spans="2:17">
      <c r="B31" s="4" t="s">
        <v>394</v>
      </c>
      <c r="C31" s="4" t="s">
        <v>395</v>
      </c>
      <c r="D31" s="4" t="s">
        <v>396</v>
      </c>
      <c r="E31" s="128" t="s">
        <v>381</v>
      </c>
      <c r="F31" s="128"/>
      <c r="G31" s="49" t="s">
        <v>397</v>
      </c>
      <c r="H31" s="49" t="s">
        <v>398</v>
      </c>
      <c r="I31" s="4" t="s">
        <v>384</v>
      </c>
      <c r="J31" s="4" t="s">
        <v>385</v>
      </c>
      <c r="K31" s="513" t="s">
        <v>399</v>
      </c>
      <c r="L31" s="514"/>
      <c r="M31" s="4" t="s">
        <v>400</v>
      </c>
      <c r="N31" s="381" t="s">
        <v>401</v>
      </c>
      <c r="O31" s="382"/>
      <c r="P31" s="382"/>
      <c r="Q31" s="383"/>
    </row>
    <row r="32" spans="2:17">
      <c r="B32" s="39"/>
      <c r="C32" s="39"/>
      <c r="D32" s="113">
        <v>0</v>
      </c>
      <c r="E32" s="113" t="s">
        <v>389</v>
      </c>
      <c r="F32" s="115"/>
      <c r="G32" s="114">
        <f>IFERROR(IF(B32="Partner","Enter Partner Price",IF(B32="Field Nation",IF(E32="Regular",VLOOKUP(C32,'Resource Descriptions'!$D$116:$I$119,3,FALSE),IF(E32="OT",VLOOKUP(C32,'Resource Descriptions'!$D$116:$I$119,4,FALSE),0)),0)),0)</f>
        <v>0</v>
      </c>
      <c r="H32" s="53">
        <f t="shared" ref="H32:H37" si="4">IFERROR(D32*G32,"TBD")</f>
        <v>0</v>
      </c>
      <c r="I32" s="141" t="s">
        <v>390</v>
      </c>
      <c r="J32" s="144">
        <f>IFERROR(IF(I32="Specified Margin",Baseline!$G$8,(K32-G32)/K32),"TBD")</f>
        <v>0.3</v>
      </c>
      <c r="K32" s="511">
        <f>IFERROR(IF(I32="Specified Margin",G32/(1-J32),"Enter Sell Rate"),"TBD")</f>
        <v>0</v>
      </c>
      <c r="L32" s="512"/>
      <c r="M32" s="160">
        <f>IFERROR(D32*K32,"TBD")</f>
        <v>0</v>
      </c>
      <c r="N32" s="340"/>
      <c r="O32" s="380"/>
      <c r="P32" s="380"/>
      <c r="Q32" s="341"/>
    </row>
    <row r="33" spans="2:17">
      <c r="B33" s="39"/>
      <c r="C33" s="39" t="str">
        <f>IF(B33="Field Nation",'Resource Descriptions'!$D$116,IF(B33="Partner",'Resource Descriptions'!$D$120,""))</f>
        <v/>
      </c>
      <c r="D33" s="113">
        <v>0</v>
      </c>
      <c r="E33" s="113" t="s">
        <v>389</v>
      </c>
      <c r="F33" s="115"/>
      <c r="G33" s="114">
        <f>IFERROR(IF(B33="Partner","Enter Partner Price",IF(B33="Field Nation",IF(E33="Regular",VLOOKUP(C33,'Resource Descriptions'!$D$116:$I$119,3,FALSE),IF(E33="OT",VLOOKUP(C33,'Resource Descriptions'!$D$116:$I$119,4,FALSE),0)),0)),0)</f>
        <v>0</v>
      </c>
      <c r="H33" s="53">
        <f t="shared" si="4"/>
        <v>0</v>
      </c>
      <c r="I33" s="141" t="s">
        <v>390</v>
      </c>
      <c r="J33" s="144">
        <f>IFERROR(IF(I33="Specified Margin",Baseline!$G$8,(K33-G33)/K33),"TBD")</f>
        <v>0.3</v>
      </c>
      <c r="K33" s="511">
        <f t="shared" ref="K33:K39" si="5">IFERROR(IF(I33="Specified Margin",G33/(1-J33),"Enter Sell Rate"),"TBD")</f>
        <v>0</v>
      </c>
      <c r="L33" s="512"/>
      <c r="M33" s="160">
        <f>IFERROR(D33*K33,"TBD")</f>
        <v>0</v>
      </c>
      <c r="N33" s="116"/>
      <c r="O33" s="117"/>
      <c r="P33" s="117"/>
      <c r="Q33" s="118"/>
    </row>
    <row r="34" spans="2:17">
      <c r="B34" s="39"/>
      <c r="C34" s="39" t="str">
        <f>IF(B34="Field Nation",'Resource Descriptions'!$D$116,IF(B34="Partner",'Resource Descriptions'!$D$120,""))</f>
        <v/>
      </c>
      <c r="D34" s="113">
        <v>0</v>
      </c>
      <c r="E34" s="113" t="s">
        <v>389</v>
      </c>
      <c r="F34" s="115"/>
      <c r="G34" s="114">
        <f>IFERROR(IF(B34="Partner","Enter Partner Price",IF(B34="Field Nation",IF(E34="Regular",VLOOKUP(C34,'Resource Descriptions'!$D$116:$I$119,3,FALSE),IF(E34="OT",VLOOKUP(C34,'Resource Descriptions'!$D$116:$I$119,4,FALSE),0)),0)),0)</f>
        <v>0</v>
      </c>
      <c r="H34" s="53">
        <f t="shared" si="4"/>
        <v>0</v>
      </c>
      <c r="I34" s="141" t="s">
        <v>390</v>
      </c>
      <c r="J34" s="144">
        <f>IFERROR(IF(I34="Specified Margin",Baseline!$G$8,(K34-G34)/K34),"TBD")</f>
        <v>0.3</v>
      </c>
      <c r="K34" s="511">
        <f t="shared" si="5"/>
        <v>0</v>
      </c>
      <c r="L34" s="512"/>
      <c r="M34" s="160">
        <f t="shared" ref="M34:M39" si="6">IFERROR(D34*K34,"TBD")</f>
        <v>0</v>
      </c>
      <c r="N34" s="116"/>
      <c r="O34" s="117"/>
      <c r="P34" s="117"/>
      <c r="Q34" s="118"/>
    </row>
    <row r="35" spans="2:17">
      <c r="B35" s="39"/>
      <c r="C35" s="39" t="str">
        <f>IF(B35="Field Nation",'Resource Descriptions'!$D$116,IF(B35="Partner",'Resource Descriptions'!$D$120,""))</f>
        <v/>
      </c>
      <c r="D35" s="113">
        <v>0</v>
      </c>
      <c r="E35" s="113" t="s">
        <v>389</v>
      </c>
      <c r="F35" s="115"/>
      <c r="G35" s="114">
        <f>IFERROR(IF(B35="Partner","Enter Partner Price",IF(B35="Field Nation",IF(E35="Regular",VLOOKUP(C35,'Resource Descriptions'!$D$116:$I$119,3,FALSE),IF(E35="OT",VLOOKUP(C35,'Resource Descriptions'!$D$116:$I$119,4,FALSE),0)),0)),0)</f>
        <v>0</v>
      </c>
      <c r="H35" s="53">
        <f t="shared" si="4"/>
        <v>0</v>
      </c>
      <c r="I35" s="141" t="s">
        <v>390</v>
      </c>
      <c r="J35" s="144">
        <f>IFERROR(IF(I35="Specified Margin",Baseline!$G$8,(K35-G35)/K35),"TBD")</f>
        <v>0.3</v>
      </c>
      <c r="K35" s="511">
        <f t="shared" si="5"/>
        <v>0</v>
      </c>
      <c r="L35" s="512"/>
      <c r="M35" s="160">
        <f t="shared" si="6"/>
        <v>0</v>
      </c>
      <c r="N35" s="116"/>
      <c r="O35" s="117"/>
      <c r="P35" s="117"/>
      <c r="Q35" s="118"/>
    </row>
    <row r="36" spans="2:17">
      <c r="B36" s="39"/>
      <c r="C36" s="39" t="str">
        <f>IF(B36="Field Nation",'Resource Descriptions'!$D$116,IF(B36="Partner",'Resource Descriptions'!$D$120,""))</f>
        <v/>
      </c>
      <c r="D36" s="113">
        <v>0</v>
      </c>
      <c r="E36" s="113" t="s">
        <v>389</v>
      </c>
      <c r="F36" s="115"/>
      <c r="G36" s="114">
        <f>IFERROR(IF(B36="Partner","Enter Partner Price",IF(B36="Field Nation",IF(E36="Regular",VLOOKUP(C36,'Resource Descriptions'!$D$116:$I$119,3,FALSE),IF(E36="OT",VLOOKUP(C36,'Resource Descriptions'!$D$116:$I$119,4,FALSE),0)),0)),0)</f>
        <v>0</v>
      </c>
      <c r="H36" s="53">
        <f t="shared" si="4"/>
        <v>0</v>
      </c>
      <c r="I36" s="141" t="s">
        <v>390</v>
      </c>
      <c r="J36" s="144">
        <f>IFERROR(IF(I36="Specified Margin",Baseline!$G$8,(K36-G36)/K36),"TBD")</f>
        <v>0.3</v>
      </c>
      <c r="K36" s="511">
        <f t="shared" si="5"/>
        <v>0</v>
      </c>
      <c r="L36" s="512"/>
      <c r="M36" s="160">
        <f t="shared" si="6"/>
        <v>0</v>
      </c>
      <c r="N36" s="116"/>
      <c r="O36" s="117"/>
      <c r="P36" s="117"/>
      <c r="Q36" s="118"/>
    </row>
    <row r="37" spans="2:17">
      <c r="B37" s="39"/>
      <c r="C37" s="39" t="str">
        <f>IF(B37="Field Nation",'Resource Descriptions'!$D$116,IF(B37="Partner",'Resource Descriptions'!$D$120,""))</f>
        <v/>
      </c>
      <c r="D37" s="113">
        <v>0</v>
      </c>
      <c r="E37" s="113" t="s">
        <v>389</v>
      </c>
      <c r="F37" s="115"/>
      <c r="G37" s="114">
        <f>IFERROR(IF(B37="Partner","Enter Partner Price",IF(B37="Field Nation",IF(E37="Regular",VLOOKUP(C37,'Resource Descriptions'!$D$116:$I$119,3,FALSE),IF(E37="OT",VLOOKUP(C37,'Resource Descriptions'!$D$116:$I$119,4,FALSE),0)),0)),0)</f>
        <v>0</v>
      </c>
      <c r="H37" s="53">
        <f t="shared" si="4"/>
        <v>0</v>
      </c>
      <c r="I37" s="141" t="s">
        <v>390</v>
      </c>
      <c r="J37" s="144">
        <f>IFERROR(IF(I37="Specified Margin",Baseline!$G$8,(K37-G37)/K37),"TBD")</f>
        <v>0.3</v>
      </c>
      <c r="K37" s="511">
        <f t="shared" si="5"/>
        <v>0</v>
      </c>
      <c r="L37" s="512"/>
      <c r="M37" s="160">
        <f t="shared" si="6"/>
        <v>0</v>
      </c>
      <c r="N37" s="116"/>
      <c r="O37" s="117"/>
      <c r="P37" s="117"/>
      <c r="Q37" s="118"/>
    </row>
    <row r="38" spans="2:17">
      <c r="B38" s="39"/>
      <c r="C38" s="39" t="str">
        <f>IF(B38="Field Nation",'Resource Descriptions'!$D$116,IF(B38="Partner",'Resource Descriptions'!$D$120,""))</f>
        <v/>
      </c>
      <c r="D38" s="113">
        <v>0</v>
      </c>
      <c r="E38" s="113" t="s">
        <v>389</v>
      </c>
      <c r="F38" s="115"/>
      <c r="G38" s="114">
        <f>IFERROR(IF(B38="Partner","Enter Partner Price",IF(B38="Field Nation",IF(E38="Regular",VLOOKUP(C38,'Resource Descriptions'!$D$116:$I$119,3,FALSE),IF(E38="OT",VLOOKUP(C38,'Resource Descriptions'!$D$116:$I$119,4,FALSE),0)),0)),0)</f>
        <v>0</v>
      </c>
      <c r="H38" s="53">
        <f>IFERROR(D38*G38,"TBD")</f>
        <v>0</v>
      </c>
      <c r="I38" s="141" t="s">
        <v>390</v>
      </c>
      <c r="J38" s="144">
        <f>IFERROR(IF(I38="Specified Margin",Baseline!$G$8,(K38-G38)/K38),"TBD")</f>
        <v>0.3</v>
      </c>
      <c r="K38" s="511">
        <f t="shared" si="5"/>
        <v>0</v>
      </c>
      <c r="L38" s="512"/>
      <c r="M38" s="160">
        <f t="shared" si="6"/>
        <v>0</v>
      </c>
      <c r="N38" s="340"/>
      <c r="O38" s="380"/>
      <c r="P38" s="380"/>
      <c r="Q38" s="341"/>
    </row>
    <row r="39" spans="2:17">
      <c r="B39" s="39"/>
      <c r="C39" s="39" t="str">
        <f>IF(B39="Field Nation",'Resource Descriptions'!$D$116,IF(B39="Partner",'Resource Descriptions'!$D$120,""))</f>
        <v/>
      </c>
      <c r="D39" s="113">
        <v>0</v>
      </c>
      <c r="E39" s="113" t="s">
        <v>389</v>
      </c>
      <c r="F39" s="115"/>
      <c r="G39" s="114">
        <f>IFERROR(IF(B39="Partner","Enter Partner Price",IF(B39="Field Nation",IF(E39="Regular",VLOOKUP(C39,'Resource Descriptions'!$D$116:$I$119,3,FALSE),IF(E39="OT",VLOOKUP(C39,'Resource Descriptions'!$D$116:$I$119,4,FALSE),0)),0)),0)</f>
        <v>0</v>
      </c>
      <c r="H39" s="53">
        <f>IFERROR(D39*G39,"TBD")</f>
        <v>0</v>
      </c>
      <c r="I39" s="141" t="s">
        <v>390</v>
      </c>
      <c r="J39" s="144">
        <f>IFERROR(IF(I39="Specified Margin",Baseline!$G$8,(K39-G39)/K39),"TBD")</f>
        <v>0.3</v>
      </c>
      <c r="K39" s="511">
        <f t="shared" si="5"/>
        <v>0</v>
      </c>
      <c r="L39" s="512"/>
      <c r="M39" s="160">
        <f t="shared" si="6"/>
        <v>0</v>
      </c>
      <c r="N39" s="340"/>
      <c r="O39" s="380"/>
      <c r="P39" s="380"/>
      <c r="Q39" s="341"/>
    </row>
    <row r="40" spans="2:17">
      <c r="B40" s="6"/>
      <c r="C40" s="159"/>
      <c r="D40" s="135"/>
      <c r="E40" s="135"/>
      <c r="F40" s="135"/>
      <c r="G40" s="136" t="str">
        <f>IF(C3="Project",C2&amp;" Partner Cost:",C2&amp;" Per Unit Partner Cost:")</f>
        <v>Workplace Per Unit Partner Cost:</v>
      </c>
      <c r="H40" s="137">
        <f>SUM(H32:H39)</f>
        <v>0</v>
      </c>
      <c r="I40" s="137" t="s">
        <v>402</v>
      </c>
      <c r="J40" s="152" t="str">
        <f>IFERROR((M40-H40)/M40,"TBD")</f>
        <v>TBD</v>
      </c>
      <c r="K40" s="378" t="s">
        <v>403</v>
      </c>
      <c r="L40" s="379"/>
      <c r="M40" s="137">
        <f>SUM(M32:M39)</f>
        <v>0</v>
      </c>
      <c r="N40" s="135"/>
      <c r="O40" s="135"/>
      <c r="P40" s="135"/>
      <c r="Q40" s="135"/>
    </row>
    <row r="41" spans="2:17">
      <c r="D41" s="119"/>
    </row>
    <row r="42" spans="2:17">
      <c r="B42" s="7" t="str">
        <f>C2&amp;" Travel &amp; Living Cost Factors:"</f>
        <v>Workplace Travel &amp; Living Cost Factors:</v>
      </c>
      <c r="C42" s="126"/>
      <c r="D42" s="126"/>
      <c r="E42" s="126"/>
      <c r="F42" s="126"/>
      <c r="G42" s="126"/>
      <c r="H42" s="126"/>
      <c r="I42" s="126"/>
      <c r="J42" s="126"/>
      <c r="L42" s="32" t="str">
        <f>C2&amp;" Assumptions:"</f>
        <v>Workplace Assumptions:</v>
      </c>
      <c r="M42" s="32"/>
      <c r="N42" s="32"/>
      <c r="O42" s="32"/>
      <c r="P42" s="32"/>
      <c r="Q42" s="32"/>
    </row>
    <row r="43" spans="2:17">
      <c r="B43" s="4" t="s">
        <v>404</v>
      </c>
      <c r="C43" s="4" t="s">
        <v>405</v>
      </c>
      <c r="D43" s="4" t="s">
        <v>406</v>
      </c>
      <c r="E43" s="515" t="s">
        <v>407</v>
      </c>
      <c r="F43" s="516"/>
      <c r="G43" s="4" t="s">
        <v>384</v>
      </c>
      <c r="H43" s="13" t="s">
        <v>385</v>
      </c>
      <c r="I43" s="4" t="s">
        <v>408</v>
      </c>
      <c r="J43" s="4" t="s">
        <v>409</v>
      </c>
      <c r="L43" s="375"/>
      <c r="M43" s="376"/>
      <c r="N43" s="376"/>
      <c r="O43" s="376"/>
      <c r="P43" s="376"/>
      <c r="Q43" s="377"/>
    </row>
    <row r="44" spans="2:17">
      <c r="B44" s="39"/>
      <c r="C44" s="113">
        <v>0</v>
      </c>
      <c r="D44" s="120">
        <f>IFERROR(VLOOKUP(B44,'Expenses &amp; Materials'!$B$3:$C$9,2,FALSE),0)</f>
        <v>0</v>
      </c>
      <c r="E44" s="517">
        <f t="shared" ref="E44:E51" si="7">C44*D44</f>
        <v>0</v>
      </c>
      <c r="F44" s="518"/>
      <c r="G44" s="141" t="s">
        <v>390</v>
      </c>
      <c r="H44" s="153">
        <f>IFERROR(IF(G44="Specified Margin",Baseline!$G$9,(I44-D44)/I44),"TBD")</f>
        <v>0.15</v>
      </c>
      <c r="I44" s="163">
        <f>IFERROR(IF(G44="Specified Margin",D44/(1-H44),"Enter Sell Rate"),"TBD")</f>
        <v>0</v>
      </c>
      <c r="J44" s="62">
        <f>IFERROR(C44*I44,"TBD")</f>
        <v>0</v>
      </c>
      <c r="L44" s="375"/>
      <c r="M44" s="376"/>
      <c r="N44" s="376"/>
      <c r="O44" s="376"/>
      <c r="P44" s="376"/>
      <c r="Q44" s="377"/>
    </row>
    <row r="45" spans="2:17">
      <c r="B45" s="39"/>
      <c r="C45" s="113">
        <v>0</v>
      </c>
      <c r="D45" s="120">
        <f>IFERROR(VLOOKUP(B45,'Expenses &amp; Materials'!$B$3:$C$9,2,FALSE),0)</f>
        <v>0</v>
      </c>
      <c r="E45" s="517">
        <f t="shared" si="7"/>
        <v>0</v>
      </c>
      <c r="F45" s="518"/>
      <c r="G45" s="141" t="s">
        <v>390</v>
      </c>
      <c r="H45" s="153">
        <f>Baseline!$G$9</f>
        <v>0.15</v>
      </c>
      <c r="I45" s="163">
        <f t="shared" ref="I45:I51" si="8">IFERROR(IF(G45="Specified Margin",D45/(1-H45),"Enter Sell Rate"),"TBD")</f>
        <v>0</v>
      </c>
      <c r="J45" s="62">
        <f t="shared" ref="J45:J51" si="9">IFERROR(C45*I45,"TBD")</f>
        <v>0</v>
      </c>
      <c r="L45" s="375"/>
      <c r="M45" s="376"/>
      <c r="N45" s="376"/>
      <c r="O45" s="376"/>
      <c r="P45" s="376"/>
      <c r="Q45" s="377"/>
    </row>
    <row r="46" spans="2:17">
      <c r="B46" s="39"/>
      <c r="C46" s="113">
        <v>0</v>
      </c>
      <c r="D46" s="120">
        <f>IFERROR(VLOOKUP(B46,'Expenses &amp; Materials'!$B$3:$C$9,2,FALSE),0)</f>
        <v>0</v>
      </c>
      <c r="E46" s="517">
        <f t="shared" si="7"/>
        <v>0</v>
      </c>
      <c r="F46" s="518"/>
      <c r="G46" s="141" t="s">
        <v>390</v>
      </c>
      <c r="H46" s="153">
        <f>Baseline!$G$9</f>
        <v>0.15</v>
      </c>
      <c r="I46" s="163">
        <f t="shared" si="8"/>
        <v>0</v>
      </c>
      <c r="J46" s="62">
        <f t="shared" si="9"/>
        <v>0</v>
      </c>
      <c r="L46" s="375"/>
      <c r="M46" s="376"/>
      <c r="N46" s="376"/>
      <c r="O46" s="376"/>
      <c r="P46" s="376"/>
      <c r="Q46" s="377"/>
    </row>
    <row r="47" spans="2:17">
      <c r="B47" s="39"/>
      <c r="C47" s="113">
        <v>0</v>
      </c>
      <c r="D47" s="120">
        <f>IFERROR(VLOOKUP(B47,'Expenses &amp; Materials'!$B$3:$C$9,2,FALSE),0)</f>
        <v>0</v>
      </c>
      <c r="E47" s="517">
        <f t="shared" si="7"/>
        <v>0</v>
      </c>
      <c r="F47" s="518"/>
      <c r="G47" s="141" t="s">
        <v>390</v>
      </c>
      <c r="H47" s="153">
        <f>Baseline!$G$9</f>
        <v>0.15</v>
      </c>
      <c r="I47" s="163">
        <f t="shared" si="8"/>
        <v>0</v>
      </c>
      <c r="J47" s="62">
        <f t="shared" si="9"/>
        <v>0</v>
      </c>
      <c r="L47" s="375"/>
      <c r="M47" s="376"/>
      <c r="N47" s="376"/>
      <c r="O47" s="376"/>
      <c r="P47" s="376"/>
      <c r="Q47" s="377"/>
    </row>
    <row r="48" spans="2:17">
      <c r="B48" s="39"/>
      <c r="C48" s="113">
        <v>0</v>
      </c>
      <c r="D48" s="120">
        <f>IFERROR(VLOOKUP(B48,'Expenses &amp; Materials'!$B$3:$C$9,2,FALSE),0)</f>
        <v>0</v>
      </c>
      <c r="E48" s="517">
        <f t="shared" si="7"/>
        <v>0</v>
      </c>
      <c r="F48" s="518"/>
      <c r="G48" s="141" t="s">
        <v>390</v>
      </c>
      <c r="H48" s="153">
        <f>Baseline!$G$9</f>
        <v>0.15</v>
      </c>
      <c r="I48" s="163">
        <f t="shared" si="8"/>
        <v>0</v>
      </c>
      <c r="J48" s="62">
        <f t="shared" si="9"/>
        <v>0</v>
      </c>
      <c r="L48" s="375"/>
      <c r="M48" s="376"/>
      <c r="N48" s="376"/>
      <c r="O48" s="376"/>
      <c r="P48" s="376"/>
      <c r="Q48" s="377"/>
    </row>
    <row r="49" spans="2:17">
      <c r="B49" s="39"/>
      <c r="C49" s="113">
        <v>0</v>
      </c>
      <c r="D49" s="120">
        <f>IFERROR(VLOOKUP(B49,'Expenses &amp; Materials'!$B$3:$C$9,2,FALSE),0)</f>
        <v>0</v>
      </c>
      <c r="E49" s="517">
        <f t="shared" si="7"/>
        <v>0</v>
      </c>
      <c r="F49" s="518"/>
      <c r="G49" s="141" t="s">
        <v>390</v>
      </c>
      <c r="H49" s="153">
        <f>Baseline!$G$9</f>
        <v>0.15</v>
      </c>
      <c r="I49" s="163">
        <f t="shared" si="8"/>
        <v>0</v>
      </c>
      <c r="J49" s="62">
        <f t="shared" si="9"/>
        <v>0</v>
      </c>
      <c r="L49" s="375"/>
      <c r="M49" s="376"/>
      <c r="N49" s="376"/>
      <c r="O49" s="376"/>
      <c r="P49" s="376"/>
      <c r="Q49" s="377"/>
    </row>
    <row r="50" spans="2:17">
      <c r="B50" s="39"/>
      <c r="C50" s="113">
        <v>0</v>
      </c>
      <c r="D50" s="120">
        <f>IFERROR(VLOOKUP(B50,'Expenses &amp; Materials'!$B$3:$C$9,2,FALSE),0)</f>
        <v>0</v>
      </c>
      <c r="E50" s="517">
        <f t="shared" si="7"/>
        <v>0</v>
      </c>
      <c r="F50" s="518"/>
      <c r="G50" s="141" t="s">
        <v>390</v>
      </c>
      <c r="H50" s="153">
        <f>Baseline!$G$9</f>
        <v>0.15</v>
      </c>
      <c r="I50" s="163">
        <f t="shared" si="8"/>
        <v>0</v>
      </c>
      <c r="J50" s="62">
        <f t="shared" si="9"/>
        <v>0</v>
      </c>
      <c r="L50" s="375"/>
      <c r="M50" s="376"/>
      <c r="N50" s="376"/>
      <c r="O50" s="376"/>
      <c r="P50" s="376"/>
      <c r="Q50" s="377"/>
    </row>
    <row r="51" spans="2:17">
      <c r="B51" s="39"/>
      <c r="C51" s="113">
        <v>0</v>
      </c>
      <c r="D51" s="120">
        <f>IFERROR(VLOOKUP(B51,'Expenses &amp; Materials'!$B$3:$C$9,2,FALSE),0)</f>
        <v>0</v>
      </c>
      <c r="E51" s="517">
        <f t="shared" si="7"/>
        <v>0</v>
      </c>
      <c r="F51" s="518"/>
      <c r="G51" s="141" t="s">
        <v>390</v>
      </c>
      <c r="H51" s="153">
        <f>Baseline!$G$9</f>
        <v>0.15</v>
      </c>
      <c r="I51" s="163">
        <f t="shared" si="8"/>
        <v>0</v>
      </c>
      <c r="J51" s="62">
        <f t="shared" si="9"/>
        <v>0</v>
      </c>
      <c r="L51" s="375"/>
      <c r="M51" s="376"/>
      <c r="N51" s="376"/>
      <c r="O51" s="376"/>
      <c r="P51" s="376"/>
      <c r="Q51" s="377"/>
    </row>
    <row r="52" spans="2:17">
      <c r="B52" s="6"/>
      <c r="C52" s="135"/>
      <c r="D52" s="135" t="str">
        <f>IF(C3="Project",C2&amp;" Travel &amp; Living Cost:",C2&amp;" Per Unit Travel &amp; Living Cost:")</f>
        <v>Workplace Per Unit Travel &amp; Living Cost:</v>
      </c>
      <c r="E52" s="519">
        <f>SUM(E44:E51)</f>
        <v>0</v>
      </c>
      <c r="F52" s="520"/>
      <c r="G52" s="143" t="s">
        <v>410</v>
      </c>
      <c r="H52" s="142" t="str">
        <f>IFERROR((J52-E52)/J52,"TBD")</f>
        <v>TBD</v>
      </c>
      <c r="I52" s="8" t="s">
        <v>411</v>
      </c>
      <c r="J52" s="137">
        <f>SUM(J44:J51)</f>
        <v>0</v>
      </c>
      <c r="L52" s="375"/>
      <c r="M52" s="376"/>
      <c r="N52" s="376"/>
      <c r="O52" s="376"/>
      <c r="P52" s="376"/>
      <c r="Q52" s="377"/>
    </row>
    <row r="53" spans="2:17">
      <c r="L53" s="375"/>
      <c r="M53" s="376"/>
      <c r="N53" s="376"/>
      <c r="O53" s="376"/>
      <c r="P53" s="376"/>
      <c r="Q53" s="377"/>
    </row>
    <row r="54" spans="2:17">
      <c r="B54" s="7" t="str">
        <f>C2&amp;" Material &amp; Other Cost Factors:"</f>
        <v>Workplace Material &amp; Other Cost Factors:</v>
      </c>
      <c r="C54" s="126"/>
      <c r="D54" s="126"/>
      <c r="E54" s="126"/>
      <c r="F54" s="126"/>
      <c r="G54" s="126"/>
      <c r="H54" s="126"/>
      <c r="I54" s="126"/>
      <c r="J54" s="126"/>
      <c r="L54" s="375"/>
      <c r="M54" s="376"/>
      <c r="N54" s="376"/>
      <c r="O54" s="376"/>
      <c r="P54" s="376"/>
      <c r="Q54" s="377"/>
    </row>
    <row r="55" spans="2:17">
      <c r="B55" s="4" t="s">
        <v>404</v>
      </c>
      <c r="C55" s="4" t="s">
        <v>405</v>
      </c>
      <c r="D55" s="4" t="s">
        <v>406</v>
      </c>
      <c r="E55" s="515" t="s">
        <v>383</v>
      </c>
      <c r="F55" s="516"/>
      <c r="G55" s="4" t="s">
        <v>384</v>
      </c>
      <c r="H55" s="13" t="s">
        <v>385</v>
      </c>
      <c r="I55" s="4" t="s">
        <v>412</v>
      </c>
      <c r="J55" s="4" t="s">
        <v>413</v>
      </c>
      <c r="L55" s="375"/>
      <c r="M55" s="376"/>
      <c r="N55" s="376"/>
      <c r="O55" s="376"/>
      <c r="P55" s="376"/>
      <c r="Q55" s="377"/>
    </row>
    <row r="56" spans="2:17">
      <c r="B56" s="39"/>
      <c r="C56" s="113">
        <v>0</v>
      </c>
      <c r="D56" s="120">
        <f>IFERROR(VLOOKUP(B56,'Expenses &amp; Materials'!$B$13:$C$18,2,FALSE),0)</f>
        <v>0</v>
      </c>
      <c r="E56" s="517">
        <f t="shared" ref="E56:E63" si="10">C56*D56</f>
        <v>0</v>
      </c>
      <c r="F56" s="518"/>
      <c r="G56" s="141" t="s">
        <v>390</v>
      </c>
      <c r="H56" s="153">
        <f>IFERROR(IF(G56="Specified Margin",Baseline!$G$10,(I56-D56)/I56),"TBD")</f>
        <v>0.15</v>
      </c>
      <c r="I56" s="163">
        <f>IFERROR(IF(G56="Specified Margin",D56/(1-H56),"Enter Sell Rate"),"TBD")</f>
        <v>0</v>
      </c>
      <c r="J56" s="62">
        <f>IFERROR(C56*I56,"TBD")</f>
        <v>0</v>
      </c>
      <c r="L56" s="372"/>
      <c r="M56" s="373"/>
      <c r="N56" s="373"/>
      <c r="O56" s="373"/>
      <c r="P56" s="373"/>
      <c r="Q56" s="374"/>
    </row>
    <row r="57" spans="2:17">
      <c r="B57" s="39"/>
      <c r="C57" s="113">
        <v>0</v>
      </c>
      <c r="D57" s="120">
        <f>IFERROR(VLOOKUP(B57,'Expenses &amp; Materials'!$B$13:$C$18,2,FALSE),0)</f>
        <v>0</v>
      </c>
      <c r="E57" s="517">
        <f t="shared" si="10"/>
        <v>0</v>
      </c>
      <c r="F57" s="518"/>
      <c r="G57" s="141" t="s">
        <v>390</v>
      </c>
      <c r="H57" s="153">
        <f>Baseline!$G$10</f>
        <v>0.15</v>
      </c>
      <c r="I57" s="163">
        <f t="shared" ref="I57:I63" si="11">IFERROR(IF(G57="Specified Margin",D57/(1-H57),"Enter Sell Rate"),"TBD")</f>
        <v>0</v>
      </c>
      <c r="J57" s="62">
        <f t="shared" ref="J57:J63" si="12">IFERROR(C57*I57,"TBD")</f>
        <v>0</v>
      </c>
    </row>
    <row r="58" spans="2:17">
      <c r="B58" s="39"/>
      <c r="C58" s="113">
        <v>0</v>
      </c>
      <c r="D58" s="120">
        <f>IFERROR(VLOOKUP(B58,'Expenses &amp; Materials'!$B$13:$C$18,2,FALSE),0)</f>
        <v>0</v>
      </c>
      <c r="E58" s="517">
        <f t="shared" si="10"/>
        <v>0</v>
      </c>
      <c r="F58" s="518"/>
      <c r="G58" s="141" t="s">
        <v>390</v>
      </c>
      <c r="H58" s="153">
        <f>Baseline!$G$10</f>
        <v>0.15</v>
      </c>
      <c r="I58" s="163">
        <f t="shared" si="11"/>
        <v>0</v>
      </c>
      <c r="J58" s="62">
        <f t="shared" si="12"/>
        <v>0</v>
      </c>
      <c r="L58" s="7" t="str">
        <f>C2&amp;" Financial Breakdown:"</f>
        <v>Workplace Financial Breakdown:</v>
      </c>
      <c r="M58" s="126"/>
      <c r="N58" s="126"/>
      <c r="O58" s="126"/>
      <c r="P58" s="126"/>
      <c r="Q58" s="126"/>
    </row>
    <row r="59" spans="2:17">
      <c r="B59" s="39"/>
      <c r="C59" s="113">
        <v>0</v>
      </c>
      <c r="D59" s="120">
        <f>IFERROR(VLOOKUP(B59,'Expenses &amp; Materials'!$B$13:$C$18,2,FALSE),0)</f>
        <v>0</v>
      </c>
      <c r="E59" s="517">
        <f t="shared" si="10"/>
        <v>0</v>
      </c>
      <c r="F59" s="518"/>
      <c r="G59" s="141" t="s">
        <v>390</v>
      </c>
      <c r="H59" s="153">
        <f>Baseline!$G$10</f>
        <v>0.15</v>
      </c>
      <c r="I59" s="163">
        <f t="shared" si="11"/>
        <v>0</v>
      </c>
      <c r="J59" s="62">
        <f t="shared" si="12"/>
        <v>0</v>
      </c>
      <c r="L59" s="4" t="str">
        <f>C2&amp;" Cost Factors:"</f>
        <v>Workplace Cost Factors:</v>
      </c>
      <c r="M59" s="4" t="str">
        <f>"Total "&amp;C2&amp;" Cost:"</f>
        <v>Total Workplace Cost:</v>
      </c>
      <c r="N59" s="4" t="str">
        <f>C2&amp;" Cost/Unit:"</f>
        <v>Workplace Cost/Unit:</v>
      </c>
      <c r="O59" s="4" t="str">
        <f>IF(Baseline!G3="Variable Margin",C2&amp;" Blended Margin %:","Blended Margin %")</f>
        <v>Blended Margin %</v>
      </c>
      <c r="P59" s="128" t="str">
        <f>"Total "&amp;C2&amp;" Sell Price:"</f>
        <v>Total Workplace Sell Price:</v>
      </c>
      <c r="Q59" s="4" t="str">
        <f>C2&amp;" Sell Price/Unit:"</f>
        <v>Workplace Sell Price/Unit:</v>
      </c>
    </row>
    <row r="60" spans="2:17">
      <c r="B60" s="39"/>
      <c r="C60" s="113">
        <v>0</v>
      </c>
      <c r="D60" s="120">
        <f>IFERROR(VLOOKUP(B60,'Expenses &amp; Materials'!$B$13:$C$18,2,FALSE),0)</f>
        <v>0</v>
      </c>
      <c r="E60" s="517">
        <f t="shared" si="10"/>
        <v>0</v>
      </c>
      <c r="F60" s="518"/>
      <c r="G60" s="141" t="s">
        <v>390</v>
      </c>
      <c r="H60" s="153">
        <f>Baseline!$G$10</f>
        <v>0.15</v>
      </c>
      <c r="I60" s="163">
        <f t="shared" si="11"/>
        <v>0</v>
      </c>
      <c r="J60" s="62">
        <f t="shared" si="12"/>
        <v>0</v>
      </c>
      <c r="L60" s="137" t="s">
        <v>280</v>
      </c>
      <c r="M60" s="62">
        <f>IF($C$3="Project",$H$28,$H$28*$C$4)</f>
        <v>0</v>
      </c>
      <c r="N60" s="53">
        <f>IF(C3="Project",$H$28/$C$4,$H$28)</f>
        <v>0</v>
      </c>
      <c r="O60" s="79" t="str">
        <f>J28</f>
        <v>TBD</v>
      </c>
      <c r="P60" s="133" t="str">
        <f>IFERROR(IF(Baseline!$G$3="Variable Margin",IF(C3="Project",M28,M28*C4),M60/$M$64*Baseline!$D$14),"TBD")</f>
        <v>TBD</v>
      </c>
      <c r="Q60" s="53" t="str">
        <f>IFERROR(P60/$C$4,"TBD")</f>
        <v>TBD</v>
      </c>
    </row>
    <row r="61" spans="2:17">
      <c r="B61" s="39"/>
      <c r="C61" s="113">
        <v>0</v>
      </c>
      <c r="D61" s="120">
        <f>IFERROR(VLOOKUP(B61,'Expenses &amp; Materials'!$B$13:$C$18,2,FALSE),0)</f>
        <v>0</v>
      </c>
      <c r="E61" s="517">
        <f t="shared" si="10"/>
        <v>0</v>
      </c>
      <c r="F61" s="518"/>
      <c r="G61" s="141" t="s">
        <v>390</v>
      </c>
      <c r="H61" s="153">
        <f>Baseline!$G$10</f>
        <v>0.15</v>
      </c>
      <c r="I61" s="163">
        <f t="shared" si="11"/>
        <v>0</v>
      </c>
      <c r="J61" s="62">
        <f t="shared" si="12"/>
        <v>0</v>
      </c>
      <c r="L61" s="137" t="s">
        <v>394</v>
      </c>
      <c r="M61" s="62">
        <f>IF($C$3="Project",$H$40,$H$40*$C$4)</f>
        <v>0</v>
      </c>
      <c r="N61" s="53">
        <f>IF(C3="Project",$H$40/$C$4,$H$40)</f>
        <v>0</v>
      </c>
      <c r="O61" s="79" t="str">
        <f>J40</f>
        <v>TBD</v>
      </c>
      <c r="P61" s="133" t="str">
        <f>IFERROR(IF(Baseline!$G$3="Variable Margin",IF(C3="Project",M40,M40*C4),M61/$M$64*Baseline!$D$14),"TBD")</f>
        <v>TBD</v>
      </c>
      <c r="Q61" s="53" t="str">
        <f>IFERROR(P61/$C$4,"TBD")</f>
        <v>TBD</v>
      </c>
    </row>
    <row r="62" spans="2:17">
      <c r="B62" s="39"/>
      <c r="C62" s="113">
        <v>0</v>
      </c>
      <c r="D62" s="120">
        <f>IFERROR(VLOOKUP(B62,'Expenses &amp; Materials'!$B$13:$C$18,2,FALSE),0)</f>
        <v>0</v>
      </c>
      <c r="E62" s="517">
        <f t="shared" si="10"/>
        <v>0</v>
      </c>
      <c r="F62" s="518"/>
      <c r="G62" s="141" t="s">
        <v>390</v>
      </c>
      <c r="H62" s="153">
        <f>Baseline!$G$10</f>
        <v>0.15</v>
      </c>
      <c r="I62" s="163">
        <f t="shared" si="11"/>
        <v>0</v>
      </c>
      <c r="J62" s="62">
        <f t="shared" si="12"/>
        <v>0</v>
      </c>
      <c r="L62" s="137" t="s">
        <v>238</v>
      </c>
      <c r="M62" s="62">
        <f>IF($C$3="Project",$E$52,$E$52*$C$4)</f>
        <v>0</v>
      </c>
      <c r="N62" s="53">
        <f>IF(C3="Project",$E$52/$C$4,$E$52)</f>
        <v>0</v>
      </c>
      <c r="O62" s="79" t="str">
        <f>H52</f>
        <v>TBD</v>
      </c>
      <c r="P62" s="133" t="str">
        <f>IFERROR(IF(Baseline!$G$3="Variable Margin",IF(C3="Project",J52,J52*C4),M62/$M$64*Baseline!$D$14),"TBD")</f>
        <v>TBD</v>
      </c>
      <c r="Q62" s="53" t="str">
        <f>IFERROR(P62/$C$4,"TBD")</f>
        <v>TBD</v>
      </c>
    </row>
    <row r="63" spans="2:17">
      <c r="B63" s="39"/>
      <c r="C63" s="113">
        <v>0</v>
      </c>
      <c r="D63" s="120">
        <f>IFERROR(VLOOKUP(B63,'Expenses &amp; Materials'!$B$13:$C$18,2,FALSE),0)</f>
        <v>0</v>
      </c>
      <c r="E63" s="517">
        <f t="shared" si="10"/>
        <v>0</v>
      </c>
      <c r="F63" s="518"/>
      <c r="G63" s="141" t="s">
        <v>390</v>
      </c>
      <c r="H63" s="153">
        <f>Baseline!$G$10</f>
        <v>0.15</v>
      </c>
      <c r="I63" s="163">
        <f t="shared" si="11"/>
        <v>0</v>
      </c>
      <c r="J63" s="62">
        <f t="shared" si="12"/>
        <v>0</v>
      </c>
      <c r="L63" s="137" t="s">
        <v>415</v>
      </c>
      <c r="M63" s="62">
        <f>IF($C$3="Project",$E$64,$E$64*$C$4)</f>
        <v>0</v>
      </c>
      <c r="N63" s="53">
        <f>IF(C3="Project",$E$64/$C$4,$E$64)</f>
        <v>0</v>
      </c>
      <c r="O63" s="79" t="str">
        <f>H64</f>
        <v>TBD</v>
      </c>
      <c r="P63" s="133" t="str">
        <f>IFERROR(IF(Baseline!$G$3="Variable Margin",IF(C3="Project",J64,J64*C4),M63/$M$64*Baseline!$D$14),"TBD")</f>
        <v>TBD</v>
      </c>
      <c r="Q63" s="53" t="str">
        <f>IFERROR(P63/$C$4,"TBD")</f>
        <v>TBD</v>
      </c>
    </row>
    <row r="64" spans="2:17">
      <c r="B64" s="6"/>
      <c r="C64" s="135"/>
      <c r="D64" s="6" t="str">
        <f>IF(C3="Project",C2&amp;" Material &amp; Other Cost:",C2&amp;" Per Unit Material &amp; Other Cost:")</f>
        <v>Workplace Per Unit Material &amp; Other Cost:</v>
      </c>
      <c r="E64" s="519">
        <f>SUM(E56:E63)</f>
        <v>0</v>
      </c>
      <c r="F64" s="520"/>
      <c r="G64" s="143" t="s">
        <v>416</v>
      </c>
      <c r="H64" s="142" t="str">
        <f>IFERROR((J64-E64)/J64,"TBD")</f>
        <v>TBD</v>
      </c>
      <c r="I64" s="8" t="s">
        <v>417</v>
      </c>
      <c r="J64" s="137">
        <f>SUM(J56:J63)</f>
        <v>0</v>
      </c>
      <c r="L64" s="137" t="s">
        <v>418</v>
      </c>
      <c r="M64" s="137">
        <f>SUM(M60:M63)</f>
        <v>0</v>
      </c>
      <c r="N64" s="8">
        <f>IFERROR(M64/C4,"TBD")</f>
        <v>0</v>
      </c>
      <c r="O64" s="77" t="str">
        <f>IFERROR((P64-M64)/P64,"TBD")</f>
        <v>TBD</v>
      </c>
      <c r="P64" s="143">
        <f>SUM(P60:P63)</f>
        <v>0</v>
      </c>
      <c r="Q64" s="8">
        <f>SUM(Q60:Q63)</f>
        <v>0</v>
      </c>
    </row>
  </sheetData>
  <sheetProtection algorithmName="SHA-512" hashValue="kaRfvRTjNIRHF5Ah4eC8yUta5mrKaJ9BbLK6qozakJ0PDFepZRHscRVcKvWAK0vej3nwjZylhCRRoXFcIBAEdw==" saltValue="qGLKsP3Jpm4DfVczYX8npA==" spinCount="100000" sheet="1" objects="1" scenarios="1"/>
  <mergeCells count="77">
    <mergeCell ref="E61:F61"/>
    <mergeCell ref="E62:F62"/>
    <mergeCell ref="E63:F63"/>
    <mergeCell ref="E64:F64"/>
    <mergeCell ref="K13:L13"/>
    <mergeCell ref="K14:L14"/>
    <mergeCell ref="K15:L15"/>
    <mergeCell ref="K16:L16"/>
    <mergeCell ref="K17:L17"/>
    <mergeCell ref="K18:L18"/>
    <mergeCell ref="K19:L19"/>
    <mergeCell ref="K20:L20"/>
    <mergeCell ref="K21:L21"/>
    <mergeCell ref="K31:L31"/>
    <mergeCell ref="E56:F56"/>
    <mergeCell ref="E57:F57"/>
    <mergeCell ref="E59:F59"/>
    <mergeCell ref="E60:F60"/>
    <mergeCell ref="E55:F55"/>
    <mergeCell ref="E44:F44"/>
    <mergeCell ref="E45:F45"/>
    <mergeCell ref="E46:F46"/>
    <mergeCell ref="E47:F47"/>
    <mergeCell ref="E48:F48"/>
    <mergeCell ref="E49:F49"/>
    <mergeCell ref="E50:F50"/>
    <mergeCell ref="E51:F51"/>
    <mergeCell ref="E52:F52"/>
    <mergeCell ref="K34:L34"/>
    <mergeCell ref="K35:L35"/>
    <mergeCell ref="K36:L36"/>
    <mergeCell ref="K37:L37"/>
    <mergeCell ref="E58:F58"/>
    <mergeCell ref="E43:F43"/>
    <mergeCell ref="K38:L38"/>
    <mergeCell ref="K39:L39"/>
    <mergeCell ref="K40:L40"/>
    <mergeCell ref="L56:Q56"/>
    <mergeCell ref="L51:Q51"/>
    <mergeCell ref="L52:Q52"/>
    <mergeCell ref="L53:Q53"/>
    <mergeCell ref="L54:Q54"/>
    <mergeCell ref="L55:Q55"/>
    <mergeCell ref="J4:K4"/>
    <mergeCell ref="K26:L26"/>
    <mergeCell ref="K27:L27"/>
    <mergeCell ref="K28:L28"/>
    <mergeCell ref="K32:L32"/>
    <mergeCell ref="K10:L10"/>
    <mergeCell ref="K11:L11"/>
    <mergeCell ref="K22:L22"/>
    <mergeCell ref="K23:L23"/>
    <mergeCell ref="K9:L9"/>
    <mergeCell ref="K12:L12"/>
    <mergeCell ref="K25:L25"/>
    <mergeCell ref="K33:L33"/>
    <mergeCell ref="J3:K3"/>
    <mergeCell ref="L50:Q50"/>
    <mergeCell ref="N31:Q31"/>
    <mergeCell ref="N32:Q32"/>
    <mergeCell ref="N38:Q38"/>
    <mergeCell ref="N39:Q39"/>
    <mergeCell ref="L43:Q43"/>
    <mergeCell ref="L44:Q44"/>
    <mergeCell ref="L45:Q45"/>
    <mergeCell ref="L46:Q46"/>
    <mergeCell ref="L47:Q47"/>
    <mergeCell ref="L48:Q48"/>
    <mergeCell ref="L49:Q49"/>
    <mergeCell ref="K8:L8"/>
    <mergeCell ref="K24:L24"/>
    <mergeCell ref="N27:Q27"/>
    <mergeCell ref="N7:Q7"/>
    <mergeCell ref="N8:Q8"/>
    <mergeCell ref="N24:Q24"/>
    <mergeCell ref="N25:Q25"/>
    <mergeCell ref="N26:Q26"/>
  </mergeCells>
  <conditionalFormatting sqref="M3">
    <cfRule type="expression" dxfId="130" priority="23">
      <formula>H3="Partner"</formula>
    </cfRule>
  </conditionalFormatting>
  <conditionalFormatting sqref="G32">
    <cfRule type="expression" dxfId="129" priority="34">
      <formula>B32="Partner"</formula>
    </cfRule>
  </conditionalFormatting>
  <conditionalFormatting sqref="G33:G39">
    <cfRule type="expression" dxfId="128" priority="33">
      <formula>B33="Partner"</formula>
    </cfRule>
  </conditionalFormatting>
  <conditionalFormatting sqref="D44:D51">
    <cfRule type="expression" dxfId="127" priority="29">
      <formula>OR(B44="Roundtrip Airfare",B44="Metro City Hotel",B44="Non-Metro City Hotel",B44="Vehicle/Taxi/Uber",B44="Per Diem")=TRUE</formula>
    </cfRule>
  </conditionalFormatting>
  <conditionalFormatting sqref="D56">
    <cfRule type="expression" dxfId="126" priority="28">
      <formula>OR(B56="Background Check",B56="Storage (Per Pallet)")=TRUE</formula>
    </cfRule>
  </conditionalFormatting>
  <conditionalFormatting sqref="D57 D59 D61:D62">
    <cfRule type="expression" dxfId="125" priority="27">
      <formula>OR(B57="Background Check",B57="Storage (Per Pallet)")=TRUE</formula>
    </cfRule>
  </conditionalFormatting>
  <conditionalFormatting sqref="D63 D58 D60">
    <cfRule type="expression" dxfId="124" priority="26">
      <formula>OR(B58="Background Check",B58="Storage (Per Pallet)")=TRUE</formula>
    </cfRule>
  </conditionalFormatting>
  <conditionalFormatting sqref="H3:H4">
    <cfRule type="expression" dxfId="123" priority="24">
      <formula>C3="Partner"</formula>
    </cfRule>
  </conditionalFormatting>
  <conditionalFormatting sqref="J3">
    <cfRule type="cellIs" dxfId="122" priority="22" operator="lessThan">
      <formula>0.375</formula>
    </cfRule>
  </conditionalFormatting>
  <conditionalFormatting sqref="J32:J39">
    <cfRule type="expression" dxfId="121" priority="18">
      <formula>I32="Specified Sell Rate"</formula>
    </cfRule>
  </conditionalFormatting>
  <conditionalFormatting sqref="K8:K27">
    <cfRule type="expression" dxfId="120" priority="14">
      <formula>K8="Enter Sell Rate"</formula>
    </cfRule>
    <cfRule type="expression" dxfId="119" priority="15">
      <formula>I8="Specified Margin"</formula>
    </cfRule>
  </conditionalFormatting>
  <conditionalFormatting sqref="K32:K39">
    <cfRule type="expression" dxfId="118" priority="10">
      <formula>K32="Enter Sell Rate"</formula>
    </cfRule>
    <cfRule type="expression" dxfId="117" priority="11">
      <formula>I32="Specified Margin"</formula>
    </cfRule>
  </conditionalFormatting>
  <conditionalFormatting sqref="H44:H51">
    <cfRule type="expression" dxfId="116" priority="9">
      <formula>OR(E44="Roundtrip Airfare",E44="Metro City Hotel",E44="Non-Metro City Hotel",E44="Vehicle/Taxi/Uber",E44="Per Diem")=TRUE</formula>
    </cfRule>
  </conditionalFormatting>
  <conditionalFormatting sqref="I44:I51">
    <cfRule type="expression" dxfId="115" priority="7">
      <formula>I44="Enter Sell Rate"</formula>
    </cfRule>
    <cfRule type="expression" dxfId="114" priority="8">
      <formula>G44="Specified Sell Rate"</formula>
    </cfRule>
  </conditionalFormatting>
  <conditionalFormatting sqref="H56:H63">
    <cfRule type="expression" dxfId="113" priority="6">
      <formula>OR(E56="Roundtrip Airfare",E56="Metro City Hotel",E56="Non-Metro City Hotel",E56="Vehicle/Taxi/Uber",E56="Per Diem")=TRUE</formula>
    </cfRule>
  </conditionalFormatting>
  <conditionalFormatting sqref="I56:I63">
    <cfRule type="expression" dxfId="112" priority="4">
      <formula>I56="Enter Sell Rate"</formula>
    </cfRule>
    <cfRule type="expression" dxfId="111" priority="5">
      <formula>G56="Specified Sell Rate"</formula>
    </cfRule>
  </conditionalFormatting>
  <conditionalFormatting sqref="J8:J27">
    <cfRule type="expression" dxfId="110" priority="3">
      <formula>I8="Specified Sell Rate"</formula>
    </cfRule>
  </conditionalFormatting>
  <dataValidations count="8">
    <dataValidation type="list" allowBlank="1" showInputMessage="1" sqref="C3" xr:uid="{00000000-0002-0000-0700-000002000000}">
      <formula1>"Project, Per Unit"</formula1>
    </dataValidation>
    <dataValidation type="list" allowBlank="1" showInputMessage="1" showErrorMessage="1" sqref="E32:E39" xr:uid="{00000000-0002-0000-0700-000000000000}">
      <formula1>"Regular,OT"</formula1>
    </dataValidation>
    <dataValidation type="list" allowBlank="1" showInputMessage="1" showErrorMessage="1" sqref="B32:B39" xr:uid="{00000000-0002-0000-0700-000001000000}">
      <formula1>"Field Nation,Partner"</formula1>
    </dataValidation>
    <dataValidation type="list" allowBlank="1" showInputMessage="1" showErrorMessage="1" sqref="G56:G63 G44:G51 I32:I39 I8:I27" xr:uid="{5D590862-9D52-494D-BD5B-B15126805E5A}">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D63304C6-3CCD-4E6B-ADE7-FBFD53CA5BE1}">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A4668DDC-041A-470E-BCC8-D47D41FBD43F}">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EDD08EB7-38F0-4716-9BD3-F546C23204FA}">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K32:L39 I44:I51 I56:I63" xr:uid="{C00C3FFF-1271-448A-BC64-65F8FC3A76BC}">
      <formula1>G32="Specified Sell Rate"</formula1>
    </dataValidation>
  </dataValidations>
  <pageMargins left="0.7" right="0.7" top="0.75" bottom="0.75" header="0.3" footer="0.3"/>
  <pageSetup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428" id="{C6284EA6-0334-46D6-ABF4-B226E21E9580}">
            <xm:f>Baseline!$D$6="Department Based"</xm:f>
            <x14:dxf>
              <font>
                <color theme="3" tint="0.59996337778862885"/>
              </font>
            </x14:dxf>
          </x14:cfRule>
          <xm:sqref>D2:D3</xm:sqref>
        </x14:conditionalFormatting>
        <x14:conditionalFormatting xmlns:xm="http://schemas.microsoft.com/office/excel/2006/main">
          <x14:cfRule type="expression" priority="429" id="{8C6492B5-6517-4BC7-8D41-5DB4DF9A7DE4}">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30" id="{A080F316-738F-41D8-9394-6E45ADAFAA05}">
            <xm:f>Baseline!$D$6="Phase Based"</xm:f>
            <x14:dxf>
              <fill>
                <patternFill>
                  <bgColor theme="2" tint="-0.24994659260841701"/>
                </patternFill>
              </fill>
            </x14:dxf>
          </x14:cfRule>
          <xm:sqref>B8</xm:sqref>
        </x14:conditionalFormatting>
        <x14:conditionalFormatting xmlns:xm="http://schemas.microsoft.com/office/excel/2006/main">
          <x14:cfRule type="expression" priority="2" id="{FDAA587A-736D-40A4-BB0F-C9ACF2AA1B5C}">
            <xm:f>'COLA (WIP)'!$C$4="Yes"</xm:f>
            <x14:dxf>
              <fill>
                <patternFill>
                  <bgColor theme="0"/>
                </patternFill>
              </fill>
            </x14:dxf>
          </x14:cfRule>
          <xm:sqref>E4</xm:sqref>
        </x14:conditionalFormatting>
        <x14:conditionalFormatting xmlns:xm="http://schemas.microsoft.com/office/excel/2006/main">
          <x14:cfRule type="expression" priority="1" id="{4CA45F56-C3AC-4F6D-9EA3-56D98FEC199B}">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700-000003000000}">
          <x14:formula1>
            <xm:f>IF(B32="Field Nation",'Resource Descriptions'!$D$116:$D$119,'Resource Descriptions'!$D$120)</xm:f>
          </x14:formula1>
          <xm:sqref>C32:C39</xm:sqref>
        </x14:dataValidation>
        <x14:dataValidation type="list" allowBlank="1" showInputMessage="1" xr:uid="{00000000-0002-0000-0700-000007000000}">
          <x14:formula1>
            <xm:f>'Expenses &amp; Materials'!$B$4:$B$10</xm:f>
          </x14:formula1>
          <xm:sqref>B44:B51</xm:sqref>
        </x14:dataValidation>
        <x14:dataValidation type="list" allowBlank="1" showInputMessage="1" xr:uid="{00000000-0002-0000-0700-000006000000}">
          <x14:formula1>
            <xm:f>'Expenses &amp; Materials'!$B$14:$B$16</xm:f>
          </x14:formula1>
          <xm:sqref>B56:B63</xm:sqref>
        </x14:dataValidation>
        <x14:dataValidation type="list" allowBlank="1" showInputMessage="1" showErrorMessage="1" xr:uid="{A02134F5-16FD-4FB1-AC6C-C451B704ABD8}">
          <x14:formula1>
            <xm:f>'Data Tables'!$B$4:$B$15</xm:f>
          </x14:formula1>
          <xm:sqref>B8:B27</xm:sqref>
        </x14:dataValidation>
        <x14:dataValidation type="list" allowBlank="1" showInputMessage="1" showErrorMessage="1" xr:uid="{171C5143-B0D6-4589-A2F2-C893B05EC53F}">
          <x14:formula1>
            <xm:f>OFFSET('Resource Descriptions'!$D$6,VLOOKUP(B8,'Data Tables'!$B$3:$E$17,2,FALSE),0,VLOOKUP(B8,'Data Tables'!$B$3:$E$17,4,FALSE),1)</xm:f>
          </x14:formula1>
          <xm:sqref>C8:C27</xm:sqref>
        </x14:dataValidation>
        <x14:dataValidation type="list" allowBlank="1" showInputMessage="1" showErrorMessage="1" xr:uid="{369D368A-F4CC-408F-A961-243742021757}">
          <x14:formula1>
            <xm:f>OFFSET('Data Tables'!$C$20,VLOOKUP(C8,'Data Tables'!$G$17:$J$118,2,FALSE),0,VLOOKUP(C8,'Data Tables'!$G$17:$J$118,4,FALSE),1)</xm:f>
          </x14:formula1>
          <xm:sqref>E8:E27</xm:sqref>
        </x14:dataValidation>
        <x14:dataValidation type="list" allowBlank="1" showInputMessage="1" showErrorMessage="1" xr:uid="{C939A101-AD35-4AFE-8540-3A9B4AC7B005}">
          <x14:formula1>
            <xm:f>IF('COLA (WIP)'!C4="Yes",'COLA (WIP)'!$D$10:$M$10,"")</xm:f>
          </x14:formula1>
          <xm:sqref>E4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2:Q64"/>
  <sheetViews>
    <sheetView showGridLines="0" zoomScale="80" zoomScaleNormal="80" workbookViewId="0">
      <selection activeCell="C2" sqref="C2"/>
    </sheetView>
  </sheetViews>
  <sheetFormatPr defaultColWidth="8.85546875" defaultRowHeight="15"/>
  <cols>
    <col min="1" max="1" width="3.42578125" style="33" customWidth="1"/>
    <col min="2" max="2" width="28.42578125" style="33" bestFit="1" customWidth="1"/>
    <col min="3" max="3" width="32.140625" style="33" bestFit="1" customWidth="1"/>
    <col min="4" max="5" width="20.42578125" style="33" customWidth="1"/>
    <col min="6" max="6" width="3.42578125" style="33" customWidth="1"/>
    <col min="7" max="10" width="23.42578125" style="33" customWidth="1"/>
    <col min="11" max="11" width="3.42578125" style="33" customWidth="1"/>
    <col min="12" max="17" width="23.42578125" style="33" customWidth="1"/>
    <col min="18" max="16384" width="8.85546875" style="33"/>
  </cols>
  <sheetData>
    <row r="2" spans="1:17">
      <c r="A2" s="109"/>
      <c r="B2" s="121" t="s">
        <v>370</v>
      </c>
      <c r="C2" s="110" t="str">
        <f>IF(Baseline!D6='Data Tables'!L3,'Data Tables'!L9,IF(Baseline!D6='Data Tables'!M3,'Data Tables'!M9,'Data Tables'!N9))</f>
        <v>Integration</v>
      </c>
      <c r="D2" s="34" t="s">
        <v>371</v>
      </c>
      <c r="E2" s="111" t="s">
        <v>372</v>
      </c>
      <c r="G2" s="122" t="s">
        <v>373</v>
      </c>
      <c r="H2" s="122"/>
      <c r="I2" s="123"/>
      <c r="J2" s="7"/>
      <c r="K2" s="7"/>
      <c r="L2" s="7"/>
      <c r="M2" s="7"/>
    </row>
    <row r="3" spans="1:17">
      <c r="B3" s="4" t="s">
        <v>374</v>
      </c>
      <c r="C3" s="39" t="str">
        <f>IF(Baseline!D6="Department Based","Per Unit","Project")</f>
        <v>Per Unit</v>
      </c>
      <c r="D3" s="34" t="s">
        <v>375</v>
      </c>
      <c r="E3" s="39">
        <v>0</v>
      </c>
      <c r="G3" s="4" t="str">
        <f>C2&amp;" Price:"</f>
        <v>Integration Price:</v>
      </c>
      <c r="H3" s="124">
        <f>P64</f>
        <v>0</v>
      </c>
      <c r="I3" s="4" t="s">
        <v>303</v>
      </c>
      <c r="J3" s="384">
        <f>Baseline!$G$24</f>
        <v>0.41046428571428573</v>
      </c>
      <c r="K3" s="385"/>
      <c r="L3" s="4" t="s">
        <v>376</v>
      </c>
      <c r="M3" s="124">
        <f>Baseline!$D$24</f>
        <v>28000</v>
      </c>
    </row>
    <row r="4" spans="1:17">
      <c r="B4" s="4" t="s">
        <v>322</v>
      </c>
      <c r="C4" s="110">
        <f>Baseline!D8</f>
        <v>1</v>
      </c>
      <c r="D4" s="224" t="s">
        <v>377</v>
      </c>
      <c r="E4" s="225"/>
      <c r="G4" s="4" t="str">
        <f>C2&amp;" Blended Margin %:"</f>
        <v>Integration Blended Margin %:</v>
      </c>
      <c r="H4" s="125" t="str">
        <f>O64</f>
        <v>TBD</v>
      </c>
      <c r="I4" s="4" t="s">
        <v>306</v>
      </c>
      <c r="J4" s="384">
        <f ca="1">Baseline!$G$27</f>
        <v>0.37715551785714285</v>
      </c>
      <c r="K4" s="385"/>
      <c r="L4" s="4" t="s">
        <v>378</v>
      </c>
      <c r="M4" s="77">
        <f ca="1">Baseline!$J$5</f>
        <v>8.6024110983219243E-2</v>
      </c>
    </row>
    <row r="6" spans="1:17">
      <c r="B6" s="7" t="str">
        <f>C2&amp;" Resource Cost Factors:"</f>
        <v>Integration Resource Cost Factors:</v>
      </c>
      <c r="C6" s="7"/>
      <c r="D6" s="126"/>
      <c r="E6" s="126"/>
      <c r="F6" s="126"/>
      <c r="G6" s="126"/>
      <c r="H6" s="126"/>
      <c r="I6" s="126"/>
      <c r="J6" s="126"/>
      <c r="K6" s="126"/>
      <c r="L6" s="126"/>
      <c r="M6" s="126"/>
      <c r="N6" s="126"/>
      <c r="O6" s="126"/>
      <c r="P6" s="126"/>
      <c r="Q6" s="127"/>
    </row>
    <row r="7" spans="1:17">
      <c r="B7" s="4" t="s">
        <v>379</v>
      </c>
      <c r="C7" s="4" t="s">
        <v>280</v>
      </c>
      <c r="D7" s="4" t="s">
        <v>380</v>
      </c>
      <c r="E7" s="128" t="s">
        <v>381</v>
      </c>
      <c r="F7" s="128"/>
      <c r="G7" s="49" t="s">
        <v>382</v>
      </c>
      <c r="H7" s="49" t="s">
        <v>383</v>
      </c>
      <c r="I7" s="4" t="s">
        <v>384</v>
      </c>
      <c r="J7" s="4" t="s">
        <v>385</v>
      </c>
      <c r="K7" s="129"/>
      <c r="L7" s="129" t="s">
        <v>386</v>
      </c>
      <c r="M7" s="4" t="s">
        <v>387</v>
      </c>
      <c r="N7" s="381" t="s">
        <v>388</v>
      </c>
      <c r="O7" s="382"/>
      <c r="P7" s="382"/>
      <c r="Q7" s="383"/>
    </row>
    <row r="8" spans="1:17">
      <c r="B8" s="39" t="str">
        <f>IF(Baseline!$D$6="Department Based","Integration","PMO")</f>
        <v>Integration</v>
      </c>
      <c r="C8" s="39" t="str">
        <f>IF(Baseline!$D$6="Department Based","Integration Center 1","")</f>
        <v>Integration Center 1</v>
      </c>
      <c r="D8" s="113">
        <v>0</v>
      </c>
      <c r="E8" s="113" t="s">
        <v>389</v>
      </c>
      <c r="F8" s="130"/>
      <c r="G8" s="131">
        <f>IFERROR(IF(E8="Regular",VLOOKUP(C8,Resource_Rates_Table[],3,FALSE),(IF(Integration!E8="OT",VLOOKUP(C8,Resource_Rates_Table[],4,FALSE),IF(E8="Regular/1st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25</v>
      </c>
      <c r="H8" s="132">
        <f>D8*G8</f>
        <v>0</v>
      </c>
      <c r="I8" s="141" t="s">
        <v>390</v>
      </c>
      <c r="J8" s="144">
        <f>IFERROR(IF(I8="Specified Margin",IFERROR(_xlfn.IFS(ISNUMBER(SEARCH("India",C8))=TRUE,Baseline!$G$6,ISNUMBER(SEARCH("Pakistan",C8))=TRUE,Baseline!$G$7),Baseline!$G$5),(K8-G8)/K8),"TBD")</f>
        <v>0.35</v>
      </c>
      <c r="K8" s="511">
        <f>IFERROR(IF(I8="Specified Margin",G8/(1-J8),"Enter Sell Rate"),"TBD")</f>
        <v>38.46153846153846</v>
      </c>
      <c r="L8" s="512"/>
      <c r="M8" s="149">
        <f>IFERROR(D8*K8,"TBD")</f>
        <v>0</v>
      </c>
      <c r="N8" s="340"/>
      <c r="O8" s="380"/>
      <c r="P8" s="380"/>
      <c r="Q8" s="341"/>
    </row>
    <row r="9" spans="1:17">
      <c r="B9" s="39" t="str">
        <f>IF(Baseline!$D$6="Department Based","Integration","")</f>
        <v>Integration</v>
      </c>
      <c r="C9" s="39" t="str">
        <f>IF(Baseline!$D$6="Department Based","Integration Center 1","")</f>
        <v>Integration Center 1</v>
      </c>
      <c r="D9" s="113">
        <v>0</v>
      </c>
      <c r="E9" s="113" t="s">
        <v>389</v>
      </c>
      <c r="F9" s="130"/>
      <c r="G9" s="131">
        <f>IFERROR(IF(E9="Regular",VLOOKUP(C9,Resource_Rates_Table[],3,FALSE),(IF(Integration!E9="OT",VLOOKUP(C9,Resource_Rates_Table[],4,FALSE),IF(E9="Regular/1st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25</v>
      </c>
      <c r="H9" s="62">
        <f>D9*G9</f>
        <v>0</v>
      </c>
      <c r="I9" s="141" t="s">
        <v>390</v>
      </c>
      <c r="J9" s="144">
        <f>IFERROR(IF(I9="Specified Margin",IFERROR(_xlfn.IFS(ISNUMBER(SEARCH("India",C9))=TRUE,Baseline!$G$6,ISNUMBER(SEARCH("Pakistan",C9))=TRUE,Baseline!$G$7),Baseline!$G$5),(K9-G9)/K9),"TBD")</f>
        <v>0.35</v>
      </c>
      <c r="K9" s="511">
        <f t="shared" ref="K9:K27" si="0">IFERROR(IF(I9="Specified Margin",G9/(1-J9),"Enter Sell Rate"),"TBD")</f>
        <v>38.46153846153846</v>
      </c>
      <c r="L9" s="512"/>
      <c r="M9" s="149">
        <f>IFERROR(D9*K9,"TBD")</f>
        <v>0</v>
      </c>
      <c r="N9" s="116"/>
      <c r="O9" s="117"/>
      <c r="P9" s="117"/>
      <c r="Q9" s="118"/>
    </row>
    <row r="10" spans="1:17">
      <c r="B10" s="39" t="str">
        <f>IF(Baseline!$D$6="Department Based","Integration","")</f>
        <v>Integration</v>
      </c>
      <c r="C10" s="39" t="str">
        <f>IF(Baseline!$D$6="Department Based","Integration Center 2","")</f>
        <v>Integration Center 2</v>
      </c>
      <c r="D10" s="113">
        <v>0</v>
      </c>
      <c r="E10" s="113" t="s">
        <v>389</v>
      </c>
      <c r="F10" s="130"/>
      <c r="G10" s="131">
        <f>IFERROR(IF(E10="Regular",VLOOKUP(C10,Resource_Rates_Table[],3,FALSE),(IF(Integration!E10="OT",VLOOKUP(C10,Resource_Rates_Table[],4,FALSE),IF(E10="Regular/1st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30</v>
      </c>
      <c r="H10" s="62">
        <f>D10*G10</f>
        <v>0</v>
      </c>
      <c r="I10" s="141" t="s">
        <v>390</v>
      </c>
      <c r="J10" s="144" cm="1">
        <f t="array" ref="J10">IFERROR(IF(I10="Specified Margin",IFERROR(_xlfn.IFS(ISNUMBER(SEARCH("India",C10))=TRUE,Baseline!$G$6,ISNUMBER(SEARCH("Pakistan",C10))=TRUE,Baseline!$G$7),Baseline!$G$5),(K10-G10)/K10),"TBD")</f>
        <v>0.35</v>
      </c>
      <c r="K10" s="511">
        <f t="shared" si="0"/>
        <v>46.153846153846153</v>
      </c>
      <c r="L10" s="512"/>
      <c r="M10" s="149">
        <f t="shared" ref="M10:M27" si="1">IFERROR(D10*K10,"TBD")</f>
        <v>0</v>
      </c>
      <c r="N10" s="116"/>
      <c r="O10" s="117"/>
      <c r="P10" s="117"/>
      <c r="Q10" s="118"/>
    </row>
    <row r="11" spans="1:17">
      <c r="B11" s="39" t="str">
        <f>IF(Baseline!$D$6="Department Based","Integration","")</f>
        <v>Integration</v>
      </c>
      <c r="C11" s="39" t="str">
        <f>IF(Baseline!$D$6="Department Based","Integration Center 2","")</f>
        <v>Integration Center 2</v>
      </c>
      <c r="D11" s="113">
        <v>0</v>
      </c>
      <c r="E11" s="113" t="s">
        <v>389</v>
      </c>
      <c r="F11" s="130"/>
      <c r="G11" s="131">
        <f>IFERROR(IF(E11="Regular",VLOOKUP(C11,Resource_Rates_Table[],3,FALSE),(IF(Integration!E11="OT",VLOOKUP(C11,Resource_Rates_Table[],4,FALSE),IF(E11="Regular/1st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30</v>
      </c>
      <c r="H11" s="62">
        <f>D11*G11</f>
        <v>0</v>
      </c>
      <c r="I11" s="141" t="s">
        <v>390</v>
      </c>
      <c r="J11" s="144" cm="1">
        <f t="array" ref="J11">IFERROR(IF(I11="Specified Margin",IFERROR(_xlfn.IFS(ISNUMBER(SEARCH("India",C11))=TRUE,Baseline!$G$6,ISNUMBER(SEARCH("Pakistan",C11))=TRUE,Baseline!$G$7),Baseline!$G$5),(K11-G11)/K11),"TBD")</f>
        <v>0.35</v>
      </c>
      <c r="K11" s="511">
        <f t="shared" si="0"/>
        <v>46.153846153846153</v>
      </c>
      <c r="L11" s="512"/>
      <c r="M11" s="149">
        <f t="shared" si="1"/>
        <v>0</v>
      </c>
      <c r="N11" s="116"/>
      <c r="O11" s="117"/>
      <c r="P11" s="117"/>
      <c r="Q11" s="118"/>
    </row>
    <row r="12" spans="1:17">
      <c r="B12" s="39" t="str">
        <f>IF(Baseline!$D$6="Department Based","Integration","")</f>
        <v>Integration</v>
      </c>
      <c r="C12" s="39" t="str">
        <f>IF(Baseline!$D$6="Department Based","Integration Center 3","")</f>
        <v>Integration Center 3</v>
      </c>
      <c r="D12" s="113">
        <v>0</v>
      </c>
      <c r="E12" s="113" t="s">
        <v>389</v>
      </c>
      <c r="F12" s="130"/>
      <c r="G12" s="131">
        <f>IFERROR(IF(E12="Regular",VLOOKUP(C12,Resource_Rates_Table[],3,FALSE),(IF(Integration!E12="OT",VLOOKUP(C12,Resource_Rates_Table[],4,FALSE),IF(E12="Regular/1st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35</v>
      </c>
      <c r="H12" s="62">
        <f>D12*G12</f>
        <v>0</v>
      </c>
      <c r="I12" s="141" t="s">
        <v>390</v>
      </c>
      <c r="J12" s="144" cm="1">
        <f t="array" ref="J12">IFERROR(IF(I12="Specified Margin",IFERROR(_xlfn.IFS(ISNUMBER(SEARCH("India",C12))=TRUE,Baseline!$G$6,ISNUMBER(SEARCH("Pakistan",C12))=TRUE,Baseline!$G$7),Baseline!$G$5),(K12-G12)/K12),"TBD")</f>
        <v>0.35</v>
      </c>
      <c r="K12" s="511">
        <f t="shared" si="0"/>
        <v>53.846153846153847</v>
      </c>
      <c r="L12" s="512"/>
      <c r="M12" s="149">
        <f t="shared" si="1"/>
        <v>0</v>
      </c>
      <c r="N12" s="116"/>
      <c r="O12" s="117"/>
      <c r="P12" s="117"/>
      <c r="Q12" s="118"/>
    </row>
    <row r="13" spans="1:17">
      <c r="B13" s="39"/>
      <c r="C13" s="39"/>
      <c r="D13" s="113">
        <v>0</v>
      </c>
      <c r="E13" s="113" t="s">
        <v>389</v>
      </c>
      <c r="F13" s="130"/>
      <c r="G13" s="131">
        <f>IFERROR(IF(E13="Regular",VLOOKUP(C13,Resource_Rates_Table[],3,FALSE),(IF(Integration!E13="OT",VLOOKUP(C13,Resource_Rates_Table[],4,FALSE),IF(E13="Regular/1st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ref="H13:H22" si="2">D13*G13</f>
        <v>0</v>
      </c>
      <c r="I13" s="141" t="s">
        <v>390</v>
      </c>
      <c r="J13" s="144" cm="1">
        <f t="array" ref="J13">IFERROR(IF(I13="Specified Margin",IFERROR(_xlfn.IFS(ISNUMBER(SEARCH("India",C13))=TRUE,Baseline!$G$6,ISNUMBER(SEARCH("Pakistan",C13))=TRUE,Baseline!$G$7),Baseline!$G$5),(K13-G13)/K13),"TBD")</f>
        <v>0.35</v>
      </c>
      <c r="K13" s="511">
        <f t="shared" si="0"/>
        <v>0</v>
      </c>
      <c r="L13" s="512"/>
      <c r="M13" s="149">
        <f t="shared" si="1"/>
        <v>0</v>
      </c>
      <c r="N13" s="116"/>
      <c r="O13" s="117"/>
      <c r="P13" s="117"/>
      <c r="Q13" s="118"/>
    </row>
    <row r="14" spans="1:17">
      <c r="B14" s="39"/>
      <c r="C14" s="39"/>
      <c r="D14" s="113">
        <v>0</v>
      </c>
      <c r="E14" s="113" t="s">
        <v>389</v>
      </c>
      <c r="F14" s="133"/>
      <c r="G14" s="131">
        <f>IFERROR(IF(E14="Regular",VLOOKUP(C14,Resource_Rates_Table[],3,FALSE),(IF(Integration!E14="OT",VLOOKUP(C14,Resource_Rates_Table[],4,FALSE),IF(E14="Regular/1st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390</v>
      </c>
      <c r="J14" s="144" cm="1">
        <f t="array" ref="J14">IFERROR(IF(I14="Specified Margin",IFERROR(_xlfn.IFS(ISNUMBER(SEARCH("India",C14))=TRUE,Baseline!$G$6,ISNUMBER(SEARCH("Pakistan",C14))=TRUE,Baseline!$G$7),Baseline!$G$5),(K14-G14)/K14),"TBD")</f>
        <v>0.35</v>
      </c>
      <c r="K14" s="511">
        <f t="shared" si="0"/>
        <v>0</v>
      </c>
      <c r="L14" s="512"/>
      <c r="M14" s="149">
        <f t="shared" si="1"/>
        <v>0</v>
      </c>
      <c r="N14" s="116"/>
      <c r="O14" s="117"/>
      <c r="P14" s="117"/>
      <c r="Q14" s="118"/>
    </row>
    <row r="15" spans="1:17">
      <c r="B15" s="39"/>
      <c r="C15" s="39"/>
      <c r="D15" s="113">
        <v>0</v>
      </c>
      <c r="E15" s="113" t="s">
        <v>389</v>
      </c>
      <c r="F15" s="130"/>
      <c r="G15" s="131">
        <f>IFERROR(IF(E15="Regular",VLOOKUP(C15,Resource_Rates_Table[],3,FALSE),(IF(Integration!E15="OT",VLOOKUP(C15,Resource_Rates_Table[],4,FALSE),IF(E15="Regular/1st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390</v>
      </c>
      <c r="J15" s="144" cm="1">
        <f t="array" ref="J15">IFERROR(IF(I15="Specified Margin",IFERROR(_xlfn.IFS(ISNUMBER(SEARCH("India",C15))=TRUE,Baseline!$G$6,ISNUMBER(SEARCH("Pakistan",C15))=TRUE,Baseline!$G$7),Baseline!$G$5),(K15-G15)/K15),"TBD")</f>
        <v>0.35</v>
      </c>
      <c r="K15" s="511">
        <f t="shared" si="0"/>
        <v>0</v>
      </c>
      <c r="L15" s="512"/>
      <c r="M15" s="149">
        <f t="shared" si="1"/>
        <v>0</v>
      </c>
      <c r="N15" s="116"/>
      <c r="O15" s="117"/>
      <c r="P15" s="117"/>
      <c r="Q15" s="118"/>
    </row>
    <row r="16" spans="1:17">
      <c r="B16" s="39"/>
      <c r="C16" s="39"/>
      <c r="D16" s="113">
        <v>0</v>
      </c>
      <c r="E16" s="113" t="s">
        <v>389</v>
      </c>
      <c r="F16" s="133"/>
      <c r="G16" s="131">
        <f>IFERROR(IF(E16="Regular",VLOOKUP(C16,Resource_Rates_Table[],3,FALSE),(IF(Integration!E16="OT",VLOOKUP(C16,Resource_Rates_Table[],4,FALSE),IF(E16="Regular/1st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390</v>
      </c>
      <c r="J16" s="144" cm="1">
        <f t="array" ref="J16">IFERROR(IF(I16="Specified Margin",IFERROR(_xlfn.IFS(ISNUMBER(SEARCH("India",C16))=TRUE,Baseline!$G$6,ISNUMBER(SEARCH("Pakistan",C16))=TRUE,Baseline!$G$7),Baseline!$G$5),(K16-G16)/K16),"TBD")</f>
        <v>0.35</v>
      </c>
      <c r="K16" s="511">
        <f t="shared" si="0"/>
        <v>0</v>
      </c>
      <c r="L16" s="512"/>
      <c r="M16" s="149">
        <f t="shared" si="1"/>
        <v>0</v>
      </c>
      <c r="N16" s="116"/>
      <c r="O16" s="117"/>
      <c r="P16" s="117"/>
      <c r="Q16" s="118"/>
    </row>
    <row r="17" spans="2:17">
      <c r="B17" s="39"/>
      <c r="C17" s="39"/>
      <c r="D17" s="113">
        <v>0</v>
      </c>
      <c r="E17" s="113" t="s">
        <v>389</v>
      </c>
      <c r="F17" s="130"/>
      <c r="G17" s="131">
        <f>IFERROR(IF(E17="Regular",VLOOKUP(C17,Resource_Rates_Table[],3,FALSE),(IF(Integration!E17="OT",VLOOKUP(C17,Resource_Rates_Table[],4,FALSE),IF(E17="Regular/1st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390</v>
      </c>
      <c r="J17" s="144" cm="1">
        <f t="array" ref="J17">IFERROR(IF(I17="Specified Margin",IFERROR(_xlfn.IFS(ISNUMBER(SEARCH("India",C17))=TRUE,Baseline!$G$6,ISNUMBER(SEARCH("Pakistan",C17))=TRUE,Baseline!$G$7),Baseline!$G$5),(K17-G17)/K17),"TBD")</f>
        <v>0.35</v>
      </c>
      <c r="K17" s="511">
        <f t="shared" si="0"/>
        <v>0</v>
      </c>
      <c r="L17" s="512"/>
      <c r="M17" s="149">
        <f t="shared" si="1"/>
        <v>0</v>
      </c>
      <c r="N17" s="116"/>
      <c r="O17" s="117"/>
      <c r="P17" s="117"/>
      <c r="Q17" s="118"/>
    </row>
    <row r="18" spans="2:17">
      <c r="B18" s="39"/>
      <c r="C18" s="39"/>
      <c r="D18" s="113">
        <v>0</v>
      </c>
      <c r="E18" s="113" t="s">
        <v>389</v>
      </c>
      <c r="F18" s="133"/>
      <c r="G18" s="131">
        <f>IFERROR(IF(E18="Regular",VLOOKUP(C18,Resource_Rates_Table[],3,FALSE),(IF(Integration!E18="OT",VLOOKUP(C18,Resource_Rates_Table[],4,FALSE),IF(E18="Regular/1st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390</v>
      </c>
      <c r="J18" s="144" cm="1">
        <f t="array" ref="J18">IFERROR(IF(I18="Specified Margin",IFERROR(_xlfn.IFS(ISNUMBER(SEARCH("India",C18))=TRUE,Baseline!$G$6,ISNUMBER(SEARCH("Pakistan",C18))=TRUE,Baseline!$G$7),Baseline!$G$5),(K18-G18)/K18),"TBD")</f>
        <v>0.35</v>
      </c>
      <c r="K18" s="511">
        <f t="shared" si="0"/>
        <v>0</v>
      </c>
      <c r="L18" s="512"/>
      <c r="M18" s="149">
        <f t="shared" si="1"/>
        <v>0</v>
      </c>
      <c r="N18" s="116"/>
      <c r="O18" s="117"/>
      <c r="P18" s="117"/>
      <c r="Q18" s="118"/>
    </row>
    <row r="19" spans="2:17">
      <c r="B19" s="39"/>
      <c r="C19" s="39"/>
      <c r="D19" s="113">
        <v>0</v>
      </c>
      <c r="E19" s="113" t="s">
        <v>389</v>
      </c>
      <c r="F19" s="130"/>
      <c r="G19" s="131">
        <f>IFERROR(IF(E19="Regular",VLOOKUP(C19,Resource_Rates_Table[],3,FALSE),(IF(Integration!E19="OT",VLOOKUP(C19,Resource_Rates_Table[],4,FALSE),IF(E19="Regular/1st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390</v>
      </c>
      <c r="J19" s="144" cm="1">
        <f t="array" ref="J19">IFERROR(IF(I19="Specified Margin",IFERROR(_xlfn.IFS(ISNUMBER(SEARCH("India",C19))=TRUE,Baseline!$G$6,ISNUMBER(SEARCH("Pakistan",C19))=TRUE,Baseline!$G$7),Baseline!$G$5),(K19-G19)/K19),"TBD")</f>
        <v>0.35</v>
      </c>
      <c r="K19" s="511">
        <f t="shared" si="0"/>
        <v>0</v>
      </c>
      <c r="L19" s="512"/>
      <c r="M19" s="149">
        <f t="shared" si="1"/>
        <v>0</v>
      </c>
      <c r="N19" s="116"/>
      <c r="O19" s="117"/>
      <c r="P19" s="117"/>
      <c r="Q19" s="118"/>
    </row>
    <row r="20" spans="2:17">
      <c r="B20" s="39"/>
      <c r="C20" s="39"/>
      <c r="D20" s="113">
        <v>0</v>
      </c>
      <c r="E20" s="113" t="s">
        <v>389</v>
      </c>
      <c r="F20" s="133"/>
      <c r="G20" s="131">
        <f>IFERROR(IF(E20="Regular",VLOOKUP(C20,Resource_Rates_Table[],3,FALSE),(IF(Integration!E20="OT",VLOOKUP(C20,Resource_Rates_Table[],4,FALSE),IF(E20="Regular/1st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390</v>
      </c>
      <c r="J20" s="144">
        <f>IFERROR(IF(I20="Specified Margin",IFERROR(_xlfn.IFS(ISNUMBER(SEARCH("India",C20))=TRUE,Baseline!$G$6,ISNUMBER(SEARCH("Pakistan",C20))=TRUE,Baseline!$G$7),Baseline!$G$5),(K20-G20)/K20),"TBD")</f>
        <v>0.35</v>
      </c>
      <c r="K20" s="511">
        <f>IFERROR(IF(I20="Specified Margin",G20/(1-J20),"Enter Sell Rate"),"TBD")</f>
        <v>0</v>
      </c>
      <c r="L20" s="512"/>
      <c r="M20" s="149">
        <f t="shared" si="1"/>
        <v>0</v>
      </c>
      <c r="N20" s="116"/>
      <c r="O20" s="117"/>
      <c r="P20" s="117"/>
      <c r="Q20" s="118"/>
    </row>
    <row r="21" spans="2:17">
      <c r="B21" s="39"/>
      <c r="C21" s="39"/>
      <c r="D21" s="113">
        <v>0</v>
      </c>
      <c r="E21" s="113" t="s">
        <v>389</v>
      </c>
      <c r="F21" s="130"/>
      <c r="G21" s="131">
        <f>IFERROR(IF(E21="Regular",VLOOKUP(C21,Resource_Rates_Table[],3,FALSE),(IF(Integration!E21="OT",VLOOKUP(C21,Resource_Rates_Table[],4,FALSE),IF(E21="Regular/1st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390</v>
      </c>
      <c r="J21" s="144" cm="1">
        <f t="array" ref="J21">IFERROR(IF(I21="Specified Margin",IFERROR(_xlfn.IFS(ISNUMBER(SEARCH("India",C21))=TRUE,Baseline!$G$6,ISNUMBER(SEARCH("Pakistan",C21))=TRUE,Baseline!$G$7),Baseline!$G$5),(K21-G21)/K21),"TBD")</f>
        <v>0.35</v>
      </c>
      <c r="K21" s="511">
        <f t="shared" si="0"/>
        <v>0</v>
      </c>
      <c r="L21" s="512"/>
      <c r="M21" s="149">
        <f t="shared" si="1"/>
        <v>0</v>
      </c>
      <c r="N21" s="116"/>
      <c r="O21" s="117"/>
      <c r="P21" s="117"/>
      <c r="Q21" s="118"/>
    </row>
    <row r="22" spans="2:17">
      <c r="B22" s="39"/>
      <c r="C22" s="39"/>
      <c r="D22" s="113">
        <v>0</v>
      </c>
      <c r="E22" s="113" t="s">
        <v>389</v>
      </c>
      <c r="F22" s="133"/>
      <c r="G22" s="131">
        <f>IFERROR(IF(E22="Regular",VLOOKUP(C22,Resource_Rates_Table[],3,FALSE),(IF(Integration!E22="OT",VLOOKUP(C22,Resource_Rates_Table[],4,FALSE),IF(E22="Regular/1st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si="2"/>
        <v>0</v>
      </c>
      <c r="I22" s="141" t="s">
        <v>390</v>
      </c>
      <c r="J22" s="144" cm="1">
        <f t="array" ref="J22">IFERROR(IF(I22="Specified Margin",IFERROR(_xlfn.IFS(ISNUMBER(SEARCH("India",C22))=TRUE,Baseline!$G$6,ISNUMBER(SEARCH("Pakistan",C22))=TRUE,Baseline!$G$7),Baseline!$G$5),(K22-G22)/K22),"TBD")</f>
        <v>0.35</v>
      </c>
      <c r="K22" s="511">
        <f t="shared" si="0"/>
        <v>0</v>
      </c>
      <c r="L22" s="512"/>
      <c r="M22" s="149">
        <f t="shared" si="1"/>
        <v>0</v>
      </c>
      <c r="N22" s="116"/>
      <c r="O22" s="117"/>
      <c r="P22" s="117"/>
      <c r="Q22" s="118"/>
    </row>
    <row r="23" spans="2:17">
      <c r="B23" s="39"/>
      <c r="C23" s="39"/>
      <c r="D23" s="113">
        <v>0</v>
      </c>
      <c r="E23" s="113" t="s">
        <v>389</v>
      </c>
      <c r="F23" s="130"/>
      <c r="G23" s="131">
        <f>IFERROR(IF(E23="Regular",VLOOKUP(C23,Resource_Rates_Table[],3,FALSE),(IF(Integration!E23="OT",VLOOKUP(C23,Resource_Rates_Table[],4,FALSE),IF(E23="Regular/1st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D23*G23</f>
        <v>0</v>
      </c>
      <c r="I23" s="141" t="s">
        <v>390</v>
      </c>
      <c r="J23" s="144" cm="1">
        <f t="array" ref="J23">IFERROR(IF(I23="Specified Margin",IFERROR(_xlfn.IFS(ISNUMBER(SEARCH("India",C23))=TRUE,Baseline!$G$6,ISNUMBER(SEARCH("Pakistan",C23))=TRUE,Baseline!$G$7),Baseline!$G$5),(K23-G23)/K23),"TBD")</f>
        <v>0.35</v>
      </c>
      <c r="K23" s="511">
        <f t="shared" si="0"/>
        <v>0</v>
      </c>
      <c r="L23" s="512"/>
      <c r="M23" s="149">
        <f t="shared" si="1"/>
        <v>0</v>
      </c>
      <c r="N23" s="116"/>
      <c r="O23" s="117"/>
      <c r="P23" s="117"/>
      <c r="Q23" s="118"/>
    </row>
    <row r="24" spans="2:17">
      <c r="B24" s="39"/>
      <c r="C24" s="39"/>
      <c r="D24" s="113">
        <v>0</v>
      </c>
      <c r="E24" s="113" t="s">
        <v>389</v>
      </c>
      <c r="F24" s="133"/>
      <c r="G24" s="131">
        <f>IFERROR(IF(E24="Regular",VLOOKUP(C24,Resource_Rates_Table[],3,FALSE),(IF(Integration!E24="OT",VLOOKUP(C24,Resource_Rates_Table[],4,FALSE),IF(E24="Regular/1st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D24*G24</f>
        <v>0</v>
      </c>
      <c r="I24" s="141" t="s">
        <v>390</v>
      </c>
      <c r="J24" s="144" cm="1">
        <f t="array" ref="J24">IFERROR(IF(I24="Specified Margin",IFERROR(_xlfn.IFS(ISNUMBER(SEARCH("India",C24))=TRUE,Baseline!$G$6,ISNUMBER(SEARCH("Pakistan",C24))=TRUE,Baseline!$G$7),Baseline!$G$5),(K24-G24)/K24),"TBD")</f>
        <v>0.35</v>
      </c>
      <c r="K24" s="511">
        <f t="shared" si="0"/>
        <v>0</v>
      </c>
      <c r="L24" s="512"/>
      <c r="M24" s="149">
        <f t="shared" si="1"/>
        <v>0</v>
      </c>
      <c r="N24" s="340"/>
      <c r="O24" s="380"/>
      <c r="P24" s="380"/>
      <c r="Q24" s="341"/>
    </row>
    <row r="25" spans="2:17">
      <c r="B25" s="39"/>
      <c r="C25" s="39"/>
      <c r="D25" s="113">
        <v>0</v>
      </c>
      <c r="E25" s="113" t="s">
        <v>389</v>
      </c>
      <c r="F25" s="133"/>
      <c r="G25" s="131">
        <f>IFERROR(IF(E25="Regular",VLOOKUP(C25,Resource_Rates_Table[],3,FALSE),(IF(Integration!E25="OT",VLOOKUP(C25,Resource_Rates_Table[],4,FALSE),IF(E25="Regular/1st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D25*G25</f>
        <v>0</v>
      </c>
      <c r="I25" s="141" t="s">
        <v>390</v>
      </c>
      <c r="J25" s="144" cm="1">
        <f t="array" ref="J25">IFERROR(IF(I25="Specified Margin",IFERROR(_xlfn.IFS(ISNUMBER(SEARCH("India",C25))=TRUE,Baseline!$G$6,ISNUMBER(SEARCH("Pakistan",C25))=TRUE,Baseline!$G$7),Baseline!$G$5),(K25-G25)/K25),"TBD")</f>
        <v>0.35</v>
      </c>
      <c r="K25" s="511">
        <f t="shared" si="0"/>
        <v>0</v>
      </c>
      <c r="L25" s="512"/>
      <c r="M25" s="149">
        <f t="shared" si="1"/>
        <v>0</v>
      </c>
      <c r="N25" s="340"/>
      <c r="O25" s="380"/>
      <c r="P25" s="380"/>
      <c r="Q25" s="341"/>
    </row>
    <row r="26" spans="2:17">
      <c r="B26" s="39"/>
      <c r="C26" s="39"/>
      <c r="D26" s="113">
        <v>0</v>
      </c>
      <c r="E26" s="113" t="s">
        <v>389</v>
      </c>
      <c r="F26" s="133"/>
      <c r="G26" s="131">
        <f>IFERROR(IF(E26="Regular",VLOOKUP(C26,Resource_Rates_Table[],3,FALSE),(IF(Integration!E26="OT",VLOOKUP(C26,Resource_Rates_Table[],4,FALSE),IF(E26="Regular/1st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D26*G26</f>
        <v>0</v>
      </c>
      <c r="I26" s="141" t="s">
        <v>390</v>
      </c>
      <c r="J26" s="144" cm="1">
        <f t="array" ref="J26">IFERROR(IF(I26="Specified Margin",IFERROR(_xlfn.IFS(ISNUMBER(SEARCH("India",C26))=TRUE,Baseline!$G$6,ISNUMBER(SEARCH("Pakistan",C26))=TRUE,Baseline!$G$7),Baseline!$G$5),(K26-G26)/K26),"TBD")</f>
        <v>0.35</v>
      </c>
      <c r="K26" s="511">
        <f t="shared" si="0"/>
        <v>0</v>
      </c>
      <c r="L26" s="512"/>
      <c r="M26" s="149">
        <f t="shared" si="1"/>
        <v>0</v>
      </c>
      <c r="N26" s="340"/>
      <c r="O26" s="380"/>
      <c r="P26" s="380"/>
      <c r="Q26" s="341"/>
    </row>
    <row r="27" spans="2:17">
      <c r="B27" s="39"/>
      <c r="C27" s="39"/>
      <c r="D27" s="113">
        <v>0</v>
      </c>
      <c r="E27" s="113" t="s">
        <v>389</v>
      </c>
      <c r="F27" s="133"/>
      <c r="G27" s="131">
        <f>IFERROR(IF(E27="Regular",VLOOKUP(C27,Resource_Rates_Table[],3,FALSE),(IF(Integration!E27="OT",VLOOKUP(C27,Resource_Rates_Table[],4,FALSE),IF(E27="Regular/1st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D27*G27</f>
        <v>0</v>
      </c>
      <c r="I27" s="141" t="s">
        <v>390</v>
      </c>
      <c r="J27" s="144" cm="1">
        <f t="array" ref="J27">IFERROR(IF(I27="Specified Margin",IFERROR(_xlfn.IFS(ISNUMBER(SEARCH("India",C27))=TRUE,Baseline!$G$6,ISNUMBER(SEARCH("Pakistan",C27))=TRUE,Baseline!$G$7),Baseline!$G$5),(K27-G27)/K27),"TBD")</f>
        <v>0.35</v>
      </c>
      <c r="K27" s="511">
        <f t="shared" si="0"/>
        <v>0</v>
      </c>
      <c r="L27" s="512"/>
      <c r="M27" s="149">
        <f t="shared" si="1"/>
        <v>0</v>
      </c>
      <c r="N27" s="340"/>
      <c r="O27" s="380"/>
      <c r="P27" s="380"/>
      <c r="Q27" s="341"/>
    </row>
    <row r="28" spans="2:17">
      <c r="B28" s="6"/>
      <c r="C28" s="6" t="s">
        <v>391</v>
      </c>
      <c r="D28" s="134">
        <f>SUM(D8:D27)</f>
        <v>0</v>
      </c>
      <c r="E28" s="135"/>
      <c r="F28" s="135"/>
      <c r="G28" s="136" t="str">
        <f>IF(C3="Project",C2&amp;" Resource Cost:",C2&amp;" Per Unit Resource Cost:")</f>
        <v>Integration Per Unit Resource Cost:</v>
      </c>
      <c r="H28" s="137">
        <f>SUM(H8:H27)</f>
        <v>0</v>
      </c>
      <c r="I28" s="137" t="s">
        <v>392</v>
      </c>
      <c r="J28" s="152" t="str">
        <f>IFERROR((M28-H28)/M28,"TBD")</f>
        <v>TBD</v>
      </c>
      <c r="K28" s="378" t="s">
        <v>393</v>
      </c>
      <c r="L28" s="379"/>
      <c r="M28" s="137">
        <f>SUM(M8:M27)</f>
        <v>0</v>
      </c>
      <c r="N28" s="135"/>
      <c r="O28" s="135"/>
      <c r="P28" s="135"/>
      <c r="Q28" s="135"/>
    </row>
    <row r="29" spans="2:17">
      <c r="D29" s="119"/>
    </row>
    <row r="30" spans="2:17">
      <c r="B30" s="7" t="str">
        <f>C2&amp;" Partner Cost Factors:"</f>
        <v>Integration Partner Cost Factors:</v>
      </c>
      <c r="C30" s="7"/>
      <c r="D30" s="126"/>
      <c r="E30" s="126"/>
      <c r="F30" s="126"/>
      <c r="G30" s="126"/>
      <c r="H30" s="126"/>
      <c r="I30" s="126"/>
      <c r="J30" s="126"/>
      <c r="K30" s="126"/>
      <c r="L30" s="126"/>
      <c r="M30" s="126"/>
      <c r="N30" s="126"/>
      <c r="O30" s="126"/>
      <c r="P30" s="126"/>
      <c r="Q30" s="127"/>
    </row>
    <row r="31" spans="2:17">
      <c r="B31" s="4" t="s">
        <v>394</v>
      </c>
      <c r="C31" s="4" t="s">
        <v>395</v>
      </c>
      <c r="D31" s="4" t="s">
        <v>396</v>
      </c>
      <c r="E31" s="128" t="s">
        <v>381</v>
      </c>
      <c r="F31" s="128"/>
      <c r="G31" s="49" t="s">
        <v>397</v>
      </c>
      <c r="H31" s="49" t="s">
        <v>398</v>
      </c>
      <c r="I31" s="4" t="s">
        <v>384</v>
      </c>
      <c r="J31" s="4" t="s">
        <v>385</v>
      </c>
      <c r="K31" s="513" t="s">
        <v>399</v>
      </c>
      <c r="L31" s="514"/>
      <c r="M31" s="4" t="s">
        <v>400</v>
      </c>
      <c r="N31" s="381" t="s">
        <v>401</v>
      </c>
      <c r="O31" s="382"/>
      <c r="P31" s="382"/>
      <c r="Q31" s="383"/>
    </row>
    <row r="32" spans="2:17">
      <c r="B32" s="39"/>
      <c r="C32" s="39" t="str">
        <f>IF(B32="Field Nation",'Resource Descriptions'!$D$116,IF(B32="Partner",'Resource Descriptions'!$D$120,""))</f>
        <v/>
      </c>
      <c r="D32" s="113">
        <v>0</v>
      </c>
      <c r="E32" s="113" t="s">
        <v>389</v>
      </c>
      <c r="F32" s="115"/>
      <c r="G32" s="114">
        <f>IFERROR(IF(B32="Partner","Enter Partner Price",IF(B32="Field Nation",IF(E32="Regular",VLOOKUP(C32,'Resource Descriptions'!$D$116:$I$119,3,FALSE),IF(E32="OT",VLOOKUP(C32,'Resource Descriptions'!$D$116:$I$119,4,FALSE),)),0)),0)</f>
        <v>0</v>
      </c>
      <c r="H32" s="53">
        <f t="shared" ref="H32:H39" si="3">IFERROR(D32*G32,"TBD")</f>
        <v>0</v>
      </c>
      <c r="I32" s="141" t="s">
        <v>390</v>
      </c>
      <c r="J32" s="144">
        <f>IFERROR(IF(I32="Specified Margin",Baseline!$G$8,(K32-G32)/K32),"TBD")</f>
        <v>0.3</v>
      </c>
      <c r="K32" s="511">
        <f>IFERROR(IF(I32="Specified Margin",G32/(1-J32),"Enter Sell Rate"),"TBD")</f>
        <v>0</v>
      </c>
      <c r="L32" s="512"/>
      <c r="M32" s="160">
        <f>IFERROR(D32*K32,"TBD")</f>
        <v>0</v>
      </c>
      <c r="N32" s="340"/>
      <c r="O32" s="380"/>
      <c r="P32" s="380"/>
      <c r="Q32" s="341"/>
    </row>
    <row r="33" spans="2:17">
      <c r="B33" s="39"/>
      <c r="C33" s="39" t="str">
        <f>IF(B33="Field Nation",'Resource Descriptions'!$D$116,IF(B33="Partner",'Resource Descriptions'!$D$120,""))</f>
        <v/>
      </c>
      <c r="D33" s="113">
        <v>0</v>
      </c>
      <c r="E33" s="113" t="s">
        <v>389</v>
      </c>
      <c r="F33" s="115"/>
      <c r="G33" s="114">
        <f>IFERROR(IF(B33="Partner","Enter Partner Price",IF(B33="Field Nation",IF(E33="Regular",VLOOKUP(C33,'Resource Descriptions'!$D$116:$I$119,3,FALSE),IF(E33="OT",VLOOKUP(C33,'Resource Descriptions'!$D$116:$I$119,4,FALSE),0)),0)),0)</f>
        <v>0</v>
      </c>
      <c r="H33" s="53">
        <f t="shared" si="3"/>
        <v>0</v>
      </c>
      <c r="I33" s="141" t="s">
        <v>390</v>
      </c>
      <c r="J33" s="144">
        <f>IFERROR(IF(I33="Specified Margin",Baseline!$G$8,(K33-G33)/K33),"TBD")</f>
        <v>0.3</v>
      </c>
      <c r="K33" s="511">
        <f t="shared" ref="K33:K39" si="4">IFERROR(IF(I33="Specified Margin",G33/(1-J33),"Enter Sell Rate"),"TBD")</f>
        <v>0</v>
      </c>
      <c r="L33" s="512"/>
      <c r="M33" s="160">
        <f t="shared" ref="M33:M39" si="5">IFERROR(D33*K33,"TBD")</f>
        <v>0</v>
      </c>
      <c r="N33" s="116"/>
      <c r="O33" s="117"/>
      <c r="P33" s="117"/>
      <c r="Q33" s="118"/>
    </row>
    <row r="34" spans="2:17">
      <c r="B34" s="39"/>
      <c r="C34" s="39" t="str">
        <f>IF(B34="Field Nation",'Resource Descriptions'!$D$116,IF(B34="Partner",'Resource Descriptions'!$D$120,""))</f>
        <v/>
      </c>
      <c r="D34" s="113">
        <v>0</v>
      </c>
      <c r="E34" s="113" t="s">
        <v>389</v>
      </c>
      <c r="F34" s="115"/>
      <c r="G34" s="114">
        <f>IFERROR(IF(B34="Partner","Enter Partner Price",IF(B34="Field Nation",IF(E34="Regular",VLOOKUP(C34,'Resource Descriptions'!$D$116:$I$119,3,FALSE),IF(E34="OT",VLOOKUP(C34,'Resource Descriptions'!$D$116:$I$119,4,FALSE),0)),0)),0)</f>
        <v>0</v>
      </c>
      <c r="H34" s="53">
        <f t="shared" si="3"/>
        <v>0</v>
      </c>
      <c r="I34" s="141" t="s">
        <v>390</v>
      </c>
      <c r="J34" s="144">
        <f>IFERROR(IF(I34="Specified Margin",Baseline!$G$8,(K34-G34)/K34),"TBD")</f>
        <v>0.3</v>
      </c>
      <c r="K34" s="511">
        <f t="shared" si="4"/>
        <v>0</v>
      </c>
      <c r="L34" s="512"/>
      <c r="M34" s="160">
        <f t="shared" si="5"/>
        <v>0</v>
      </c>
      <c r="N34" s="116"/>
      <c r="O34" s="117"/>
      <c r="P34" s="117"/>
      <c r="Q34" s="118"/>
    </row>
    <row r="35" spans="2:17">
      <c r="B35" s="39"/>
      <c r="C35" s="39" t="str">
        <f>IF(B35="Field Nation",'Resource Descriptions'!$D$116,IF(B35="Partner",'Resource Descriptions'!$D$120,""))</f>
        <v/>
      </c>
      <c r="D35" s="113">
        <v>0</v>
      </c>
      <c r="E35" s="113" t="s">
        <v>389</v>
      </c>
      <c r="F35" s="115"/>
      <c r="G35" s="114">
        <f>IFERROR(IF(B35="Partner","Enter Partner Price",IF(B35="Field Nation",IF(E35="Regular",VLOOKUP(C35,'Resource Descriptions'!$D$116:$I$119,3,FALSE),IF(E35="OT",VLOOKUP(C35,'Resource Descriptions'!$D$116:$I$119,4,FALSE),0)),0)),0)</f>
        <v>0</v>
      </c>
      <c r="H35" s="53">
        <f t="shared" si="3"/>
        <v>0</v>
      </c>
      <c r="I35" s="141" t="s">
        <v>390</v>
      </c>
      <c r="J35" s="144">
        <f>IFERROR(IF(I35="Specified Margin",Baseline!$G$8,(K35-G35)/K35),"TBD")</f>
        <v>0.3</v>
      </c>
      <c r="K35" s="511">
        <f t="shared" si="4"/>
        <v>0</v>
      </c>
      <c r="L35" s="512"/>
      <c r="M35" s="160">
        <f t="shared" si="5"/>
        <v>0</v>
      </c>
      <c r="N35" s="116"/>
      <c r="O35" s="117"/>
      <c r="P35" s="117"/>
      <c r="Q35" s="118"/>
    </row>
    <row r="36" spans="2:17">
      <c r="B36" s="39"/>
      <c r="C36" s="39" t="str">
        <f>IF(B36="Field Nation",'Resource Descriptions'!$D$116,IF(B36="Partner",'Resource Descriptions'!$D$120,""))</f>
        <v/>
      </c>
      <c r="D36" s="113">
        <v>0</v>
      </c>
      <c r="E36" s="113" t="s">
        <v>389</v>
      </c>
      <c r="F36" s="115"/>
      <c r="G36" s="114">
        <f>IFERROR(IF(B36="Partner","Enter Partner Price",IF(B36="Field Nation",IF(E36="Regular",VLOOKUP(C36,'Resource Descriptions'!$D$116:$I$119,3,FALSE),IF(E36="OT",VLOOKUP(C36,'Resource Descriptions'!$D$116:$I$119,4,FALSE),0)),0)),0)</f>
        <v>0</v>
      </c>
      <c r="H36" s="53">
        <f t="shared" si="3"/>
        <v>0</v>
      </c>
      <c r="I36" s="141" t="s">
        <v>390</v>
      </c>
      <c r="J36" s="144">
        <f>IFERROR(IF(I36="Specified Margin",Baseline!$G$8,(K36-G36)/K36),"TBD")</f>
        <v>0.3</v>
      </c>
      <c r="K36" s="511">
        <f t="shared" si="4"/>
        <v>0</v>
      </c>
      <c r="L36" s="512"/>
      <c r="M36" s="160">
        <f t="shared" si="5"/>
        <v>0</v>
      </c>
      <c r="N36" s="116"/>
      <c r="O36" s="117"/>
      <c r="P36" s="117"/>
      <c r="Q36" s="118"/>
    </row>
    <row r="37" spans="2:17">
      <c r="B37" s="39"/>
      <c r="C37" s="39" t="str">
        <f>IF(B37="Field Nation",'Resource Descriptions'!$D$116,IF(B37="Partner",'Resource Descriptions'!$D$120,""))</f>
        <v/>
      </c>
      <c r="D37" s="113">
        <v>0</v>
      </c>
      <c r="E37" s="113" t="s">
        <v>389</v>
      </c>
      <c r="F37" s="115"/>
      <c r="G37" s="114">
        <f>IFERROR(IF(B37="Partner","Enter Partner Price",IF(B37="Field Nation",IF(E37="Regular",VLOOKUP(C37,'Resource Descriptions'!$D$116:$I$119,3,FALSE),IF(E37="OT",VLOOKUP(C37,'Resource Descriptions'!$D$116:$I$119,4,FALSE),0)),0)),0)</f>
        <v>0</v>
      </c>
      <c r="H37" s="53">
        <f t="shared" si="3"/>
        <v>0</v>
      </c>
      <c r="I37" s="141" t="s">
        <v>390</v>
      </c>
      <c r="J37" s="144">
        <f>IFERROR(IF(I37="Specified Margin",Baseline!$G$8,(K37-G37)/K37),"TBD")</f>
        <v>0.3</v>
      </c>
      <c r="K37" s="511">
        <f t="shared" si="4"/>
        <v>0</v>
      </c>
      <c r="L37" s="512"/>
      <c r="M37" s="160">
        <f t="shared" si="5"/>
        <v>0</v>
      </c>
      <c r="N37" s="116"/>
      <c r="O37" s="117"/>
      <c r="P37" s="117"/>
      <c r="Q37" s="118"/>
    </row>
    <row r="38" spans="2:17">
      <c r="B38" s="39"/>
      <c r="C38" s="39" t="str">
        <f>IF(B38="Field Nation",'Resource Descriptions'!$D$116,IF(B38="Partner",'Resource Descriptions'!$D$120,""))</f>
        <v/>
      </c>
      <c r="D38" s="113">
        <v>0</v>
      </c>
      <c r="E38" s="113" t="s">
        <v>389</v>
      </c>
      <c r="F38" s="115"/>
      <c r="G38" s="114">
        <f>IFERROR(IF(B38="Partner","Enter Partner Price",IF(B38="Field Nation",IF(E38="Regular",VLOOKUP(C38,'Resource Descriptions'!$D$116:$I$119,3,FALSE),IF(E38="OT",VLOOKUP(C38,'Resource Descriptions'!$D$116:$I$119,4,FALSE),0)),0)),0)</f>
        <v>0</v>
      </c>
      <c r="H38" s="53">
        <f t="shared" si="3"/>
        <v>0</v>
      </c>
      <c r="I38" s="141" t="s">
        <v>390</v>
      </c>
      <c r="J38" s="144">
        <f>IFERROR(IF(I38="Specified Margin",Baseline!$G$8,(K38-G38)/K38),"TBD")</f>
        <v>0.3</v>
      </c>
      <c r="K38" s="511">
        <f t="shared" si="4"/>
        <v>0</v>
      </c>
      <c r="L38" s="512"/>
      <c r="M38" s="160">
        <f t="shared" si="5"/>
        <v>0</v>
      </c>
      <c r="N38" s="340"/>
      <c r="O38" s="380"/>
      <c r="P38" s="380"/>
      <c r="Q38" s="341"/>
    </row>
    <row r="39" spans="2:17">
      <c r="B39" s="39"/>
      <c r="C39" s="39" t="str">
        <f>IF(B39="Field Nation",'Resource Descriptions'!$D$116,IF(B39="Partner",'Resource Descriptions'!$D$120,""))</f>
        <v/>
      </c>
      <c r="D39" s="113">
        <v>0</v>
      </c>
      <c r="E39" s="113" t="s">
        <v>389</v>
      </c>
      <c r="F39" s="115"/>
      <c r="G39" s="114">
        <f>IFERROR(IF(B39="Partner","Enter Partner Price",IF(B39="Field Nation",IF(E39="Regular",VLOOKUP(C39,'Resource Descriptions'!$D$116:$I$119,3,FALSE),IF(E39="OT",VLOOKUP(C39,'Resource Descriptions'!$D$116:$I$119,4,FALSE),0)),0)),0)</f>
        <v>0</v>
      </c>
      <c r="H39" s="53">
        <f t="shared" si="3"/>
        <v>0</v>
      </c>
      <c r="I39" s="141" t="s">
        <v>390</v>
      </c>
      <c r="J39" s="144">
        <f>IFERROR(IF(I39="Specified Margin",Baseline!$G$8,(K39-G39)/K39),"TBD")</f>
        <v>0.3</v>
      </c>
      <c r="K39" s="511">
        <f t="shared" si="4"/>
        <v>0</v>
      </c>
      <c r="L39" s="512"/>
      <c r="M39" s="160">
        <f t="shared" si="5"/>
        <v>0</v>
      </c>
      <c r="N39" s="340"/>
      <c r="O39" s="380"/>
      <c r="P39" s="380"/>
      <c r="Q39" s="341"/>
    </row>
    <row r="40" spans="2:17">
      <c r="B40" s="6"/>
      <c r="C40" s="159"/>
      <c r="D40" s="135"/>
      <c r="E40" s="135"/>
      <c r="F40" s="135"/>
      <c r="G40" s="136" t="str">
        <f>IF(C3="Project",C2&amp;" Partner Cost:",C2&amp;" Per Unit Partner Cost:")</f>
        <v>Integration Per Unit Partner Cost:</v>
      </c>
      <c r="H40" s="137">
        <f>SUM(H32:H39)</f>
        <v>0</v>
      </c>
      <c r="I40" s="137" t="s">
        <v>402</v>
      </c>
      <c r="J40" s="152" t="str">
        <f>IFERROR((M40-H40)/M40,"TBD")</f>
        <v>TBD</v>
      </c>
      <c r="K40" s="378" t="s">
        <v>403</v>
      </c>
      <c r="L40" s="379"/>
      <c r="M40" s="137">
        <f>SUM(M32:M39)</f>
        <v>0</v>
      </c>
      <c r="N40" s="135"/>
      <c r="O40" s="135"/>
      <c r="P40" s="135"/>
      <c r="Q40" s="135"/>
    </row>
    <row r="41" spans="2:17">
      <c r="D41" s="119"/>
    </row>
    <row r="42" spans="2:17">
      <c r="B42" s="7" t="str">
        <f>C2&amp;" Travel &amp; Living Cost Factors:"</f>
        <v>Integration Travel &amp; Living Cost Factors:</v>
      </c>
      <c r="C42" s="126"/>
      <c r="D42" s="126"/>
      <c r="E42" s="126"/>
      <c r="F42" s="126"/>
      <c r="G42" s="126"/>
      <c r="H42" s="126"/>
      <c r="I42" s="126"/>
      <c r="J42" s="126"/>
      <c r="L42" s="32" t="str">
        <f>C2&amp;" Assumptions:"</f>
        <v>Integration Assumptions:</v>
      </c>
      <c r="M42" s="32"/>
      <c r="N42" s="32"/>
      <c r="O42" s="32"/>
      <c r="P42" s="32"/>
      <c r="Q42" s="32"/>
    </row>
    <row r="43" spans="2:17">
      <c r="B43" s="4" t="s">
        <v>404</v>
      </c>
      <c r="C43" s="4" t="s">
        <v>405</v>
      </c>
      <c r="D43" s="4" t="s">
        <v>406</v>
      </c>
      <c r="E43" s="515" t="s">
        <v>407</v>
      </c>
      <c r="F43" s="516"/>
      <c r="G43" s="4" t="s">
        <v>384</v>
      </c>
      <c r="H43" s="13" t="s">
        <v>385</v>
      </c>
      <c r="I43" s="4" t="s">
        <v>408</v>
      </c>
      <c r="J43" s="4" t="s">
        <v>409</v>
      </c>
      <c r="L43" s="375"/>
      <c r="M43" s="376"/>
      <c r="N43" s="376"/>
      <c r="O43" s="376"/>
      <c r="P43" s="376"/>
      <c r="Q43" s="377"/>
    </row>
    <row r="44" spans="2:17">
      <c r="B44" s="39"/>
      <c r="C44" s="113">
        <v>0</v>
      </c>
      <c r="D44" s="120">
        <f>IFERROR(VLOOKUP(B44,'Expenses &amp; Materials'!$B$3:$C$9,2,FALSE),0)</f>
        <v>0</v>
      </c>
      <c r="E44" s="517">
        <f t="shared" ref="E44:E51" si="6">C44*D44</f>
        <v>0</v>
      </c>
      <c r="F44" s="518"/>
      <c r="G44" s="141" t="s">
        <v>390</v>
      </c>
      <c r="H44" s="153">
        <f>IFERROR(IF(G44="Specified Margin",Baseline!$G$9,(I44-D44)/I44),"TBD")</f>
        <v>0.15</v>
      </c>
      <c r="I44" s="163">
        <f>IFERROR(IF(G44="Specified Margin",D44/(1-H44),"Enter Sell Rate"),"TBD")</f>
        <v>0</v>
      </c>
      <c r="J44" s="62">
        <f>IFERROR(C44*I44,"TBD")</f>
        <v>0</v>
      </c>
      <c r="L44" s="375"/>
      <c r="M44" s="376"/>
      <c r="N44" s="376"/>
      <c r="O44" s="376"/>
      <c r="P44" s="376"/>
      <c r="Q44" s="377"/>
    </row>
    <row r="45" spans="2:17">
      <c r="B45" s="39"/>
      <c r="C45" s="113">
        <v>0</v>
      </c>
      <c r="D45" s="120">
        <f>IFERROR(VLOOKUP(B45,'Expenses &amp; Materials'!$B$3:$C$9,2,FALSE),0)</f>
        <v>0</v>
      </c>
      <c r="E45" s="517">
        <f t="shared" si="6"/>
        <v>0</v>
      </c>
      <c r="F45" s="518"/>
      <c r="G45" s="141" t="s">
        <v>390</v>
      </c>
      <c r="H45" s="153">
        <f>Baseline!$G$9</f>
        <v>0.15</v>
      </c>
      <c r="I45" s="163">
        <f t="shared" ref="I45:I51" si="7">IFERROR(IF(G45="Specified Margin",D45/(1-H45),"Enter Sell Rate"),"TBD")</f>
        <v>0</v>
      </c>
      <c r="J45" s="62">
        <f t="shared" ref="J45:J51" si="8">IFERROR(C45*I45,"TBD")</f>
        <v>0</v>
      </c>
      <c r="L45" s="375"/>
      <c r="M45" s="376"/>
      <c r="N45" s="376"/>
      <c r="O45" s="376"/>
      <c r="P45" s="376"/>
      <c r="Q45" s="377"/>
    </row>
    <row r="46" spans="2:17">
      <c r="B46" s="39"/>
      <c r="C46" s="113">
        <v>0</v>
      </c>
      <c r="D46" s="120">
        <f>IFERROR(VLOOKUP(B46,'Expenses &amp; Materials'!$B$3:$C$9,2,FALSE),0)</f>
        <v>0</v>
      </c>
      <c r="E46" s="517">
        <f t="shared" si="6"/>
        <v>0</v>
      </c>
      <c r="F46" s="518"/>
      <c r="G46" s="141" t="s">
        <v>390</v>
      </c>
      <c r="H46" s="153">
        <f>Baseline!$G$9</f>
        <v>0.15</v>
      </c>
      <c r="I46" s="163">
        <f t="shared" si="7"/>
        <v>0</v>
      </c>
      <c r="J46" s="62">
        <f t="shared" si="8"/>
        <v>0</v>
      </c>
      <c r="L46" s="375"/>
      <c r="M46" s="376"/>
      <c r="N46" s="376"/>
      <c r="O46" s="376"/>
      <c r="P46" s="376"/>
      <c r="Q46" s="377"/>
    </row>
    <row r="47" spans="2:17">
      <c r="B47" s="39"/>
      <c r="C47" s="113">
        <v>0</v>
      </c>
      <c r="D47" s="120">
        <f>IFERROR(VLOOKUP(B47,'Expenses &amp; Materials'!$B$3:$C$9,2,FALSE),0)</f>
        <v>0</v>
      </c>
      <c r="E47" s="517">
        <f t="shared" si="6"/>
        <v>0</v>
      </c>
      <c r="F47" s="518"/>
      <c r="G47" s="141" t="s">
        <v>390</v>
      </c>
      <c r="H47" s="153">
        <f>Baseline!$G$9</f>
        <v>0.15</v>
      </c>
      <c r="I47" s="163">
        <f t="shared" si="7"/>
        <v>0</v>
      </c>
      <c r="J47" s="62">
        <f t="shared" si="8"/>
        <v>0</v>
      </c>
      <c r="L47" s="375"/>
      <c r="M47" s="376"/>
      <c r="N47" s="376"/>
      <c r="O47" s="376"/>
      <c r="P47" s="376"/>
      <c r="Q47" s="377"/>
    </row>
    <row r="48" spans="2:17">
      <c r="B48" s="39"/>
      <c r="C48" s="113">
        <v>0</v>
      </c>
      <c r="D48" s="120">
        <f>IFERROR(VLOOKUP(B48,'Expenses &amp; Materials'!$B$3:$C$9,2,FALSE),0)</f>
        <v>0</v>
      </c>
      <c r="E48" s="517">
        <f t="shared" si="6"/>
        <v>0</v>
      </c>
      <c r="F48" s="518"/>
      <c r="G48" s="141" t="s">
        <v>390</v>
      </c>
      <c r="H48" s="153">
        <f>Baseline!$G$9</f>
        <v>0.15</v>
      </c>
      <c r="I48" s="163">
        <f t="shared" si="7"/>
        <v>0</v>
      </c>
      <c r="J48" s="62">
        <f t="shared" si="8"/>
        <v>0</v>
      </c>
      <c r="L48" s="375"/>
      <c r="M48" s="376"/>
      <c r="N48" s="376"/>
      <c r="O48" s="376"/>
      <c r="P48" s="376"/>
      <c r="Q48" s="377"/>
    </row>
    <row r="49" spans="2:17">
      <c r="B49" s="39"/>
      <c r="C49" s="113">
        <v>0</v>
      </c>
      <c r="D49" s="120">
        <f>IFERROR(VLOOKUP(B49,'Expenses &amp; Materials'!$B$3:$C$9,2,FALSE),0)</f>
        <v>0</v>
      </c>
      <c r="E49" s="517">
        <f t="shared" si="6"/>
        <v>0</v>
      </c>
      <c r="F49" s="518"/>
      <c r="G49" s="141" t="s">
        <v>390</v>
      </c>
      <c r="H49" s="153">
        <f>Baseline!$G$9</f>
        <v>0.15</v>
      </c>
      <c r="I49" s="163">
        <f t="shared" si="7"/>
        <v>0</v>
      </c>
      <c r="J49" s="62">
        <f t="shared" si="8"/>
        <v>0</v>
      </c>
      <c r="L49" s="375"/>
      <c r="M49" s="376"/>
      <c r="N49" s="376"/>
      <c r="O49" s="376"/>
      <c r="P49" s="376"/>
      <c r="Q49" s="377"/>
    </row>
    <row r="50" spans="2:17">
      <c r="B50" s="39"/>
      <c r="C50" s="113">
        <v>0</v>
      </c>
      <c r="D50" s="120">
        <f>IFERROR(VLOOKUP(B50,'Expenses &amp; Materials'!$B$3:$C$9,2,FALSE),0)</f>
        <v>0</v>
      </c>
      <c r="E50" s="517">
        <f t="shared" si="6"/>
        <v>0</v>
      </c>
      <c r="F50" s="518"/>
      <c r="G50" s="141" t="s">
        <v>390</v>
      </c>
      <c r="H50" s="153">
        <f>Baseline!$G$9</f>
        <v>0.15</v>
      </c>
      <c r="I50" s="163">
        <f t="shared" si="7"/>
        <v>0</v>
      </c>
      <c r="J50" s="62">
        <f t="shared" si="8"/>
        <v>0</v>
      </c>
      <c r="L50" s="375"/>
      <c r="M50" s="376"/>
      <c r="N50" s="376"/>
      <c r="O50" s="376"/>
      <c r="P50" s="376"/>
      <c r="Q50" s="377"/>
    </row>
    <row r="51" spans="2:17">
      <c r="B51" s="39"/>
      <c r="C51" s="113">
        <v>0</v>
      </c>
      <c r="D51" s="120">
        <f>IFERROR(VLOOKUP(B51,'Expenses &amp; Materials'!$B$3:$C$9,2,FALSE),0)</f>
        <v>0</v>
      </c>
      <c r="E51" s="517">
        <f t="shared" si="6"/>
        <v>0</v>
      </c>
      <c r="F51" s="518"/>
      <c r="G51" s="141" t="s">
        <v>390</v>
      </c>
      <c r="H51" s="153">
        <f>Baseline!$G$9</f>
        <v>0.15</v>
      </c>
      <c r="I51" s="163">
        <f t="shared" si="7"/>
        <v>0</v>
      </c>
      <c r="J51" s="62">
        <f t="shared" si="8"/>
        <v>0</v>
      </c>
      <c r="L51" s="375"/>
      <c r="M51" s="376"/>
      <c r="N51" s="376"/>
      <c r="O51" s="376"/>
      <c r="P51" s="376"/>
      <c r="Q51" s="377"/>
    </row>
    <row r="52" spans="2:17">
      <c r="B52" s="6"/>
      <c r="C52" s="135"/>
      <c r="D52" s="135" t="str">
        <f>IF(C3="Project",C2&amp;" Travel &amp; Living Cost:",C2&amp;" Per Unit Travel &amp; Living Cost:")</f>
        <v>Integration Per Unit Travel &amp; Living Cost:</v>
      </c>
      <c r="E52" s="519">
        <f>SUM(E44:E51)</f>
        <v>0</v>
      </c>
      <c r="F52" s="520"/>
      <c r="G52" s="143" t="s">
        <v>410</v>
      </c>
      <c r="H52" s="142" t="str">
        <f>IFERROR((J52-E52)/J52,"TBD")</f>
        <v>TBD</v>
      </c>
      <c r="I52" s="8" t="s">
        <v>411</v>
      </c>
      <c r="J52" s="137">
        <f>SUM(J44:J51)</f>
        <v>0</v>
      </c>
      <c r="L52" s="375"/>
      <c r="M52" s="376"/>
      <c r="N52" s="376"/>
      <c r="O52" s="376"/>
      <c r="P52" s="376"/>
      <c r="Q52" s="377"/>
    </row>
    <row r="53" spans="2:17">
      <c r="L53" s="375"/>
      <c r="M53" s="376"/>
      <c r="N53" s="376"/>
      <c r="O53" s="376"/>
      <c r="P53" s="376"/>
      <c r="Q53" s="377"/>
    </row>
    <row r="54" spans="2:17">
      <c r="B54" s="7" t="str">
        <f>C2&amp;" Material &amp; Other Cost Factors:"</f>
        <v>Integration Material &amp; Other Cost Factors:</v>
      </c>
      <c r="C54" s="126"/>
      <c r="D54" s="126"/>
      <c r="E54" s="126"/>
      <c r="F54" s="126"/>
      <c r="G54" s="126"/>
      <c r="H54" s="126"/>
      <c r="I54" s="126"/>
      <c r="J54" s="126"/>
      <c r="L54" s="375"/>
      <c r="M54" s="376"/>
      <c r="N54" s="376"/>
      <c r="O54" s="376"/>
      <c r="P54" s="376"/>
      <c r="Q54" s="377"/>
    </row>
    <row r="55" spans="2:17">
      <c r="B55" s="4" t="s">
        <v>404</v>
      </c>
      <c r="C55" s="4" t="s">
        <v>405</v>
      </c>
      <c r="D55" s="4" t="s">
        <v>406</v>
      </c>
      <c r="E55" s="515" t="s">
        <v>383</v>
      </c>
      <c r="F55" s="516"/>
      <c r="G55" s="4" t="s">
        <v>384</v>
      </c>
      <c r="H55" s="13" t="s">
        <v>385</v>
      </c>
      <c r="I55" s="4" t="s">
        <v>412</v>
      </c>
      <c r="J55" s="4" t="s">
        <v>413</v>
      </c>
      <c r="L55" s="375"/>
      <c r="M55" s="376"/>
      <c r="N55" s="376"/>
      <c r="O55" s="376"/>
      <c r="P55" s="376"/>
      <c r="Q55" s="377"/>
    </row>
    <row r="56" spans="2:17">
      <c r="B56" s="39"/>
      <c r="C56" s="113">
        <v>0</v>
      </c>
      <c r="D56" s="120">
        <f>IFERROR(VLOOKUP(B56,'Expenses &amp; Materials'!$B$13:$C$18,2,FALSE),0)</f>
        <v>0</v>
      </c>
      <c r="E56" s="517">
        <f t="shared" ref="E56:E63" si="9">C56*D56</f>
        <v>0</v>
      </c>
      <c r="F56" s="518"/>
      <c r="G56" s="141" t="s">
        <v>390</v>
      </c>
      <c r="H56" s="153">
        <f>IFERROR(IF(G56="Specified Margin",Baseline!$G$10,(I56-D56)/I56),"TBD")</f>
        <v>0.15</v>
      </c>
      <c r="I56" s="163">
        <f>IFERROR(IF(G56="Specified Margin",D56/(1-H56),"Enter Sell Rate"),"TBD")</f>
        <v>0</v>
      </c>
      <c r="J56" s="62">
        <f>IFERROR(C56*I56,"TBD")</f>
        <v>0</v>
      </c>
      <c r="L56" s="372"/>
      <c r="M56" s="373"/>
      <c r="N56" s="373"/>
      <c r="O56" s="373"/>
      <c r="P56" s="373"/>
      <c r="Q56" s="374"/>
    </row>
    <row r="57" spans="2:17">
      <c r="B57" s="39"/>
      <c r="C57" s="113">
        <v>0</v>
      </c>
      <c r="D57" s="120">
        <f>IFERROR(VLOOKUP(B57,'Expenses &amp; Materials'!$B$13:$C$18,2,FALSE),0)</f>
        <v>0</v>
      </c>
      <c r="E57" s="517">
        <f t="shared" si="9"/>
        <v>0</v>
      </c>
      <c r="F57" s="518"/>
      <c r="G57" s="141" t="s">
        <v>390</v>
      </c>
      <c r="H57" s="153">
        <f>Baseline!$G$10</f>
        <v>0.15</v>
      </c>
      <c r="I57" s="163">
        <f t="shared" ref="I57:I63" si="10">IFERROR(IF(G57="Specified Margin",D57/(1-H57),"Enter Sell Rate"),"TBD")</f>
        <v>0</v>
      </c>
      <c r="J57" s="62">
        <f t="shared" ref="J57:J63" si="11">IFERROR(C57*I57,"TBD")</f>
        <v>0</v>
      </c>
    </row>
    <row r="58" spans="2:17">
      <c r="B58" s="39"/>
      <c r="C58" s="113">
        <v>0</v>
      </c>
      <c r="D58" s="120">
        <f>IFERROR(VLOOKUP(B58,'Expenses &amp; Materials'!$B$13:$C$18,2,FALSE),0)</f>
        <v>0</v>
      </c>
      <c r="E58" s="517">
        <f t="shared" si="9"/>
        <v>0</v>
      </c>
      <c r="F58" s="518"/>
      <c r="G58" s="141" t="s">
        <v>390</v>
      </c>
      <c r="H58" s="153">
        <f>Baseline!$G$10</f>
        <v>0.15</v>
      </c>
      <c r="I58" s="163">
        <f t="shared" si="10"/>
        <v>0</v>
      </c>
      <c r="J58" s="62">
        <f t="shared" si="11"/>
        <v>0</v>
      </c>
      <c r="L58" s="7" t="str">
        <f>C2&amp;" Financial Breakdown:"</f>
        <v>Integration Financial Breakdown:</v>
      </c>
      <c r="M58" s="126"/>
      <c r="N58" s="126"/>
      <c r="O58" s="126"/>
      <c r="P58" s="126"/>
      <c r="Q58" s="126"/>
    </row>
    <row r="59" spans="2:17">
      <c r="B59" s="39"/>
      <c r="C59" s="113">
        <v>0</v>
      </c>
      <c r="D59" s="120">
        <f>IFERROR(VLOOKUP(B59,'Expenses &amp; Materials'!$B$13:$C$18,2,FALSE),0)</f>
        <v>0</v>
      </c>
      <c r="E59" s="517">
        <f t="shared" si="9"/>
        <v>0</v>
      </c>
      <c r="F59" s="518"/>
      <c r="G59" s="141" t="s">
        <v>390</v>
      </c>
      <c r="H59" s="153">
        <f>Baseline!$G$10</f>
        <v>0.15</v>
      </c>
      <c r="I59" s="163">
        <f t="shared" si="10"/>
        <v>0</v>
      </c>
      <c r="J59" s="62">
        <f t="shared" si="11"/>
        <v>0</v>
      </c>
      <c r="L59" s="4" t="str">
        <f>C2&amp;" Cost Factors:"</f>
        <v>Integration Cost Factors:</v>
      </c>
      <c r="M59" s="4" t="str">
        <f>"Total "&amp;C2&amp;" Cost:"</f>
        <v>Total Integration Cost:</v>
      </c>
      <c r="N59" s="4" t="str">
        <f>C2&amp;" Cost/Unit:"</f>
        <v>Integration Cost/Unit:</v>
      </c>
      <c r="O59" s="4" t="str">
        <f>IF(Baseline!G3="Variable Margin",C2&amp;" Blended Margin %:","Blended Margin %")</f>
        <v>Blended Margin %</v>
      </c>
      <c r="P59" s="128" t="str">
        <f>"Total "&amp;C2&amp;" Sell Price:"</f>
        <v>Total Integration Sell Price:</v>
      </c>
      <c r="Q59" s="4" t="str">
        <f>C2&amp;" Sell Price/Unit:"</f>
        <v>Integration Sell Price/Unit:</v>
      </c>
    </row>
    <row r="60" spans="2:17">
      <c r="B60" s="39"/>
      <c r="C60" s="113">
        <v>0</v>
      </c>
      <c r="D60" s="120">
        <f>IFERROR(VLOOKUP(B60,'Expenses &amp; Materials'!$B$13:$C$18,2,FALSE),0)</f>
        <v>0</v>
      </c>
      <c r="E60" s="517">
        <f t="shared" si="9"/>
        <v>0</v>
      </c>
      <c r="F60" s="518"/>
      <c r="G60" s="141" t="s">
        <v>390</v>
      </c>
      <c r="H60" s="153">
        <f>Baseline!$G$10</f>
        <v>0.15</v>
      </c>
      <c r="I60" s="163">
        <f t="shared" si="10"/>
        <v>0</v>
      </c>
      <c r="J60" s="62">
        <f t="shared" si="11"/>
        <v>0</v>
      </c>
      <c r="L60" s="137" t="s">
        <v>280</v>
      </c>
      <c r="M60" s="62">
        <f>IF($C$3="Project",$H$28,$H$28*$C$4)</f>
        <v>0</v>
      </c>
      <c r="N60" s="53">
        <f>IF(C3="Project",$H$28/$C$4,$H$28)</f>
        <v>0</v>
      </c>
      <c r="O60" s="79" t="str">
        <f>J28</f>
        <v>TBD</v>
      </c>
      <c r="P60" s="133" t="str">
        <f>IFERROR(IF(Baseline!$G$3="Variable Margin",IF(C3="Project",M28,M28*C4),M60/$M$64*Baseline!$D$14),"TBD")</f>
        <v>TBD</v>
      </c>
      <c r="Q60" s="53" t="str">
        <f>IFERROR(P60/$C$4,"TBD")</f>
        <v>TBD</v>
      </c>
    </row>
    <row r="61" spans="2:17">
      <c r="B61" s="39"/>
      <c r="C61" s="113">
        <v>0</v>
      </c>
      <c r="D61" s="120">
        <f>IFERROR(VLOOKUP(B61,'Expenses &amp; Materials'!$B$13:$C$18,2,FALSE),0)</f>
        <v>0</v>
      </c>
      <c r="E61" s="517">
        <f t="shared" si="9"/>
        <v>0</v>
      </c>
      <c r="F61" s="518"/>
      <c r="G61" s="141" t="s">
        <v>390</v>
      </c>
      <c r="H61" s="153">
        <f>Baseline!$G$10</f>
        <v>0.15</v>
      </c>
      <c r="I61" s="163">
        <f t="shared" si="10"/>
        <v>0</v>
      </c>
      <c r="J61" s="62">
        <f t="shared" si="11"/>
        <v>0</v>
      </c>
      <c r="L61" s="137" t="s">
        <v>394</v>
      </c>
      <c r="M61" s="62">
        <f>IF($C$3="Project",$H$40,$H$40*$C$4)</f>
        <v>0</v>
      </c>
      <c r="N61" s="53">
        <f>IF(C3="Project",$H$40/$C$4,$H$40)</f>
        <v>0</v>
      </c>
      <c r="O61" s="79" t="str">
        <f>J40</f>
        <v>TBD</v>
      </c>
      <c r="P61" s="133" t="str">
        <f>IFERROR(IF(Baseline!$G$3="Variable Margin",IF(C3="Project",M40,M40*C4),M61/$M$64*Baseline!$D$14),"TBD")</f>
        <v>TBD</v>
      </c>
      <c r="Q61" s="53" t="str">
        <f>IFERROR(P61/$C$4,"TBD")</f>
        <v>TBD</v>
      </c>
    </row>
    <row r="62" spans="2:17">
      <c r="B62" s="39"/>
      <c r="C62" s="113">
        <v>0</v>
      </c>
      <c r="D62" s="120">
        <f>IFERROR(VLOOKUP(B62,'Expenses &amp; Materials'!$B$13:$C$18,2,FALSE),0)</f>
        <v>0</v>
      </c>
      <c r="E62" s="517">
        <f t="shared" si="9"/>
        <v>0</v>
      </c>
      <c r="F62" s="518"/>
      <c r="G62" s="141" t="s">
        <v>390</v>
      </c>
      <c r="H62" s="153">
        <f>Baseline!$G$10</f>
        <v>0.15</v>
      </c>
      <c r="I62" s="163">
        <f t="shared" si="10"/>
        <v>0</v>
      </c>
      <c r="J62" s="62">
        <f t="shared" si="11"/>
        <v>0</v>
      </c>
      <c r="L62" s="137" t="s">
        <v>238</v>
      </c>
      <c r="M62" s="62">
        <f>IF($C$3="Project",$E$52,$E$52*$C$4)</f>
        <v>0</v>
      </c>
      <c r="N62" s="53">
        <f>IF(C3="Project",$E$52/$C$4,$E$52)</f>
        <v>0</v>
      </c>
      <c r="O62" s="79" t="str">
        <f>H52</f>
        <v>TBD</v>
      </c>
      <c r="P62" s="133" t="str">
        <f>IFERROR(IF(Baseline!$G$3="Variable Margin",IF(C3="Project",J52,J52*C4),M62/$M$64*Baseline!$D$14),"TBD")</f>
        <v>TBD</v>
      </c>
      <c r="Q62" s="53" t="str">
        <f>IFERROR(P62/$C$4,"TBD")</f>
        <v>TBD</v>
      </c>
    </row>
    <row r="63" spans="2:17">
      <c r="B63" s="39"/>
      <c r="C63" s="113">
        <v>0</v>
      </c>
      <c r="D63" s="120">
        <f>IFERROR(VLOOKUP(B63,'Expenses &amp; Materials'!$B$13:$C$18,2,FALSE),0)</f>
        <v>0</v>
      </c>
      <c r="E63" s="517">
        <f t="shared" si="9"/>
        <v>0</v>
      </c>
      <c r="F63" s="518"/>
      <c r="G63" s="141" t="s">
        <v>390</v>
      </c>
      <c r="H63" s="153">
        <f>Baseline!$G$10</f>
        <v>0.15</v>
      </c>
      <c r="I63" s="163">
        <f t="shared" si="10"/>
        <v>0</v>
      </c>
      <c r="J63" s="62">
        <f t="shared" si="11"/>
        <v>0</v>
      </c>
      <c r="L63" s="137" t="s">
        <v>415</v>
      </c>
      <c r="M63" s="62">
        <f>IF($C$3="Project",$E$64,$E$64*$C$4)</f>
        <v>0</v>
      </c>
      <c r="N63" s="53">
        <f>IF(C3="Project",$E$64/$C$4,$E$64)</f>
        <v>0</v>
      </c>
      <c r="O63" s="79" t="str">
        <f>H64</f>
        <v>TBD</v>
      </c>
      <c r="P63" s="133" t="str">
        <f>IFERROR(IF(Baseline!$G$3="Variable Margin",IF(C3="Project",J64,J64*C4),M63/$M$64*Baseline!$D$14),"TBD")</f>
        <v>TBD</v>
      </c>
      <c r="Q63" s="53" t="str">
        <f>IFERROR(P63/$C$4,"TBD")</f>
        <v>TBD</v>
      </c>
    </row>
    <row r="64" spans="2:17">
      <c r="B64" s="6"/>
      <c r="C64" s="135"/>
      <c r="D64" s="6" t="str">
        <f>IF(C3="Project",C2&amp;" Material &amp; Other Cost:",C2&amp;" Per Unit Material &amp; Other Cost:")</f>
        <v>Integration Per Unit Material &amp; Other Cost:</v>
      </c>
      <c r="E64" s="519">
        <f>SUM(E56:E63)</f>
        <v>0</v>
      </c>
      <c r="F64" s="520"/>
      <c r="G64" s="143" t="s">
        <v>416</v>
      </c>
      <c r="H64" s="142" t="str">
        <f>IFERROR((J64-E64)/J64,"TBD")</f>
        <v>TBD</v>
      </c>
      <c r="I64" s="8" t="s">
        <v>417</v>
      </c>
      <c r="J64" s="137">
        <f>SUM(J56:J63)</f>
        <v>0</v>
      </c>
      <c r="L64" s="137" t="s">
        <v>418</v>
      </c>
      <c r="M64" s="137">
        <f>SUM(M60:M63)</f>
        <v>0</v>
      </c>
      <c r="N64" s="8">
        <f>IFERROR(M64/C4,"TBD")</f>
        <v>0</v>
      </c>
      <c r="O64" s="77" t="str">
        <f>IFERROR((P64-M64)/P64,"TBD")</f>
        <v>TBD</v>
      </c>
      <c r="P64" s="143">
        <f>SUM(P60:P63)</f>
        <v>0</v>
      </c>
      <c r="Q64" s="8">
        <f>SUM(Q60:Q63)</f>
        <v>0</v>
      </c>
    </row>
  </sheetData>
  <sheetProtection algorithmName="SHA-512" hashValue="o9pAsZQwC4a/+69kcD7pXd7FY24eQt3LTzcSmJo25hTWBZJ1U5jcxWi8qcFXTzTCNNHfVoNNp8T5fFJEJ2A0fg==" saltValue="WqNgJxmBSkuqDwuo7WRFTQ==" spinCount="100000" sheet="1" objects="1" scenarios="1"/>
  <mergeCells count="77">
    <mergeCell ref="E62:F62"/>
    <mergeCell ref="E63:F63"/>
    <mergeCell ref="E64:F64"/>
    <mergeCell ref="K13:L13"/>
    <mergeCell ref="K14:L14"/>
    <mergeCell ref="K15:L15"/>
    <mergeCell ref="K16:L16"/>
    <mergeCell ref="K17:L17"/>
    <mergeCell ref="K18:L18"/>
    <mergeCell ref="K19:L19"/>
    <mergeCell ref="K20:L20"/>
    <mergeCell ref="K21:L21"/>
    <mergeCell ref="K22:L22"/>
    <mergeCell ref="K31:L31"/>
    <mergeCell ref="E56:F56"/>
    <mergeCell ref="E58:F58"/>
    <mergeCell ref="E59:F59"/>
    <mergeCell ref="E60:F60"/>
    <mergeCell ref="E55:F55"/>
    <mergeCell ref="E61:F61"/>
    <mergeCell ref="E45:F45"/>
    <mergeCell ref="E46:F46"/>
    <mergeCell ref="E47:F47"/>
    <mergeCell ref="E48:F48"/>
    <mergeCell ref="E57:F57"/>
    <mergeCell ref="E49:F49"/>
    <mergeCell ref="E50:F50"/>
    <mergeCell ref="E51:F51"/>
    <mergeCell ref="E52:F52"/>
    <mergeCell ref="N7:Q7"/>
    <mergeCell ref="N8:Q8"/>
    <mergeCell ref="N24:Q24"/>
    <mergeCell ref="N25:Q25"/>
    <mergeCell ref="E43:F43"/>
    <mergeCell ref="K38:L38"/>
    <mergeCell ref="K39:L39"/>
    <mergeCell ref="K40:L40"/>
    <mergeCell ref="K33:L33"/>
    <mergeCell ref="K34:L34"/>
    <mergeCell ref="K35:L35"/>
    <mergeCell ref="K36:L36"/>
    <mergeCell ref="K37:L37"/>
    <mergeCell ref="N26:Q26"/>
    <mergeCell ref="E44:F44"/>
    <mergeCell ref="J4:K4"/>
    <mergeCell ref="K26:L26"/>
    <mergeCell ref="K27:L27"/>
    <mergeCell ref="K28:L28"/>
    <mergeCell ref="K32:L32"/>
    <mergeCell ref="K9:L9"/>
    <mergeCell ref="K10:L10"/>
    <mergeCell ref="K11:L11"/>
    <mergeCell ref="K12:L12"/>
    <mergeCell ref="K23:L23"/>
    <mergeCell ref="J3:K3"/>
    <mergeCell ref="L50:Q50"/>
    <mergeCell ref="N31:Q31"/>
    <mergeCell ref="N32:Q32"/>
    <mergeCell ref="N38:Q38"/>
    <mergeCell ref="N39:Q39"/>
    <mergeCell ref="L43:Q43"/>
    <mergeCell ref="L44:Q44"/>
    <mergeCell ref="L45:Q45"/>
    <mergeCell ref="L46:Q46"/>
    <mergeCell ref="L47:Q47"/>
    <mergeCell ref="L48:Q48"/>
    <mergeCell ref="L49:Q49"/>
    <mergeCell ref="K8:L8"/>
    <mergeCell ref="K24:L24"/>
    <mergeCell ref="K25:L25"/>
    <mergeCell ref="L53:Q53"/>
    <mergeCell ref="L54:Q54"/>
    <mergeCell ref="L55:Q55"/>
    <mergeCell ref="L56:Q56"/>
    <mergeCell ref="N27:Q27"/>
    <mergeCell ref="L52:Q52"/>
    <mergeCell ref="L51:Q51"/>
  </mergeCells>
  <conditionalFormatting sqref="M3">
    <cfRule type="expression" dxfId="104" priority="23">
      <formula>H3="Partner"</formula>
    </cfRule>
  </conditionalFormatting>
  <conditionalFormatting sqref="G32">
    <cfRule type="expression" dxfId="103" priority="34">
      <formula>B32="Partner"</formula>
    </cfRule>
  </conditionalFormatting>
  <conditionalFormatting sqref="G33:G39">
    <cfRule type="expression" dxfId="102" priority="33">
      <formula>B33="Partner"</formula>
    </cfRule>
  </conditionalFormatting>
  <conditionalFormatting sqref="D44:D51">
    <cfRule type="expression" dxfId="101" priority="29">
      <formula>OR(B44="Roundtrip Airfare",B44="Metro City Hotel",B44="Non-Metro City Hotel",B44="Vehicle/Taxi/Uber",B44="Per Diem")=TRUE</formula>
    </cfRule>
  </conditionalFormatting>
  <conditionalFormatting sqref="D56">
    <cfRule type="expression" dxfId="100" priority="28">
      <formula>OR(B56="Background Check",B56="Storage (Per Pallet)")=TRUE</formula>
    </cfRule>
  </conditionalFormatting>
  <conditionalFormatting sqref="D57 D59 D61:D62">
    <cfRule type="expression" dxfId="99" priority="27">
      <formula>OR(B57="Background Check",B57="Storage (Per Pallet)")=TRUE</formula>
    </cfRule>
  </conditionalFormatting>
  <conditionalFormatting sqref="D63 D58 D60">
    <cfRule type="expression" dxfId="98" priority="26">
      <formula>OR(B58="Background Check",B58="Storage (Per Pallet)")=TRUE</formula>
    </cfRule>
  </conditionalFormatting>
  <conditionalFormatting sqref="H3:H4">
    <cfRule type="expression" dxfId="97" priority="24">
      <formula>C3="Partner"</formula>
    </cfRule>
  </conditionalFormatting>
  <conditionalFormatting sqref="J3">
    <cfRule type="cellIs" dxfId="96" priority="22" operator="lessThan">
      <formula>0.375</formula>
    </cfRule>
  </conditionalFormatting>
  <conditionalFormatting sqref="J32:J39">
    <cfRule type="expression" dxfId="95" priority="18">
      <formula>I32="Specified Sell Rate"</formula>
    </cfRule>
  </conditionalFormatting>
  <conditionalFormatting sqref="K8:K27">
    <cfRule type="expression" dxfId="94" priority="14">
      <formula>K8="Enter Sell Rate"</formula>
    </cfRule>
    <cfRule type="expression" dxfId="93" priority="15">
      <formula>I8="Specified Margin"</formula>
    </cfRule>
  </conditionalFormatting>
  <conditionalFormatting sqref="K32:K39">
    <cfRule type="expression" dxfId="92" priority="10">
      <formula>K32="Enter Sell Rate"</formula>
    </cfRule>
    <cfRule type="expression" dxfId="91" priority="11">
      <formula>I32="Specified Margin"</formula>
    </cfRule>
  </conditionalFormatting>
  <conditionalFormatting sqref="H44:H51">
    <cfRule type="expression" dxfId="90" priority="9">
      <formula>OR(E44="Roundtrip Airfare",E44="Metro City Hotel",E44="Non-Metro City Hotel",E44="Vehicle/Taxi/Uber",E44="Per Diem")=TRUE</formula>
    </cfRule>
  </conditionalFormatting>
  <conditionalFormatting sqref="I44:I51">
    <cfRule type="expression" dxfId="89" priority="7">
      <formula>I44="Enter Sell Rate"</formula>
    </cfRule>
    <cfRule type="expression" dxfId="88" priority="8">
      <formula>G44="Specified Sell Rate"</formula>
    </cfRule>
  </conditionalFormatting>
  <conditionalFormatting sqref="H56:H63">
    <cfRule type="expression" dxfId="87" priority="6">
      <formula>OR(E56="Roundtrip Airfare",E56="Metro City Hotel",E56="Non-Metro City Hotel",E56="Vehicle/Taxi/Uber",E56="Per Diem")=TRUE</formula>
    </cfRule>
  </conditionalFormatting>
  <conditionalFormatting sqref="I56:I63">
    <cfRule type="expression" dxfId="86" priority="4">
      <formula>I56="Enter Sell Rate"</formula>
    </cfRule>
    <cfRule type="expression" dxfId="85" priority="5">
      <formula>G56="Specified Sell Rate"</formula>
    </cfRule>
  </conditionalFormatting>
  <conditionalFormatting sqref="J8:J27">
    <cfRule type="expression" dxfId="84" priority="3">
      <formula>I8="Specified Sell Rate"</formula>
    </cfRule>
  </conditionalFormatting>
  <dataValidations count="8">
    <dataValidation type="list" allowBlank="1" showInputMessage="1" sqref="C3" xr:uid="{00000000-0002-0000-0800-000002000000}">
      <formula1>"Project, Per Unit"</formula1>
    </dataValidation>
    <dataValidation type="list" allowBlank="1" showInputMessage="1" showErrorMessage="1" sqref="E32:E39" xr:uid="{00000000-0002-0000-0800-000000000000}">
      <formula1>"Regular,OT"</formula1>
    </dataValidation>
    <dataValidation type="list" allowBlank="1" showInputMessage="1" showErrorMessage="1" sqref="B32:B39" xr:uid="{00000000-0002-0000-0800-000001000000}">
      <formula1>"Field Nation,Partner"</formula1>
    </dataValidation>
    <dataValidation type="list" allowBlank="1" showInputMessage="1" showErrorMessage="1" sqref="G56:G63 G44:G51 I32:I39 I8:I27" xr:uid="{6002FFF7-B0E7-4F9A-B6D6-27751F986F99}">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39EB3894-C55E-49D4-B4F2-87D761C6BF5E}">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6F1E2B9D-1FFA-4C47-B905-AE03246F93D4}">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DB467760-A9D7-4FB0-813F-5A40A06E3CBA}">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1FEB491D-1C7A-482D-B13A-486B0F13FA4A}">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35" id="{16FEF977-029E-4616-82CE-2B2B39332945}">
            <xm:f>Baseline!$D$6="Department Based"</xm:f>
            <x14:dxf>
              <font>
                <color theme="3" tint="0.59996337778862885"/>
              </font>
            </x14:dxf>
          </x14:cfRule>
          <xm:sqref>D2:D3</xm:sqref>
        </x14:conditionalFormatting>
        <x14:conditionalFormatting xmlns:xm="http://schemas.microsoft.com/office/excel/2006/main">
          <x14:cfRule type="expression" priority="436" id="{80AC4E38-A3C7-421D-8EFA-4B7AC7A8C0F2}">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37" id="{DC9B8620-3A57-4D63-8236-F2831688A572}">
            <xm:f>Baseline!$D$6="Phase Based"</xm:f>
            <x14:dxf>
              <fill>
                <patternFill>
                  <bgColor theme="2" tint="-0.24994659260841701"/>
                </patternFill>
              </fill>
            </x14:dxf>
          </x14:cfRule>
          <xm:sqref>B8</xm:sqref>
        </x14:conditionalFormatting>
        <x14:conditionalFormatting xmlns:xm="http://schemas.microsoft.com/office/excel/2006/main">
          <x14:cfRule type="expression" priority="2" id="{FFB8C126-07FF-4E3E-B2C5-139F99B0373A}">
            <xm:f>'COLA (WIP)'!$C$4="Yes"</xm:f>
            <x14:dxf>
              <fill>
                <patternFill>
                  <bgColor theme="0"/>
                </patternFill>
              </fill>
            </x14:dxf>
          </x14:cfRule>
          <xm:sqref>E4</xm:sqref>
        </x14:conditionalFormatting>
        <x14:conditionalFormatting xmlns:xm="http://schemas.microsoft.com/office/excel/2006/main">
          <x14:cfRule type="expression" priority="1" id="{F391E753-3435-48DE-A4D9-5A6C8B69E608}">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800-000003000000}">
          <x14:formula1>
            <xm:f>IF(B32="Field Nation",'Resource Descriptions'!$D$116:$D$119,'Resource Descriptions'!$D$120)</xm:f>
          </x14:formula1>
          <xm:sqref>C32:C39</xm:sqref>
        </x14:dataValidation>
        <x14:dataValidation type="list" allowBlank="1" showInputMessage="1" xr:uid="{00000000-0002-0000-0800-000007000000}">
          <x14:formula1>
            <xm:f>'Expenses &amp; Materials'!$B$4:$B$10</xm:f>
          </x14:formula1>
          <xm:sqref>B44:B51</xm:sqref>
        </x14:dataValidation>
        <x14:dataValidation type="list" allowBlank="1" showInputMessage="1" xr:uid="{00000000-0002-0000-0800-000006000000}">
          <x14:formula1>
            <xm:f>'Expenses &amp; Materials'!$B$14:$B$16</xm:f>
          </x14:formula1>
          <xm:sqref>B56:B63</xm:sqref>
        </x14:dataValidation>
        <x14:dataValidation type="list" allowBlank="1" showInputMessage="1" showErrorMessage="1" xr:uid="{2D60F4AA-FA6D-4612-B47D-05FA13205C6C}">
          <x14:formula1>
            <xm:f>'Data Tables'!$B$4:$B$15</xm:f>
          </x14:formula1>
          <xm:sqref>B8:B27</xm:sqref>
        </x14:dataValidation>
        <x14:dataValidation type="list" allowBlank="1" showInputMessage="1" showErrorMessage="1" xr:uid="{6BD509C3-78DB-443C-99D0-86036A525E01}">
          <x14:formula1>
            <xm:f>OFFSET('Resource Descriptions'!$D$6,VLOOKUP(B8,'Data Tables'!$B$3:$E$17,2,FALSE),0,VLOOKUP(B8,'Data Tables'!$B$3:$E$17,4,FALSE),1)</xm:f>
          </x14:formula1>
          <xm:sqref>C8:C27</xm:sqref>
        </x14:dataValidation>
        <x14:dataValidation type="list" allowBlank="1" showInputMessage="1" showErrorMessage="1" xr:uid="{371B377D-D3B5-464C-8BCA-B708955928EE}">
          <x14:formula1>
            <xm:f>OFFSET('Data Tables'!$C$20,VLOOKUP(C8,'Data Tables'!$G$17:$J$118,2,FALSE),0,VLOOKUP(C8,'Data Tables'!$G$17:$J$118,4,FALSE),1)</xm:f>
          </x14:formula1>
          <xm:sqref>E8:E27</xm:sqref>
        </x14:dataValidation>
        <x14:dataValidation type="list" allowBlank="1" showInputMessage="1" showErrorMessage="1" xr:uid="{730EBC78-C116-4D1C-A9E7-5430A4286FA9}">
          <x14:formula1>
            <xm:f>IF('COLA (WIP)'!C4="Yes",'COLA (WIP)'!$D$10:$M$10,"")</xm:f>
          </x14:formula1>
          <xm:sqref>E4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2:Q64"/>
  <sheetViews>
    <sheetView showGridLines="0" zoomScale="80" zoomScaleNormal="80" workbookViewId="0">
      <selection activeCell="C2" sqref="C2"/>
    </sheetView>
  </sheetViews>
  <sheetFormatPr defaultColWidth="8.85546875" defaultRowHeight="15"/>
  <cols>
    <col min="1" max="1" width="3.42578125" style="33" customWidth="1"/>
    <col min="2" max="2" width="28.42578125" style="33" bestFit="1" customWidth="1"/>
    <col min="3" max="3" width="32.140625" style="33" bestFit="1" customWidth="1"/>
    <col min="4" max="5" width="20.42578125" style="33" customWidth="1"/>
    <col min="6" max="6" width="3.42578125" style="33" customWidth="1"/>
    <col min="7" max="10" width="23.42578125" style="33" customWidth="1"/>
    <col min="11" max="11" width="3.42578125" style="33" customWidth="1"/>
    <col min="12" max="17" width="23.42578125" style="33" customWidth="1"/>
    <col min="18" max="16384" width="8.85546875" style="33"/>
  </cols>
  <sheetData>
    <row r="2" spans="1:17">
      <c r="A2" s="109"/>
      <c r="B2" s="121" t="s">
        <v>370</v>
      </c>
      <c r="C2" s="110" t="str">
        <f>IF(Baseline!D6='Data Tables'!L3,'Data Tables'!L10,IF(Baseline!D6='Data Tables'!M3,'Data Tables'!M10,'Data Tables'!N10))</f>
        <v>Logistics</v>
      </c>
      <c r="D2" s="34" t="s">
        <v>371</v>
      </c>
      <c r="E2" s="111" t="s">
        <v>372</v>
      </c>
      <c r="G2" s="122" t="s">
        <v>373</v>
      </c>
      <c r="H2" s="122"/>
      <c r="I2" s="123"/>
      <c r="J2" s="7"/>
      <c r="K2" s="7"/>
      <c r="L2" s="7"/>
      <c r="M2" s="7"/>
    </row>
    <row r="3" spans="1:17">
      <c r="B3" s="4" t="s">
        <v>374</v>
      </c>
      <c r="C3" s="39" t="str">
        <f>IF(Baseline!D6="Department Based","Per Unit","Project")</f>
        <v>Per Unit</v>
      </c>
      <c r="D3" s="34" t="s">
        <v>375</v>
      </c>
      <c r="E3" s="39">
        <v>0</v>
      </c>
      <c r="G3" s="4" t="str">
        <f>C2&amp;" Price:"</f>
        <v>Logistics Price:</v>
      </c>
      <c r="H3" s="124">
        <f>P64</f>
        <v>0</v>
      </c>
      <c r="I3" s="4" t="s">
        <v>303</v>
      </c>
      <c r="J3" s="384">
        <f>Baseline!$G$24</f>
        <v>0.41046428571428573</v>
      </c>
      <c r="K3" s="385"/>
      <c r="L3" s="4" t="s">
        <v>376</v>
      </c>
      <c r="M3" s="124">
        <f>Baseline!$D$24</f>
        <v>28000</v>
      </c>
    </row>
    <row r="4" spans="1:17">
      <c r="B4" s="4" t="s">
        <v>322</v>
      </c>
      <c r="C4" s="110">
        <f>Baseline!D8</f>
        <v>1</v>
      </c>
      <c r="D4" s="224" t="s">
        <v>377</v>
      </c>
      <c r="E4" s="225"/>
      <c r="G4" s="4" t="str">
        <f>C2&amp;" Blended Margin %:"</f>
        <v>Logistics Blended Margin %:</v>
      </c>
      <c r="H4" s="125" t="str">
        <f>O64</f>
        <v>TBD</v>
      </c>
      <c r="I4" s="4" t="s">
        <v>306</v>
      </c>
      <c r="J4" s="384">
        <f ca="1">Baseline!$G$27</f>
        <v>0.37715551785714285</v>
      </c>
      <c r="K4" s="385"/>
      <c r="L4" s="4" t="s">
        <v>378</v>
      </c>
      <c r="M4" s="77">
        <f ca="1">Baseline!$J$5</f>
        <v>8.6024110983219243E-2</v>
      </c>
    </row>
    <row r="6" spans="1:17">
      <c r="B6" s="7" t="str">
        <f>C2&amp;" Resource Cost Factors:"</f>
        <v>Logistics Resource Cost Factors:</v>
      </c>
      <c r="C6" s="7"/>
      <c r="D6" s="126"/>
      <c r="E6" s="126"/>
      <c r="F6" s="126"/>
      <c r="G6" s="126"/>
      <c r="H6" s="126"/>
      <c r="I6" s="126"/>
      <c r="J6" s="126"/>
      <c r="K6" s="126"/>
      <c r="L6" s="126"/>
      <c r="M6" s="126"/>
      <c r="N6" s="126"/>
      <c r="O6" s="126"/>
      <c r="P6" s="126"/>
      <c r="Q6" s="127"/>
    </row>
    <row r="7" spans="1:17">
      <c r="B7" s="4" t="s">
        <v>379</v>
      </c>
      <c r="C7" s="4" t="s">
        <v>280</v>
      </c>
      <c r="D7" s="4" t="s">
        <v>380</v>
      </c>
      <c r="E7" s="128" t="s">
        <v>381</v>
      </c>
      <c r="F7" s="128"/>
      <c r="G7" s="49" t="s">
        <v>382</v>
      </c>
      <c r="H7" s="49" t="s">
        <v>383</v>
      </c>
      <c r="I7" s="4" t="s">
        <v>384</v>
      </c>
      <c r="J7" s="4" t="s">
        <v>385</v>
      </c>
      <c r="K7" s="129"/>
      <c r="L7" s="129" t="s">
        <v>386</v>
      </c>
      <c r="M7" s="4" t="s">
        <v>387</v>
      </c>
      <c r="N7" s="381" t="s">
        <v>388</v>
      </c>
      <c r="O7" s="382"/>
      <c r="P7" s="382"/>
      <c r="Q7" s="383"/>
    </row>
    <row r="8" spans="1:17">
      <c r="B8" s="39" t="str">
        <f>IF(Baseline!$D$6="Department Based","Logistics","PMO")</f>
        <v>Logistics</v>
      </c>
      <c r="C8" s="39" t="str">
        <f>IF(Baseline!$D$6="Department Based","Warehouse 1","")</f>
        <v>Warehouse 1</v>
      </c>
      <c r="D8" s="113">
        <v>0</v>
      </c>
      <c r="E8" s="113" t="s">
        <v>389</v>
      </c>
      <c r="F8" s="130"/>
      <c r="G8" s="131">
        <f>IFERROR(IF(E8="Regular",VLOOKUP(C8,Resource_Rates_Table[],3,FALSE),(IF(Logistics!E8="OT",VLOOKUP(C8,Resource_Rates_Table[],4,FALSE),IF(E8="Regular/1st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20</v>
      </c>
      <c r="H8" s="132">
        <f>D8*G8</f>
        <v>0</v>
      </c>
      <c r="I8" s="141" t="s">
        <v>390</v>
      </c>
      <c r="J8" s="144">
        <f>IFERROR(IF(I8="Specified Margin",IFERROR(_xlfn.IFS(ISNUMBER(SEARCH("India",C8))=TRUE,Baseline!$G$6,ISNUMBER(SEARCH("Pakistan",C8))=TRUE,Baseline!$G$7),Baseline!$G$5),(K8-G8)/K8),"TBD")</f>
        <v>0.35</v>
      </c>
      <c r="K8" s="511">
        <f>IFERROR(IF(I8="Specified Margin",G8/(1-J8),"Enter Sell Rate"),"TBD")</f>
        <v>30.769230769230766</v>
      </c>
      <c r="L8" s="512"/>
      <c r="M8" s="149">
        <f>IFERROR(D8*K8,"TBD")</f>
        <v>0</v>
      </c>
      <c r="N8" s="340"/>
      <c r="O8" s="380"/>
      <c r="P8" s="380"/>
      <c r="Q8" s="341"/>
    </row>
    <row r="9" spans="1:17">
      <c r="B9" s="39" t="str">
        <f>IF(Baseline!$D$6="Department Based","Logistics","")</f>
        <v>Logistics</v>
      </c>
      <c r="C9" s="39" t="str">
        <f>IF(Baseline!$D$6="Department Based","Warehouse 1","")</f>
        <v>Warehouse 1</v>
      </c>
      <c r="D9" s="113">
        <v>0</v>
      </c>
      <c r="E9" s="113" t="s">
        <v>389</v>
      </c>
      <c r="F9" s="130"/>
      <c r="G9" s="131">
        <f>IFERROR(IF(E9="Regular",VLOOKUP(C9,Resource_Rates_Table[],3,FALSE),(IF(Logistics!E9="OT",VLOOKUP(C9,Resource_Rates_Table[],4,FALSE),IF(E9="Regular/1st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20</v>
      </c>
      <c r="H9" s="62">
        <f>D9*G9</f>
        <v>0</v>
      </c>
      <c r="I9" s="141" t="s">
        <v>390</v>
      </c>
      <c r="J9" s="144">
        <f>IFERROR(IF(I9="Specified Margin",IFERROR(_xlfn.IFS(ISNUMBER(SEARCH("India",C9))=TRUE,Baseline!$G$6,ISNUMBER(SEARCH("Pakistan",C9))=TRUE,Baseline!$G$7),Baseline!$G$5),(K9-G9)/K9),"TBD")</f>
        <v>0.35</v>
      </c>
      <c r="K9" s="511">
        <f t="shared" ref="K9:K27" si="0">IFERROR(IF(I9="Specified Margin",G9/(1-J9),"Enter Sell Rate"),"TBD")</f>
        <v>30.769230769230766</v>
      </c>
      <c r="L9" s="512"/>
      <c r="M9" s="149">
        <f>IFERROR(D9*K9,"TBD")</f>
        <v>0</v>
      </c>
      <c r="N9" s="116"/>
      <c r="O9" s="117"/>
      <c r="P9" s="117"/>
      <c r="Q9" s="118"/>
    </row>
    <row r="10" spans="1:17">
      <c r="B10" s="39" t="str">
        <f>IF(Baseline!$D$6="Department Based","Logistics","")</f>
        <v>Logistics</v>
      </c>
      <c r="C10" s="39" t="str">
        <f>IF(Baseline!$D$6="Department Based","Warehouse 2","")</f>
        <v>Warehouse 2</v>
      </c>
      <c r="D10" s="113">
        <v>0</v>
      </c>
      <c r="E10" s="113" t="s">
        <v>389</v>
      </c>
      <c r="F10" s="130"/>
      <c r="G10" s="131">
        <f>IFERROR(IF(E10="Regular",VLOOKUP(C10,Resource_Rates_Table[],3,FALSE),(IF(Logistics!E10="OT",VLOOKUP(C10,Resource_Rates_Table[],4,FALSE),IF(E10="Regular/1st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30</v>
      </c>
      <c r="H10" s="62">
        <f>D10*G10</f>
        <v>0</v>
      </c>
      <c r="I10" s="141" t="s">
        <v>390</v>
      </c>
      <c r="J10" s="144" cm="1">
        <f t="array" ref="J10">IFERROR(IF(I10="Specified Margin",IFERROR(_xlfn.IFS(ISNUMBER(SEARCH("India",C10))=TRUE,Baseline!$G$6,ISNUMBER(SEARCH("Pakistan",C10))=TRUE,Baseline!$G$7),Baseline!$G$5),(K10-G10)/K10),"TBD")</f>
        <v>0.35</v>
      </c>
      <c r="K10" s="511">
        <f t="shared" si="0"/>
        <v>46.153846153846153</v>
      </c>
      <c r="L10" s="512"/>
      <c r="M10" s="149">
        <f t="shared" ref="M10:M27" si="1">IFERROR(D10*K10,"TBD")</f>
        <v>0</v>
      </c>
      <c r="N10" s="116"/>
      <c r="O10" s="117"/>
      <c r="P10" s="117"/>
      <c r="Q10" s="118"/>
    </row>
    <row r="11" spans="1:17">
      <c r="B11" s="39" t="str">
        <f>IF(Baseline!$D$6="Department Based","Logistics","")</f>
        <v>Logistics</v>
      </c>
      <c r="C11" s="39" t="str">
        <f>IF(Baseline!$D$6="Department Based","Warehouse 2","")</f>
        <v>Warehouse 2</v>
      </c>
      <c r="D11" s="113">
        <v>0</v>
      </c>
      <c r="E11" s="113" t="s">
        <v>389</v>
      </c>
      <c r="F11" s="130"/>
      <c r="G11" s="131">
        <f>IFERROR(IF(E11="Regular",VLOOKUP(C11,Resource_Rates_Table[],3,FALSE),(IF(Logistics!E11="OT",VLOOKUP(C11,Resource_Rates_Table[],4,FALSE),IF(E11="Regular/1st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30</v>
      </c>
      <c r="H11" s="62">
        <f>D11*G11</f>
        <v>0</v>
      </c>
      <c r="I11" s="141" t="s">
        <v>390</v>
      </c>
      <c r="J11" s="144" cm="1">
        <f t="array" ref="J11">IFERROR(IF(I11="Specified Margin",IFERROR(_xlfn.IFS(ISNUMBER(SEARCH("India",C11))=TRUE,Baseline!$G$6,ISNUMBER(SEARCH("Pakistan",C11))=TRUE,Baseline!$G$7),Baseline!$G$5),(K11-G11)/K11),"TBD")</f>
        <v>0.35</v>
      </c>
      <c r="K11" s="511">
        <f t="shared" si="0"/>
        <v>46.153846153846153</v>
      </c>
      <c r="L11" s="512"/>
      <c r="M11" s="149">
        <f t="shared" si="1"/>
        <v>0</v>
      </c>
      <c r="N11" s="116"/>
      <c r="O11" s="117"/>
      <c r="P11" s="117"/>
      <c r="Q11" s="118"/>
    </row>
    <row r="12" spans="1:17">
      <c r="B12" s="39"/>
      <c r="C12" s="39"/>
      <c r="D12" s="113">
        <v>0</v>
      </c>
      <c r="E12" s="113" t="s">
        <v>389</v>
      </c>
      <c r="F12" s="130"/>
      <c r="G12" s="131">
        <f>IFERROR(IF(E12="Regular",VLOOKUP(C12,Resource_Rates_Table[],3,FALSE),(IF(Logistics!E12="OT",VLOOKUP(C12,Resource_Rates_Table[],4,FALSE),IF(E12="Regular/1st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 t="shared" ref="H12:H21" si="2">D12*G12</f>
        <v>0</v>
      </c>
      <c r="I12" s="141" t="s">
        <v>390</v>
      </c>
      <c r="J12" s="144" cm="1">
        <f t="array" ref="J12">IFERROR(IF(I12="Specified Margin",IFERROR(_xlfn.IFS(ISNUMBER(SEARCH("India",C12))=TRUE,Baseline!$G$6,ISNUMBER(SEARCH("Pakistan",C12))=TRUE,Baseline!$G$7),Baseline!$G$5),(K12-G12)/K12),"TBD")</f>
        <v>0.35</v>
      </c>
      <c r="K12" s="511">
        <f t="shared" si="0"/>
        <v>0</v>
      </c>
      <c r="L12" s="512"/>
      <c r="M12" s="149">
        <f t="shared" si="1"/>
        <v>0</v>
      </c>
      <c r="N12" s="116"/>
      <c r="O12" s="117"/>
      <c r="P12" s="117"/>
      <c r="Q12" s="118"/>
    </row>
    <row r="13" spans="1:17">
      <c r="B13" s="39"/>
      <c r="C13" s="39"/>
      <c r="D13" s="113">
        <v>0</v>
      </c>
      <c r="E13" s="113" t="s">
        <v>389</v>
      </c>
      <c r="F13" s="130"/>
      <c r="G13" s="131">
        <f>IFERROR(IF(E13="Regular",VLOOKUP(C13,Resource_Rates_Table[],3,FALSE),(IF(Logistics!E13="OT",VLOOKUP(C13,Resource_Rates_Table[],4,FALSE),IF(E13="Regular/1st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si="2"/>
        <v>0</v>
      </c>
      <c r="I13" s="141" t="s">
        <v>390</v>
      </c>
      <c r="J13" s="144" cm="1">
        <f t="array" ref="J13">IFERROR(IF(I13="Specified Margin",IFERROR(_xlfn.IFS(ISNUMBER(SEARCH("India",C13))=TRUE,Baseline!$G$6,ISNUMBER(SEARCH("Pakistan",C13))=TRUE,Baseline!$G$7),Baseline!$G$5),(K13-G13)/K13),"TBD")</f>
        <v>0.35</v>
      </c>
      <c r="K13" s="511">
        <f t="shared" si="0"/>
        <v>0</v>
      </c>
      <c r="L13" s="512"/>
      <c r="M13" s="149">
        <f t="shared" si="1"/>
        <v>0</v>
      </c>
      <c r="N13" s="116"/>
      <c r="O13" s="117"/>
      <c r="P13" s="117"/>
      <c r="Q13" s="118"/>
    </row>
    <row r="14" spans="1:17">
      <c r="B14" s="39"/>
      <c r="C14" s="39"/>
      <c r="D14" s="113">
        <v>0</v>
      </c>
      <c r="E14" s="113" t="s">
        <v>389</v>
      </c>
      <c r="F14" s="130"/>
      <c r="G14" s="131">
        <f>IFERROR(IF(E14="Regular",VLOOKUP(C14,Resource_Rates_Table[],3,FALSE),(IF(Logistics!E14="OT",VLOOKUP(C14,Resource_Rates_Table[],4,FALSE),IF(E14="Regular/1st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390</v>
      </c>
      <c r="J14" s="144" cm="1">
        <f t="array" ref="J14">IFERROR(IF(I14="Specified Margin",IFERROR(_xlfn.IFS(ISNUMBER(SEARCH("India",C14))=TRUE,Baseline!$G$6,ISNUMBER(SEARCH("Pakistan",C14))=TRUE,Baseline!$G$7),Baseline!$G$5),(K14-G14)/K14),"TBD")</f>
        <v>0.35</v>
      </c>
      <c r="K14" s="511">
        <f t="shared" si="0"/>
        <v>0</v>
      </c>
      <c r="L14" s="512"/>
      <c r="M14" s="149">
        <f t="shared" si="1"/>
        <v>0</v>
      </c>
      <c r="N14" s="116"/>
      <c r="O14" s="117"/>
      <c r="P14" s="117"/>
      <c r="Q14" s="118"/>
    </row>
    <row r="15" spans="1:17">
      <c r="B15" s="39"/>
      <c r="C15" s="39"/>
      <c r="D15" s="113">
        <v>0</v>
      </c>
      <c r="E15" s="113" t="s">
        <v>389</v>
      </c>
      <c r="F15" s="130"/>
      <c r="G15" s="131">
        <f>IFERROR(IF(E15="Regular",VLOOKUP(C15,Resource_Rates_Table[],3,FALSE),(IF(Logistics!E15="OT",VLOOKUP(C15,Resource_Rates_Table[],4,FALSE),IF(E15="Regular/1st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390</v>
      </c>
      <c r="J15" s="144" cm="1">
        <f t="array" ref="J15">IFERROR(IF(I15="Specified Margin",IFERROR(_xlfn.IFS(ISNUMBER(SEARCH("India",C15))=TRUE,Baseline!$G$6,ISNUMBER(SEARCH("Pakistan",C15))=TRUE,Baseline!$G$7),Baseline!$G$5),(K15-G15)/K15),"TBD")</f>
        <v>0.35</v>
      </c>
      <c r="K15" s="511">
        <f t="shared" si="0"/>
        <v>0</v>
      </c>
      <c r="L15" s="512"/>
      <c r="M15" s="149">
        <f t="shared" si="1"/>
        <v>0</v>
      </c>
      <c r="N15" s="116"/>
      <c r="O15" s="117"/>
      <c r="P15" s="117"/>
      <c r="Q15" s="118"/>
    </row>
    <row r="16" spans="1:17">
      <c r="B16" s="39"/>
      <c r="C16" s="39"/>
      <c r="D16" s="113">
        <v>0</v>
      </c>
      <c r="E16" s="113" t="s">
        <v>389</v>
      </c>
      <c r="F16" s="130"/>
      <c r="G16" s="131">
        <f>IFERROR(IF(E16="Regular",VLOOKUP(C16,Resource_Rates_Table[],3,FALSE),(IF(Logistics!E16="OT",VLOOKUP(C16,Resource_Rates_Table[],4,FALSE),IF(E16="Regular/1st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390</v>
      </c>
      <c r="J16" s="144" cm="1">
        <f t="array" ref="J16">IFERROR(IF(I16="Specified Margin",IFERROR(_xlfn.IFS(ISNUMBER(SEARCH("India",C16))=TRUE,Baseline!$G$6,ISNUMBER(SEARCH("Pakistan",C16))=TRUE,Baseline!$G$7),Baseline!$G$5),(K16-G16)/K16),"TBD")</f>
        <v>0.35</v>
      </c>
      <c r="K16" s="511">
        <f t="shared" si="0"/>
        <v>0</v>
      </c>
      <c r="L16" s="512"/>
      <c r="M16" s="149">
        <f t="shared" si="1"/>
        <v>0</v>
      </c>
      <c r="N16" s="116"/>
      <c r="O16" s="117"/>
      <c r="P16" s="117"/>
      <c r="Q16" s="118"/>
    </row>
    <row r="17" spans="2:17">
      <c r="B17" s="39"/>
      <c r="C17" s="39"/>
      <c r="D17" s="113">
        <v>0</v>
      </c>
      <c r="E17" s="113" t="s">
        <v>389</v>
      </c>
      <c r="F17" s="130"/>
      <c r="G17" s="131">
        <f>IFERROR(IF(E17="Regular",VLOOKUP(C17,Resource_Rates_Table[],3,FALSE),(IF(Logistics!E17="OT",VLOOKUP(C17,Resource_Rates_Table[],4,FALSE),IF(E17="Regular/1st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390</v>
      </c>
      <c r="J17" s="144" cm="1">
        <f t="array" ref="J17">IFERROR(IF(I17="Specified Margin",IFERROR(_xlfn.IFS(ISNUMBER(SEARCH("India",C17))=TRUE,Baseline!$G$6,ISNUMBER(SEARCH("Pakistan",C17))=TRUE,Baseline!$G$7),Baseline!$G$5),(K17-G17)/K17),"TBD")</f>
        <v>0.35</v>
      </c>
      <c r="K17" s="511">
        <f t="shared" si="0"/>
        <v>0</v>
      </c>
      <c r="L17" s="512"/>
      <c r="M17" s="149">
        <f t="shared" si="1"/>
        <v>0</v>
      </c>
      <c r="N17" s="116"/>
      <c r="O17" s="117"/>
      <c r="P17" s="117"/>
      <c r="Q17" s="118"/>
    </row>
    <row r="18" spans="2:17">
      <c r="B18" s="39"/>
      <c r="C18" s="39"/>
      <c r="D18" s="113">
        <v>0</v>
      </c>
      <c r="E18" s="113" t="s">
        <v>389</v>
      </c>
      <c r="F18" s="130"/>
      <c r="G18" s="131">
        <f>IFERROR(IF(E18="Regular",VLOOKUP(C18,Resource_Rates_Table[],3,FALSE),(IF(Logistics!E18="OT",VLOOKUP(C18,Resource_Rates_Table[],4,FALSE),IF(E18="Regular/1st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390</v>
      </c>
      <c r="J18" s="144" cm="1">
        <f t="array" ref="J18">IFERROR(IF(I18="Specified Margin",IFERROR(_xlfn.IFS(ISNUMBER(SEARCH("India",C18))=TRUE,Baseline!$G$6,ISNUMBER(SEARCH("Pakistan",C18))=TRUE,Baseline!$G$7),Baseline!$G$5),(K18-G18)/K18),"TBD")</f>
        <v>0.35</v>
      </c>
      <c r="K18" s="511">
        <f t="shared" si="0"/>
        <v>0</v>
      </c>
      <c r="L18" s="512"/>
      <c r="M18" s="149">
        <f t="shared" si="1"/>
        <v>0</v>
      </c>
      <c r="N18" s="116"/>
      <c r="O18" s="117"/>
      <c r="P18" s="117"/>
      <c r="Q18" s="118"/>
    </row>
    <row r="19" spans="2:17">
      <c r="B19" s="39"/>
      <c r="C19" s="39"/>
      <c r="D19" s="113">
        <v>0</v>
      </c>
      <c r="E19" s="113" t="s">
        <v>389</v>
      </c>
      <c r="F19" s="130"/>
      <c r="G19" s="131">
        <f>IFERROR(IF(E19="Regular",VLOOKUP(C19,Resource_Rates_Table[],3,FALSE),(IF(Logistics!E19="OT",VLOOKUP(C19,Resource_Rates_Table[],4,FALSE),IF(E19="Regular/1st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390</v>
      </c>
      <c r="J19" s="144" cm="1">
        <f t="array" ref="J19">IFERROR(IF(I19="Specified Margin",IFERROR(_xlfn.IFS(ISNUMBER(SEARCH("India",C19))=TRUE,Baseline!$G$6,ISNUMBER(SEARCH("Pakistan",C19))=TRUE,Baseline!$G$7),Baseline!$G$5),(K19-G19)/K19),"TBD")</f>
        <v>0.35</v>
      </c>
      <c r="K19" s="511">
        <f t="shared" si="0"/>
        <v>0</v>
      </c>
      <c r="L19" s="512"/>
      <c r="M19" s="149">
        <f t="shared" si="1"/>
        <v>0</v>
      </c>
      <c r="N19" s="116"/>
      <c r="O19" s="117"/>
      <c r="P19" s="117"/>
      <c r="Q19" s="118"/>
    </row>
    <row r="20" spans="2:17">
      <c r="B20" s="39"/>
      <c r="C20" s="39"/>
      <c r="D20" s="113">
        <v>0</v>
      </c>
      <c r="E20" s="113" t="s">
        <v>389</v>
      </c>
      <c r="F20" s="130"/>
      <c r="G20" s="131">
        <f>IFERROR(IF(E20="Regular",VLOOKUP(C20,Resource_Rates_Table[],3,FALSE),(IF(Logistics!E20="OT",VLOOKUP(C20,Resource_Rates_Table[],4,FALSE),IF(E20="Regular/1st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390</v>
      </c>
      <c r="J20" s="144" cm="1">
        <f t="array" ref="J20">IFERROR(IF(I20="Specified Margin",IFERROR(_xlfn.IFS(ISNUMBER(SEARCH("India",C20))=TRUE,Baseline!$G$6,ISNUMBER(SEARCH("Pakistan",C20))=TRUE,Baseline!$G$7),Baseline!$G$5),(K20-G20)/K20),"TBD")</f>
        <v>0.35</v>
      </c>
      <c r="K20" s="511">
        <f t="shared" si="0"/>
        <v>0</v>
      </c>
      <c r="L20" s="512"/>
      <c r="M20" s="149">
        <f t="shared" si="1"/>
        <v>0</v>
      </c>
      <c r="N20" s="116"/>
      <c r="O20" s="117"/>
      <c r="P20" s="117"/>
      <c r="Q20" s="118"/>
    </row>
    <row r="21" spans="2:17">
      <c r="B21" s="39"/>
      <c r="C21" s="39"/>
      <c r="D21" s="113">
        <v>0</v>
      </c>
      <c r="E21" s="113" t="s">
        <v>389</v>
      </c>
      <c r="F21" s="130"/>
      <c r="G21" s="131">
        <f>IFERROR(IF(E21="Regular",VLOOKUP(C21,Resource_Rates_Table[],3,FALSE),(IF(Logistics!E21="OT",VLOOKUP(C21,Resource_Rates_Table[],4,FALSE),IF(E21="Regular/1st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390</v>
      </c>
      <c r="J21" s="144" cm="1">
        <f t="array" ref="J21">IFERROR(IF(I21="Specified Margin",IFERROR(_xlfn.IFS(ISNUMBER(SEARCH("India",C21))=TRUE,Baseline!$G$6,ISNUMBER(SEARCH("Pakistan",C21))=TRUE,Baseline!$G$7),Baseline!$G$5),(K21-G21)/K21),"TBD")</f>
        <v>0.35</v>
      </c>
      <c r="K21" s="511">
        <f t="shared" si="0"/>
        <v>0</v>
      </c>
      <c r="L21" s="512"/>
      <c r="M21" s="149">
        <f t="shared" si="1"/>
        <v>0</v>
      </c>
      <c r="N21" s="116"/>
      <c r="O21" s="117"/>
      <c r="P21" s="117"/>
      <c r="Q21" s="118"/>
    </row>
    <row r="22" spans="2:17">
      <c r="B22" s="39"/>
      <c r="C22" s="39"/>
      <c r="D22" s="113">
        <v>0</v>
      </c>
      <c r="E22" s="113" t="s">
        <v>389</v>
      </c>
      <c r="F22" s="130"/>
      <c r="G22" s="131">
        <f>IFERROR(IF(E22="Regular",VLOOKUP(C22,Resource_Rates_Table[],3,FALSE),(IF(Logistics!E22="OT",VLOOKUP(C22,Resource_Rates_Table[],4,FALSE),IF(E22="Regular/1st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ref="H22:H27" si="3">D22*G22</f>
        <v>0</v>
      </c>
      <c r="I22" s="141" t="s">
        <v>390</v>
      </c>
      <c r="J22" s="144" cm="1">
        <f t="array" ref="J22">IFERROR(IF(I22="Specified Margin",IFERROR(_xlfn.IFS(ISNUMBER(SEARCH("India",C22))=TRUE,Baseline!$G$6,ISNUMBER(SEARCH("Pakistan",C22))=TRUE,Baseline!$G$7),Baseline!$G$5),(K22-G22)/K22),"TBD")</f>
        <v>0.35</v>
      </c>
      <c r="K22" s="511">
        <f t="shared" si="0"/>
        <v>0</v>
      </c>
      <c r="L22" s="512"/>
      <c r="M22" s="149">
        <f t="shared" si="1"/>
        <v>0</v>
      </c>
      <c r="N22" s="116"/>
      <c r="O22" s="117"/>
      <c r="P22" s="117"/>
      <c r="Q22" s="118"/>
    </row>
    <row r="23" spans="2:17">
      <c r="B23" s="39"/>
      <c r="C23" s="39"/>
      <c r="D23" s="113">
        <v>0</v>
      </c>
      <c r="E23" s="113" t="s">
        <v>389</v>
      </c>
      <c r="F23" s="130"/>
      <c r="G23" s="131">
        <f>IFERROR(IF(E23="Regular",VLOOKUP(C23,Resource_Rates_Table[],3,FALSE),(IF(Logistics!E23="OT",VLOOKUP(C23,Resource_Rates_Table[],4,FALSE),IF(E23="Regular/1st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390</v>
      </c>
      <c r="J23" s="144" cm="1">
        <f t="array" ref="J23">IFERROR(IF(I23="Specified Margin",IFERROR(_xlfn.IFS(ISNUMBER(SEARCH("India",C23))=TRUE,Baseline!$G$6,ISNUMBER(SEARCH("Pakistan",C23))=TRUE,Baseline!$G$7),Baseline!$G$5),(K23-G23)/K23),"TBD")</f>
        <v>0.35</v>
      </c>
      <c r="K23" s="511">
        <f t="shared" si="0"/>
        <v>0</v>
      </c>
      <c r="L23" s="512"/>
      <c r="M23" s="149">
        <f t="shared" si="1"/>
        <v>0</v>
      </c>
      <c r="N23" s="116"/>
      <c r="O23" s="117"/>
      <c r="P23" s="117"/>
      <c r="Q23" s="118"/>
    </row>
    <row r="24" spans="2:17">
      <c r="B24" s="39"/>
      <c r="C24" s="39"/>
      <c r="D24" s="113">
        <v>0</v>
      </c>
      <c r="E24" s="113" t="s">
        <v>389</v>
      </c>
      <c r="F24" s="133"/>
      <c r="G24" s="131">
        <f>IFERROR(IF(E24="Regular",VLOOKUP(C24,Resource_Rates_Table[],3,FALSE),(IF(Logistics!E24="OT",VLOOKUP(C24,Resource_Rates_Table[],4,FALSE),IF(E24="Regular/1st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390</v>
      </c>
      <c r="J24" s="144" cm="1">
        <f t="array" ref="J24">IFERROR(IF(I24="Specified Margin",IFERROR(_xlfn.IFS(ISNUMBER(SEARCH("India",C24))=TRUE,Baseline!$G$6,ISNUMBER(SEARCH("Pakistan",C24))=TRUE,Baseline!$G$7),Baseline!$G$5),(K24-G24)/K24),"TBD")</f>
        <v>0.35</v>
      </c>
      <c r="K24" s="511">
        <f t="shared" si="0"/>
        <v>0</v>
      </c>
      <c r="L24" s="512"/>
      <c r="M24" s="149">
        <f t="shared" si="1"/>
        <v>0</v>
      </c>
      <c r="N24" s="340"/>
      <c r="O24" s="380"/>
      <c r="P24" s="380"/>
      <c r="Q24" s="341"/>
    </row>
    <row r="25" spans="2:17">
      <c r="B25" s="39"/>
      <c r="C25" s="39"/>
      <c r="D25" s="113">
        <v>0</v>
      </c>
      <c r="E25" s="113" t="s">
        <v>389</v>
      </c>
      <c r="F25" s="133"/>
      <c r="G25" s="131">
        <f>IFERROR(IF(E25="Regular",VLOOKUP(C25,Resource_Rates_Table[],3,FALSE),(IF(Logistics!E25="OT",VLOOKUP(C25,Resource_Rates_Table[],4,FALSE),IF(E25="Regular/1st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390</v>
      </c>
      <c r="J25" s="144" cm="1">
        <f t="array" ref="J25">IFERROR(IF(I25="Specified Margin",IFERROR(_xlfn.IFS(ISNUMBER(SEARCH("India",C25))=TRUE,Baseline!$G$6,ISNUMBER(SEARCH("Pakistan",C25))=TRUE,Baseline!$G$7),Baseline!$G$5),(K25-G25)/K25),"TBD")</f>
        <v>0.35</v>
      </c>
      <c r="K25" s="511">
        <f t="shared" si="0"/>
        <v>0</v>
      </c>
      <c r="L25" s="512"/>
      <c r="M25" s="149">
        <f t="shared" si="1"/>
        <v>0</v>
      </c>
      <c r="N25" s="340"/>
      <c r="O25" s="380"/>
      <c r="P25" s="380"/>
      <c r="Q25" s="341"/>
    </row>
    <row r="26" spans="2:17">
      <c r="B26" s="39"/>
      <c r="C26" s="39"/>
      <c r="D26" s="113">
        <v>0</v>
      </c>
      <c r="E26" s="113" t="s">
        <v>389</v>
      </c>
      <c r="F26" s="133"/>
      <c r="G26" s="131">
        <f>IFERROR(IF(E26="Regular",VLOOKUP(C26,Resource_Rates_Table[],3,FALSE),(IF(Logistics!E26="OT",VLOOKUP(C26,Resource_Rates_Table[],4,FALSE),IF(E26="Regular/1st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390</v>
      </c>
      <c r="J26" s="144" cm="1">
        <f t="array" ref="J26">IFERROR(IF(I26="Specified Margin",IFERROR(_xlfn.IFS(ISNUMBER(SEARCH("India",C26))=TRUE,Baseline!$G$6,ISNUMBER(SEARCH("Pakistan",C26))=TRUE,Baseline!$G$7),Baseline!$G$5),(K26-G26)/K26),"TBD")</f>
        <v>0.35</v>
      </c>
      <c r="K26" s="511">
        <f t="shared" si="0"/>
        <v>0</v>
      </c>
      <c r="L26" s="512"/>
      <c r="M26" s="149">
        <f t="shared" si="1"/>
        <v>0</v>
      </c>
      <c r="N26" s="340"/>
      <c r="O26" s="380"/>
      <c r="P26" s="380"/>
      <c r="Q26" s="341"/>
    </row>
    <row r="27" spans="2:17">
      <c r="B27" s="39"/>
      <c r="C27" s="39"/>
      <c r="D27" s="113">
        <v>0</v>
      </c>
      <c r="E27" s="113" t="s">
        <v>389</v>
      </c>
      <c r="F27" s="133"/>
      <c r="G27" s="131">
        <f>IFERROR(IF(E27="Regular",VLOOKUP(C27,Resource_Rates_Table[],3,FALSE),(IF(Logistics!E27="OT",VLOOKUP(C27,Resource_Rates_Table[],4,FALSE),IF(E27="Regular/1st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390</v>
      </c>
      <c r="J27" s="144" cm="1">
        <f t="array" ref="J27">IFERROR(IF(I27="Specified Margin",IFERROR(_xlfn.IFS(ISNUMBER(SEARCH("India",C27))=TRUE,Baseline!$G$6,ISNUMBER(SEARCH("Pakistan",C27))=TRUE,Baseline!$G$7),Baseline!$G$5),(K27-G27)/K27),"TBD")</f>
        <v>0.35</v>
      </c>
      <c r="K27" s="511">
        <f t="shared" si="0"/>
        <v>0</v>
      </c>
      <c r="L27" s="512"/>
      <c r="M27" s="149">
        <f t="shared" si="1"/>
        <v>0</v>
      </c>
      <c r="N27" s="340"/>
      <c r="O27" s="380"/>
      <c r="P27" s="380"/>
      <c r="Q27" s="341"/>
    </row>
    <row r="28" spans="2:17">
      <c r="B28" s="6"/>
      <c r="C28" s="6" t="s">
        <v>391</v>
      </c>
      <c r="D28" s="134">
        <f>SUM(D8:D27)</f>
        <v>0</v>
      </c>
      <c r="E28" s="135"/>
      <c r="F28" s="135"/>
      <c r="G28" s="136" t="str">
        <f>IF(C3="Project",C2&amp;" Resource Cost:",C2&amp;" Per Unit Resource Cost:")</f>
        <v>Logistics Per Unit Resource Cost:</v>
      </c>
      <c r="H28" s="137">
        <f>SUM(H8:H27)</f>
        <v>0</v>
      </c>
      <c r="I28" s="137" t="s">
        <v>392</v>
      </c>
      <c r="J28" s="152" t="str">
        <f>IFERROR((M28-H28)/M28,"TBD")</f>
        <v>TBD</v>
      </c>
      <c r="K28" s="378" t="s">
        <v>393</v>
      </c>
      <c r="L28" s="379"/>
      <c r="M28" s="137">
        <f>SUM(M8:M27)</f>
        <v>0</v>
      </c>
      <c r="N28" s="135"/>
      <c r="O28" s="135"/>
      <c r="P28" s="135"/>
      <c r="Q28" s="135"/>
    </row>
    <row r="29" spans="2:17">
      <c r="D29" s="119"/>
    </row>
    <row r="30" spans="2:17">
      <c r="B30" s="7" t="str">
        <f>C2&amp;" Partner Cost Factors:"</f>
        <v>Logistics Partner Cost Factors:</v>
      </c>
      <c r="C30" s="7"/>
      <c r="D30" s="126"/>
      <c r="E30" s="126"/>
      <c r="F30" s="126"/>
      <c r="G30" s="126"/>
      <c r="H30" s="126"/>
      <c r="I30" s="126"/>
      <c r="J30" s="126"/>
      <c r="K30" s="126"/>
      <c r="L30" s="126"/>
      <c r="M30" s="126"/>
      <c r="N30" s="126"/>
      <c r="O30" s="126"/>
      <c r="P30" s="126"/>
      <c r="Q30" s="127"/>
    </row>
    <row r="31" spans="2:17">
      <c r="B31" s="4" t="s">
        <v>394</v>
      </c>
      <c r="C31" s="4" t="s">
        <v>395</v>
      </c>
      <c r="D31" s="4" t="s">
        <v>396</v>
      </c>
      <c r="E31" s="128" t="s">
        <v>381</v>
      </c>
      <c r="F31" s="128"/>
      <c r="G31" s="49" t="s">
        <v>397</v>
      </c>
      <c r="H31" s="49" t="s">
        <v>398</v>
      </c>
      <c r="I31" s="4" t="s">
        <v>384</v>
      </c>
      <c r="J31" s="4" t="s">
        <v>385</v>
      </c>
      <c r="K31" s="513" t="s">
        <v>399</v>
      </c>
      <c r="L31" s="514"/>
      <c r="M31" s="4" t="s">
        <v>400</v>
      </c>
      <c r="N31" s="381" t="s">
        <v>401</v>
      </c>
      <c r="O31" s="382"/>
      <c r="P31" s="382"/>
      <c r="Q31" s="383"/>
    </row>
    <row r="32" spans="2:17">
      <c r="B32" s="39"/>
      <c r="C32" s="39" t="str">
        <f>IF(B32="Field Nation",'Resource Descriptions'!$D$116,IF(B32="Partner",'Resource Descriptions'!$D$120,""))</f>
        <v/>
      </c>
      <c r="D32" s="113">
        <v>0</v>
      </c>
      <c r="E32" s="113" t="s">
        <v>389</v>
      </c>
      <c r="F32" s="115"/>
      <c r="G32" s="114">
        <f>IFERROR(IF(B32="Partner","Enter Partner Price",IF(B32="Field Nation",IF(E32="Regular",VLOOKUP(C32,'Resource Descriptions'!$D$116:$I$119,3,FALSE),IF(E32="OT",VLOOKUP(C32,'Resource Descriptions'!$D$116:$I$119,4,FALSE),0)),0)),0)</f>
        <v>0</v>
      </c>
      <c r="H32" s="53">
        <f t="shared" ref="H32:H39" si="4">IFERROR(D32*G32,"TBD")</f>
        <v>0</v>
      </c>
      <c r="I32" s="141" t="s">
        <v>390</v>
      </c>
      <c r="J32" s="144">
        <f>IFERROR(IF(I32="Specified Margin",Baseline!$G$8,(K32-G32)/K32),"TBD")</f>
        <v>0.3</v>
      </c>
      <c r="K32" s="511">
        <f>IFERROR(IF(I32="Specified Margin",G32/(1-J32),"Enter Sell Rate"),"TBD")</f>
        <v>0</v>
      </c>
      <c r="L32" s="512"/>
      <c r="M32" s="160">
        <f>IFERROR(D32*K32,"TBD")</f>
        <v>0</v>
      </c>
      <c r="N32" s="340"/>
      <c r="O32" s="380"/>
      <c r="P32" s="380"/>
      <c r="Q32" s="341"/>
    </row>
    <row r="33" spans="2:17">
      <c r="B33" s="39"/>
      <c r="C33" s="39" t="str">
        <f>IF(B33="Field Nation",'Resource Descriptions'!$D$116,IF(B33="Partner",'Resource Descriptions'!$D$120,""))</f>
        <v/>
      </c>
      <c r="D33" s="113">
        <v>0</v>
      </c>
      <c r="E33" s="113" t="s">
        <v>389</v>
      </c>
      <c r="F33" s="115"/>
      <c r="G33" s="114">
        <f>IFERROR(IF(B33="Partner","Enter Partner Price",IF(B33="Field Nation",IF(E33="Regular",VLOOKUP(C33,'Resource Descriptions'!$D$116:$I$119,3,FALSE),IF(E33="OT",VLOOKUP(C33,'Resource Descriptions'!$D$116:$I$119,4,FALSE),0)),0)),0)</f>
        <v>0</v>
      </c>
      <c r="H33" s="53">
        <f t="shared" si="4"/>
        <v>0</v>
      </c>
      <c r="I33" s="141" t="s">
        <v>390</v>
      </c>
      <c r="J33" s="144">
        <f>IFERROR(IF(I33="Specified Margin",Baseline!$G$8,(K33-G33)/K33),"TBD")</f>
        <v>0.3</v>
      </c>
      <c r="K33" s="511">
        <f t="shared" ref="K33:K39" si="5">IFERROR(IF(I33="Specified Margin",G33/(1-J33),"Enter Sell Rate"),"TBD")</f>
        <v>0</v>
      </c>
      <c r="L33" s="512"/>
      <c r="M33" s="160">
        <f t="shared" ref="M33:M39" si="6">IFERROR(D33*K33,"TBD")</f>
        <v>0</v>
      </c>
      <c r="N33" s="116"/>
      <c r="O33" s="117"/>
      <c r="P33" s="117"/>
      <c r="Q33" s="118"/>
    </row>
    <row r="34" spans="2:17">
      <c r="B34" s="39"/>
      <c r="C34" s="39" t="str">
        <f>IF(B34="Field Nation",'Resource Descriptions'!$D$116,IF(B34="Partner",'Resource Descriptions'!$D$120,""))</f>
        <v/>
      </c>
      <c r="D34" s="113">
        <v>0</v>
      </c>
      <c r="E34" s="113" t="s">
        <v>389</v>
      </c>
      <c r="F34" s="115"/>
      <c r="G34" s="114">
        <f>IFERROR(IF(B34="Partner","Enter Partner Price",IF(B34="Field Nation",IF(E34="Regular",VLOOKUP(C34,'Resource Descriptions'!$D$116:$I$119,3,FALSE),IF(E34="OT",VLOOKUP(C34,'Resource Descriptions'!$D$116:$I$119,4,FALSE),0)),0)),0)</f>
        <v>0</v>
      </c>
      <c r="H34" s="53">
        <f t="shared" si="4"/>
        <v>0</v>
      </c>
      <c r="I34" s="141" t="s">
        <v>390</v>
      </c>
      <c r="J34" s="144">
        <f>IFERROR(IF(I34="Specified Margin",Baseline!$G$8,(K34-G34)/K34),"TBD")</f>
        <v>0.3</v>
      </c>
      <c r="K34" s="511">
        <f t="shared" si="5"/>
        <v>0</v>
      </c>
      <c r="L34" s="512"/>
      <c r="M34" s="160">
        <f t="shared" si="6"/>
        <v>0</v>
      </c>
      <c r="N34" s="116"/>
      <c r="O34" s="117"/>
      <c r="P34" s="117"/>
      <c r="Q34" s="118"/>
    </row>
    <row r="35" spans="2:17">
      <c r="B35" s="39"/>
      <c r="C35" s="39" t="str">
        <f>IF(B35="Field Nation",'Resource Descriptions'!$D$116,IF(B35="Partner",'Resource Descriptions'!$D$120,""))</f>
        <v/>
      </c>
      <c r="D35" s="113">
        <v>0</v>
      </c>
      <c r="E35" s="113" t="s">
        <v>389</v>
      </c>
      <c r="F35" s="115"/>
      <c r="G35" s="114">
        <f>IFERROR(IF(B35="Partner","Enter Partner Price",IF(B35="Field Nation",IF(E35="Regular",VLOOKUP(C35,'Resource Descriptions'!$D$116:$I$119,3,FALSE),IF(E35="OT",VLOOKUP(C35,'Resource Descriptions'!$D$116:$I$119,4,FALSE),0)),0)),0)</f>
        <v>0</v>
      </c>
      <c r="H35" s="53">
        <f t="shared" si="4"/>
        <v>0</v>
      </c>
      <c r="I35" s="141" t="s">
        <v>390</v>
      </c>
      <c r="J35" s="144">
        <f>IFERROR(IF(I35="Specified Margin",Baseline!$G$8,(K35-G35)/K35),"TBD")</f>
        <v>0.3</v>
      </c>
      <c r="K35" s="511">
        <f t="shared" si="5"/>
        <v>0</v>
      </c>
      <c r="L35" s="512"/>
      <c r="M35" s="160">
        <f t="shared" si="6"/>
        <v>0</v>
      </c>
      <c r="N35" s="116"/>
      <c r="O35" s="117"/>
      <c r="P35" s="117"/>
      <c r="Q35" s="118"/>
    </row>
    <row r="36" spans="2:17">
      <c r="B36" s="39"/>
      <c r="C36" s="39" t="str">
        <f>IF(B36="Field Nation",'Resource Descriptions'!$D$116,IF(B36="Partner",'Resource Descriptions'!$D$120,""))</f>
        <v/>
      </c>
      <c r="D36" s="113">
        <v>0</v>
      </c>
      <c r="E36" s="113" t="s">
        <v>389</v>
      </c>
      <c r="F36" s="115"/>
      <c r="G36" s="114">
        <f>IFERROR(IF(B36="Partner","Enter Partner Price",IF(B36="Field Nation",IF(E36="Regular",VLOOKUP(C36,'Resource Descriptions'!$D$116:$I$119,3,FALSE),IF(E36="OT",VLOOKUP(C36,'Resource Descriptions'!$D$116:$I$119,4,FALSE),0)),0)),0)</f>
        <v>0</v>
      </c>
      <c r="H36" s="53">
        <f t="shared" si="4"/>
        <v>0</v>
      </c>
      <c r="I36" s="141" t="s">
        <v>390</v>
      </c>
      <c r="J36" s="144">
        <f>IFERROR(IF(I36="Specified Margin",Baseline!$G$8,(K36-G36)/K36),"TBD")</f>
        <v>0.3</v>
      </c>
      <c r="K36" s="511">
        <f t="shared" si="5"/>
        <v>0</v>
      </c>
      <c r="L36" s="512"/>
      <c r="M36" s="160">
        <f t="shared" si="6"/>
        <v>0</v>
      </c>
      <c r="N36" s="116"/>
      <c r="O36" s="117"/>
      <c r="P36" s="117"/>
      <c r="Q36" s="118"/>
    </row>
    <row r="37" spans="2:17">
      <c r="B37" s="39"/>
      <c r="C37" s="39" t="str">
        <f>IF(B37="Field Nation",'Resource Descriptions'!$D$116,IF(B37="Partner",'Resource Descriptions'!$D$120,""))</f>
        <v/>
      </c>
      <c r="D37" s="113">
        <v>0</v>
      </c>
      <c r="E37" s="113" t="s">
        <v>389</v>
      </c>
      <c r="F37" s="115"/>
      <c r="G37" s="114">
        <f>IFERROR(IF(B37="Partner","Enter Partner Price",IF(B37="Field Nation",IF(E37="Regular",VLOOKUP(C37,'Resource Descriptions'!$D$116:$I$119,3,FALSE),IF(E37="OT",VLOOKUP(C37,'Resource Descriptions'!$D$116:$I$119,4,FALSE),0)),0)),0)</f>
        <v>0</v>
      </c>
      <c r="H37" s="53">
        <f t="shared" si="4"/>
        <v>0</v>
      </c>
      <c r="I37" s="141" t="s">
        <v>390</v>
      </c>
      <c r="J37" s="144">
        <f>IFERROR(IF(I37="Specified Margin",Baseline!$G$8,(K37-G37)/K37),"TBD")</f>
        <v>0.3</v>
      </c>
      <c r="K37" s="511">
        <f t="shared" si="5"/>
        <v>0</v>
      </c>
      <c r="L37" s="512"/>
      <c r="M37" s="160">
        <f t="shared" si="6"/>
        <v>0</v>
      </c>
      <c r="N37" s="116"/>
      <c r="O37" s="117"/>
      <c r="P37" s="117"/>
      <c r="Q37" s="118"/>
    </row>
    <row r="38" spans="2:17">
      <c r="B38" s="39"/>
      <c r="C38" s="39" t="str">
        <f>IF(B38="Field Nation",'Resource Descriptions'!$D$116,IF(B38="Partner",'Resource Descriptions'!$D$120,""))</f>
        <v/>
      </c>
      <c r="D38" s="113">
        <v>0</v>
      </c>
      <c r="E38" s="113" t="s">
        <v>389</v>
      </c>
      <c r="F38" s="115"/>
      <c r="G38" s="114">
        <f>IFERROR(IF(B38="Partner","Enter Partner Price",IF(B38="Field Nation",IF(E38="Regular",VLOOKUP(C38,'Resource Descriptions'!$D$116:$I$119,3,FALSE),IF(E38="OT",VLOOKUP(C38,'Resource Descriptions'!$D$116:$I$119,4,FALSE),0)),0)),0)</f>
        <v>0</v>
      </c>
      <c r="H38" s="53">
        <f t="shared" si="4"/>
        <v>0</v>
      </c>
      <c r="I38" s="141" t="s">
        <v>390</v>
      </c>
      <c r="J38" s="144">
        <f>IFERROR(IF(I38="Specified Margin",Baseline!$G$8,(K38-G38)/K38),"TBD")</f>
        <v>0.3</v>
      </c>
      <c r="K38" s="511">
        <f t="shared" si="5"/>
        <v>0</v>
      </c>
      <c r="L38" s="512"/>
      <c r="M38" s="160">
        <f t="shared" si="6"/>
        <v>0</v>
      </c>
      <c r="N38" s="340"/>
      <c r="O38" s="380"/>
      <c r="P38" s="380"/>
      <c r="Q38" s="341"/>
    </row>
    <row r="39" spans="2:17">
      <c r="B39" s="39"/>
      <c r="C39" s="39" t="str">
        <f>IF(B39="Field Nation",'Resource Descriptions'!$D$116,IF(B39="Partner",'Resource Descriptions'!$D$120,""))</f>
        <v/>
      </c>
      <c r="D39" s="113">
        <v>0</v>
      </c>
      <c r="E39" s="113" t="s">
        <v>389</v>
      </c>
      <c r="F39" s="115"/>
      <c r="G39" s="114">
        <f>IFERROR(IF(B39="Partner","Enter Partner Price",IF(B39="Field Nation",IF(E39="Regular",VLOOKUP(C39,'Resource Descriptions'!$D$116:$I$119,3,FALSE),IF(E39="OT",VLOOKUP(C39,'Resource Descriptions'!$D$116:$I$119,4,FALSE),0)),0)),0)</f>
        <v>0</v>
      </c>
      <c r="H39" s="53">
        <f t="shared" si="4"/>
        <v>0</v>
      </c>
      <c r="I39" s="141" t="s">
        <v>390</v>
      </c>
      <c r="J39" s="144">
        <f>IFERROR(IF(I39="Specified Margin",Baseline!$G$8,(K39-G39)/K39),"TBD")</f>
        <v>0.3</v>
      </c>
      <c r="K39" s="511">
        <f t="shared" si="5"/>
        <v>0</v>
      </c>
      <c r="L39" s="512"/>
      <c r="M39" s="160">
        <f t="shared" si="6"/>
        <v>0</v>
      </c>
      <c r="N39" s="340"/>
      <c r="O39" s="380"/>
      <c r="P39" s="380"/>
      <c r="Q39" s="341"/>
    </row>
    <row r="40" spans="2:17">
      <c r="B40" s="6"/>
      <c r="C40" s="159"/>
      <c r="D40" s="135"/>
      <c r="E40" s="135"/>
      <c r="F40" s="135"/>
      <c r="G40" s="136" t="str">
        <f>IF(C3="Project",C2&amp;" Partner Cost:",C2&amp;" Per Unit Partner Cost:")</f>
        <v>Logistics Per Unit Partner Cost:</v>
      </c>
      <c r="H40" s="137">
        <f>SUM(H32:H39)</f>
        <v>0</v>
      </c>
      <c r="I40" s="137" t="s">
        <v>402</v>
      </c>
      <c r="J40" s="152" t="str">
        <f>IFERROR((M40-H40)/M40,"TBD")</f>
        <v>TBD</v>
      </c>
      <c r="K40" s="378" t="s">
        <v>403</v>
      </c>
      <c r="L40" s="379"/>
      <c r="M40" s="137">
        <f>SUM(M32:M39)</f>
        <v>0</v>
      </c>
      <c r="N40" s="135"/>
      <c r="O40" s="135"/>
      <c r="P40" s="135"/>
      <c r="Q40" s="135"/>
    </row>
    <row r="41" spans="2:17">
      <c r="D41" s="119"/>
    </row>
    <row r="42" spans="2:17">
      <c r="B42" s="7" t="str">
        <f>C2&amp;" Travel &amp; Living Cost Factors:"</f>
        <v>Logistics Travel &amp; Living Cost Factors:</v>
      </c>
      <c r="C42" s="126"/>
      <c r="D42" s="126"/>
      <c r="E42" s="126"/>
      <c r="F42" s="126"/>
      <c r="G42" s="126"/>
      <c r="H42" s="126"/>
      <c r="I42" s="126"/>
      <c r="J42" s="126"/>
      <c r="L42" s="32" t="str">
        <f>C2&amp;" Assumptions:"</f>
        <v>Logistics Assumptions:</v>
      </c>
      <c r="M42" s="32"/>
      <c r="N42" s="32"/>
      <c r="O42" s="32"/>
      <c r="P42" s="32"/>
      <c r="Q42" s="32"/>
    </row>
    <row r="43" spans="2:17">
      <c r="B43" s="4" t="s">
        <v>404</v>
      </c>
      <c r="C43" s="4" t="s">
        <v>405</v>
      </c>
      <c r="D43" s="4" t="s">
        <v>406</v>
      </c>
      <c r="E43" s="515" t="s">
        <v>407</v>
      </c>
      <c r="F43" s="516"/>
      <c r="G43" s="4" t="s">
        <v>384</v>
      </c>
      <c r="H43" s="13" t="s">
        <v>385</v>
      </c>
      <c r="I43" s="4" t="s">
        <v>408</v>
      </c>
      <c r="J43" s="4" t="s">
        <v>409</v>
      </c>
      <c r="L43" s="375"/>
      <c r="M43" s="376"/>
      <c r="N43" s="376"/>
      <c r="O43" s="376"/>
      <c r="P43" s="376"/>
      <c r="Q43" s="377"/>
    </row>
    <row r="44" spans="2:17">
      <c r="B44" s="39"/>
      <c r="C44" s="113">
        <v>0</v>
      </c>
      <c r="D44" s="120">
        <f>IFERROR(VLOOKUP(B44,'Expenses &amp; Materials'!$B$3:$C$9,2,FALSE),0)</f>
        <v>0</v>
      </c>
      <c r="E44" s="517">
        <f t="shared" ref="E44:E51" si="7">C44*D44</f>
        <v>0</v>
      </c>
      <c r="F44" s="518"/>
      <c r="G44" s="141" t="s">
        <v>390</v>
      </c>
      <c r="H44" s="153">
        <f>IFERROR(IF(G44="Specified Margin",Baseline!$G$9,(I44-D44)/I44),"TBD")</f>
        <v>0.15</v>
      </c>
      <c r="I44" s="163">
        <f>IFERROR(IF(G44="Specified Margin",D44/(1-H44),"Enter Sell Rate"),"TBD")</f>
        <v>0</v>
      </c>
      <c r="J44" s="62">
        <f>IFERROR(C44*I44,"TBD")</f>
        <v>0</v>
      </c>
      <c r="L44" s="375"/>
      <c r="M44" s="376"/>
      <c r="N44" s="376"/>
      <c r="O44" s="376"/>
      <c r="P44" s="376"/>
      <c r="Q44" s="377"/>
    </row>
    <row r="45" spans="2:17">
      <c r="B45" s="39"/>
      <c r="C45" s="113">
        <v>0</v>
      </c>
      <c r="D45" s="120">
        <f>IFERROR(VLOOKUP(B45,'Expenses &amp; Materials'!$B$3:$C$9,2,FALSE),0)</f>
        <v>0</v>
      </c>
      <c r="E45" s="517">
        <f t="shared" si="7"/>
        <v>0</v>
      </c>
      <c r="F45" s="518"/>
      <c r="G45" s="141" t="s">
        <v>390</v>
      </c>
      <c r="H45" s="153">
        <f>Baseline!$G$9</f>
        <v>0.15</v>
      </c>
      <c r="I45" s="163">
        <f t="shared" ref="I45:I51" si="8">IFERROR(IF(G45="Specified Margin",D45/(1-H45),"Enter Sell Rate"),"TBD")</f>
        <v>0</v>
      </c>
      <c r="J45" s="62">
        <f t="shared" ref="J45:J51" si="9">IFERROR(C45*I45,"TBD")</f>
        <v>0</v>
      </c>
      <c r="L45" s="375"/>
      <c r="M45" s="376"/>
      <c r="N45" s="376"/>
      <c r="O45" s="376"/>
      <c r="P45" s="376"/>
      <c r="Q45" s="377"/>
    </row>
    <row r="46" spans="2:17">
      <c r="B46" s="39"/>
      <c r="C46" s="113">
        <v>0</v>
      </c>
      <c r="D46" s="120">
        <f>IFERROR(VLOOKUP(B46,'Expenses &amp; Materials'!$B$3:$C$9,2,FALSE),0)</f>
        <v>0</v>
      </c>
      <c r="E46" s="517">
        <f t="shared" si="7"/>
        <v>0</v>
      </c>
      <c r="F46" s="518"/>
      <c r="G46" s="141" t="s">
        <v>390</v>
      </c>
      <c r="H46" s="153">
        <f>Baseline!$G$9</f>
        <v>0.15</v>
      </c>
      <c r="I46" s="163">
        <f t="shared" si="8"/>
        <v>0</v>
      </c>
      <c r="J46" s="62">
        <f t="shared" si="9"/>
        <v>0</v>
      </c>
      <c r="L46" s="375"/>
      <c r="M46" s="376"/>
      <c r="N46" s="376"/>
      <c r="O46" s="376"/>
      <c r="P46" s="376"/>
      <c r="Q46" s="377"/>
    </row>
    <row r="47" spans="2:17">
      <c r="B47" s="39"/>
      <c r="C47" s="113">
        <v>0</v>
      </c>
      <c r="D47" s="120">
        <f>IFERROR(VLOOKUP(B47,'Expenses &amp; Materials'!$B$3:$C$9,2,FALSE),0)</f>
        <v>0</v>
      </c>
      <c r="E47" s="517">
        <f t="shared" si="7"/>
        <v>0</v>
      </c>
      <c r="F47" s="518"/>
      <c r="G47" s="141" t="s">
        <v>390</v>
      </c>
      <c r="H47" s="153">
        <f>Baseline!$G$9</f>
        <v>0.15</v>
      </c>
      <c r="I47" s="163">
        <f t="shared" si="8"/>
        <v>0</v>
      </c>
      <c r="J47" s="62">
        <f t="shared" si="9"/>
        <v>0</v>
      </c>
      <c r="L47" s="375"/>
      <c r="M47" s="376"/>
      <c r="N47" s="376"/>
      <c r="O47" s="376"/>
      <c r="P47" s="376"/>
      <c r="Q47" s="377"/>
    </row>
    <row r="48" spans="2:17">
      <c r="B48" s="39"/>
      <c r="C48" s="113">
        <v>0</v>
      </c>
      <c r="D48" s="120">
        <f>IFERROR(VLOOKUP(B48,'Expenses &amp; Materials'!$B$3:$C$9,2,FALSE),0)</f>
        <v>0</v>
      </c>
      <c r="E48" s="517">
        <f t="shared" si="7"/>
        <v>0</v>
      </c>
      <c r="F48" s="518"/>
      <c r="G48" s="141" t="s">
        <v>390</v>
      </c>
      <c r="H48" s="153">
        <f>Baseline!$G$9</f>
        <v>0.15</v>
      </c>
      <c r="I48" s="163">
        <f t="shared" si="8"/>
        <v>0</v>
      </c>
      <c r="J48" s="62">
        <f t="shared" si="9"/>
        <v>0</v>
      </c>
      <c r="L48" s="375"/>
      <c r="M48" s="376"/>
      <c r="N48" s="376"/>
      <c r="O48" s="376"/>
      <c r="P48" s="376"/>
      <c r="Q48" s="377"/>
    </row>
    <row r="49" spans="2:17">
      <c r="B49" s="39"/>
      <c r="C49" s="113">
        <v>0</v>
      </c>
      <c r="D49" s="120">
        <f>IFERROR(VLOOKUP(B49,'Expenses &amp; Materials'!$B$3:$C$9,2,FALSE),0)</f>
        <v>0</v>
      </c>
      <c r="E49" s="517">
        <f t="shared" si="7"/>
        <v>0</v>
      </c>
      <c r="F49" s="518"/>
      <c r="G49" s="141" t="s">
        <v>390</v>
      </c>
      <c r="H49" s="153">
        <f>Baseline!$G$9</f>
        <v>0.15</v>
      </c>
      <c r="I49" s="163">
        <f t="shared" si="8"/>
        <v>0</v>
      </c>
      <c r="J49" s="62">
        <f t="shared" si="9"/>
        <v>0</v>
      </c>
      <c r="L49" s="375"/>
      <c r="M49" s="376"/>
      <c r="N49" s="376"/>
      <c r="O49" s="376"/>
      <c r="P49" s="376"/>
      <c r="Q49" s="377"/>
    </row>
    <row r="50" spans="2:17">
      <c r="B50" s="39"/>
      <c r="C50" s="113">
        <v>0</v>
      </c>
      <c r="D50" s="120">
        <f>IFERROR(VLOOKUP(B50,'Expenses &amp; Materials'!$B$3:$C$9,2,FALSE),0)</f>
        <v>0</v>
      </c>
      <c r="E50" s="517">
        <f t="shared" si="7"/>
        <v>0</v>
      </c>
      <c r="F50" s="518"/>
      <c r="G50" s="141" t="s">
        <v>390</v>
      </c>
      <c r="H50" s="153">
        <f>Baseline!$G$9</f>
        <v>0.15</v>
      </c>
      <c r="I50" s="163">
        <f t="shared" si="8"/>
        <v>0</v>
      </c>
      <c r="J50" s="62">
        <f t="shared" si="9"/>
        <v>0</v>
      </c>
      <c r="L50" s="375"/>
      <c r="M50" s="376"/>
      <c r="N50" s="376"/>
      <c r="O50" s="376"/>
      <c r="P50" s="376"/>
      <c r="Q50" s="377"/>
    </row>
    <row r="51" spans="2:17">
      <c r="B51" s="39"/>
      <c r="C51" s="113">
        <v>0</v>
      </c>
      <c r="D51" s="120">
        <f>IFERROR(VLOOKUP(B51,'Expenses &amp; Materials'!$B$3:$C$9,2,FALSE),0)</f>
        <v>0</v>
      </c>
      <c r="E51" s="517">
        <f t="shared" si="7"/>
        <v>0</v>
      </c>
      <c r="F51" s="518"/>
      <c r="G51" s="141" t="s">
        <v>390</v>
      </c>
      <c r="H51" s="153">
        <f>Baseline!$G$9</f>
        <v>0.15</v>
      </c>
      <c r="I51" s="163">
        <f t="shared" si="8"/>
        <v>0</v>
      </c>
      <c r="J51" s="62">
        <f t="shared" si="9"/>
        <v>0</v>
      </c>
      <c r="L51" s="375"/>
      <c r="M51" s="376"/>
      <c r="N51" s="376"/>
      <c r="O51" s="376"/>
      <c r="P51" s="376"/>
      <c r="Q51" s="377"/>
    </row>
    <row r="52" spans="2:17">
      <c r="B52" s="6"/>
      <c r="C52" s="135"/>
      <c r="D52" s="135" t="str">
        <f>IF(C3="Project",C2&amp;" Travel &amp; Living Cost:",C2&amp;" Per Unit Travel &amp; Living Cost:")</f>
        <v>Logistics Per Unit Travel &amp; Living Cost:</v>
      </c>
      <c r="E52" s="519">
        <f>SUM(E44:E51)</f>
        <v>0</v>
      </c>
      <c r="F52" s="520"/>
      <c r="G52" s="143" t="s">
        <v>410</v>
      </c>
      <c r="H52" s="142" t="str">
        <f>IFERROR((J52-E52)/J52,"TBD")</f>
        <v>TBD</v>
      </c>
      <c r="I52" s="8" t="s">
        <v>411</v>
      </c>
      <c r="J52" s="137">
        <f>SUM(J44:J51)</f>
        <v>0</v>
      </c>
      <c r="L52" s="375"/>
      <c r="M52" s="376"/>
      <c r="N52" s="376"/>
      <c r="O52" s="376"/>
      <c r="P52" s="376"/>
      <c r="Q52" s="377"/>
    </row>
    <row r="53" spans="2:17">
      <c r="L53" s="375"/>
      <c r="M53" s="376"/>
      <c r="N53" s="376"/>
      <c r="O53" s="376"/>
      <c r="P53" s="376"/>
      <c r="Q53" s="377"/>
    </row>
    <row r="54" spans="2:17">
      <c r="B54" s="7" t="str">
        <f>C2&amp;" Material &amp; Other Cost Factors:"</f>
        <v>Logistics Material &amp; Other Cost Factors:</v>
      </c>
      <c r="C54" s="126"/>
      <c r="D54" s="126"/>
      <c r="E54" s="126"/>
      <c r="F54" s="126"/>
      <c r="G54" s="126"/>
      <c r="H54" s="126"/>
      <c r="I54" s="126"/>
      <c r="J54" s="126"/>
      <c r="L54" s="375"/>
      <c r="M54" s="376"/>
      <c r="N54" s="376"/>
      <c r="O54" s="376"/>
      <c r="P54" s="376"/>
      <c r="Q54" s="377"/>
    </row>
    <row r="55" spans="2:17">
      <c r="B55" s="4" t="s">
        <v>404</v>
      </c>
      <c r="C55" s="4" t="s">
        <v>405</v>
      </c>
      <c r="D55" s="4" t="s">
        <v>406</v>
      </c>
      <c r="E55" s="515" t="s">
        <v>383</v>
      </c>
      <c r="F55" s="516"/>
      <c r="G55" s="4" t="s">
        <v>384</v>
      </c>
      <c r="H55" s="13" t="s">
        <v>385</v>
      </c>
      <c r="I55" s="4" t="s">
        <v>412</v>
      </c>
      <c r="J55" s="4" t="s">
        <v>413</v>
      </c>
      <c r="L55" s="375"/>
      <c r="M55" s="376"/>
      <c r="N55" s="376"/>
      <c r="O55" s="376"/>
      <c r="P55" s="376"/>
      <c r="Q55" s="377"/>
    </row>
    <row r="56" spans="2:17">
      <c r="B56" s="39"/>
      <c r="C56" s="113">
        <v>0</v>
      </c>
      <c r="D56" s="120">
        <f>IFERROR(VLOOKUP(B56,'Expenses &amp; Materials'!$B$13:$C$18,2,FALSE),0)</f>
        <v>0</v>
      </c>
      <c r="E56" s="517">
        <f t="shared" ref="E56:E63" si="10">C56*D56</f>
        <v>0</v>
      </c>
      <c r="F56" s="518"/>
      <c r="G56" s="141" t="s">
        <v>390</v>
      </c>
      <c r="H56" s="153">
        <f>IFERROR(IF(G56="Specified Margin",Baseline!$G$10,(I56-D56)/I56),"TBD")</f>
        <v>0.15</v>
      </c>
      <c r="I56" s="163">
        <f>IFERROR(IF(G56="Specified Margin",D56/(1-H56),"Enter Sell Rate"),"TBD")</f>
        <v>0</v>
      </c>
      <c r="J56" s="62">
        <f>IFERROR(C56*I56,"TBD")</f>
        <v>0</v>
      </c>
      <c r="L56" s="372"/>
      <c r="M56" s="373"/>
      <c r="N56" s="373"/>
      <c r="O56" s="373"/>
      <c r="P56" s="373"/>
      <c r="Q56" s="374"/>
    </row>
    <row r="57" spans="2:17">
      <c r="B57" s="39"/>
      <c r="C57" s="113">
        <v>0</v>
      </c>
      <c r="D57" s="120">
        <f>IFERROR(VLOOKUP(B57,'Expenses &amp; Materials'!$B$13:$C$18,2,FALSE),0)</f>
        <v>0</v>
      </c>
      <c r="E57" s="517">
        <f t="shared" si="10"/>
        <v>0</v>
      </c>
      <c r="F57" s="518"/>
      <c r="G57" s="141" t="s">
        <v>390</v>
      </c>
      <c r="H57" s="153">
        <f>Baseline!$G$10</f>
        <v>0.15</v>
      </c>
      <c r="I57" s="163">
        <f t="shared" ref="I57:I63" si="11">IFERROR(IF(G57="Specified Margin",D57/(1-H57),"Enter Sell Rate"),"TBD")</f>
        <v>0</v>
      </c>
      <c r="J57" s="62">
        <f t="shared" ref="J57:J63" si="12">IFERROR(C57*I57,"TBD")</f>
        <v>0</v>
      </c>
    </row>
    <row r="58" spans="2:17">
      <c r="B58" s="39"/>
      <c r="C58" s="113">
        <v>0</v>
      </c>
      <c r="D58" s="120">
        <f>IFERROR(VLOOKUP(B58,'Expenses &amp; Materials'!$B$13:$C$18,2,FALSE),0)</f>
        <v>0</v>
      </c>
      <c r="E58" s="517">
        <f t="shared" si="10"/>
        <v>0</v>
      </c>
      <c r="F58" s="518"/>
      <c r="G58" s="141" t="s">
        <v>390</v>
      </c>
      <c r="H58" s="153">
        <f>Baseline!$G$10</f>
        <v>0.15</v>
      </c>
      <c r="I58" s="163">
        <f t="shared" si="11"/>
        <v>0</v>
      </c>
      <c r="J58" s="62">
        <f t="shared" si="12"/>
        <v>0</v>
      </c>
      <c r="L58" s="7" t="str">
        <f>C2&amp;" Financial Breakdown:"</f>
        <v>Logistics Financial Breakdown:</v>
      </c>
      <c r="M58" s="126"/>
      <c r="N58" s="126"/>
      <c r="O58" s="126"/>
      <c r="P58" s="126"/>
      <c r="Q58" s="126"/>
    </row>
    <row r="59" spans="2:17">
      <c r="B59" s="39"/>
      <c r="C59" s="113">
        <v>0</v>
      </c>
      <c r="D59" s="120">
        <f>IFERROR(VLOOKUP(B59,'Expenses &amp; Materials'!$B$13:$C$18,2,FALSE),0)</f>
        <v>0</v>
      </c>
      <c r="E59" s="517">
        <f t="shared" si="10"/>
        <v>0</v>
      </c>
      <c r="F59" s="518"/>
      <c r="G59" s="141" t="s">
        <v>390</v>
      </c>
      <c r="H59" s="153">
        <f>Baseline!$G$10</f>
        <v>0.15</v>
      </c>
      <c r="I59" s="163">
        <f t="shared" si="11"/>
        <v>0</v>
      </c>
      <c r="J59" s="62">
        <f t="shared" si="12"/>
        <v>0</v>
      </c>
      <c r="L59" s="4" t="str">
        <f>C2&amp;" Cost Factors:"</f>
        <v>Logistics Cost Factors:</v>
      </c>
      <c r="M59" s="4" t="str">
        <f>"Total "&amp;C2&amp;" Cost:"</f>
        <v>Total Logistics Cost:</v>
      </c>
      <c r="N59" s="4" t="str">
        <f>C2&amp;" Cost/Unit:"</f>
        <v>Logistics Cost/Unit:</v>
      </c>
      <c r="O59" s="4" t="str">
        <f>IF(Baseline!G3="Variable Margin",C2&amp;" Blended Margin %:","Blended Margin %")</f>
        <v>Blended Margin %</v>
      </c>
      <c r="P59" s="128" t="str">
        <f>"Total "&amp;C2&amp;" Sell Price:"</f>
        <v>Total Logistics Sell Price:</v>
      </c>
      <c r="Q59" s="4" t="str">
        <f>C2&amp;" Sell Price/Unit:"</f>
        <v>Logistics Sell Price/Unit:</v>
      </c>
    </row>
    <row r="60" spans="2:17">
      <c r="B60" s="39"/>
      <c r="C60" s="113">
        <v>0</v>
      </c>
      <c r="D60" s="120">
        <f>IFERROR(VLOOKUP(B60,'Expenses &amp; Materials'!$B$13:$C$18,2,FALSE),0)</f>
        <v>0</v>
      </c>
      <c r="E60" s="517">
        <f t="shared" si="10"/>
        <v>0</v>
      </c>
      <c r="F60" s="518"/>
      <c r="G60" s="141" t="s">
        <v>390</v>
      </c>
      <c r="H60" s="153">
        <f>Baseline!$G$10</f>
        <v>0.15</v>
      </c>
      <c r="I60" s="163">
        <f t="shared" si="11"/>
        <v>0</v>
      </c>
      <c r="J60" s="62">
        <f t="shared" si="12"/>
        <v>0</v>
      </c>
      <c r="L60" s="137" t="s">
        <v>280</v>
      </c>
      <c r="M60" s="62">
        <f>IF($C$3="Project",$H$28,$H$28*$C$4)</f>
        <v>0</v>
      </c>
      <c r="N60" s="53">
        <f>IF(C3="Project",$H$28/$C$4,$H$28)</f>
        <v>0</v>
      </c>
      <c r="O60" s="79" t="str">
        <f>J28</f>
        <v>TBD</v>
      </c>
      <c r="P60" s="133" t="str">
        <f>IFERROR(IF(Baseline!$G$3="Variable Margin",IF(C3="Project",M28,M28*C4),M60/$M$64*Baseline!$D$14),"TBD")</f>
        <v>TBD</v>
      </c>
      <c r="Q60" s="53" t="str">
        <f>IFERROR(P60/$C$4,"TBD")</f>
        <v>TBD</v>
      </c>
    </row>
    <row r="61" spans="2:17">
      <c r="B61" s="39"/>
      <c r="C61" s="113">
        <v>0</v>
      </c>
      <c r="D61" s="120">
        <f>IFERROR(VLOOKUP(B61,'Expenses &amp; Materials'!$B$13:$C$18,2,FALSE),0)</f>
        <v>0</v>
      </c>
      <c r="E61" s="517">
        <f t="shared" si="10"/>
        <v>0</v>
      </c>
      <c r="F61" s="518"/>
      <c r="G61" s="141" t="s">
        <v>390</v>
      </c>
      <c r="H61" s="153">
        <f>Baseline!$G$10</f>
        <v>0.15</v>
      </c>
      <c r="I61" s="163">
        <f t="shared" si="11"/>
        <v>0</v>
      </c>
      <c r="J61" s="62">
        <f t="shared" si="12"/>
        <v>0</v>
      </c>
      <c r="L61" s="137" t="s">
        <v>394</v>
      </c>
      <c r="M61" s="62">
        <f>IF($C$3="Project",$H$40,$H$40*$C$4)</f>
        <v>0</v>
      </c>
      <c r="N61" s="53">
        <f>IF(C3="Project",$H$40/$C$4,$H$40)</f>
        <v>0</v>
      </c>
      <c r="O61" s="79" t="str">
        <f>J40</f>
        <v>TBD</v>
      </c>
      <c r="P61" s="133" t="str">
        <f>IFERROR(IF(Baseline!$G$3="Variable Margin",IF(C3="Project",M40,M40*C4),M61/$M$64*Baseline!$D$14),"TBD")</f>
        <v>TBD</v>
      </c>
      <c r="Q61" s="53" t="str">
        <f>IFERROR(P61/$C$4,"TBD")</f>
        <v>TBD</v>
      </c>
    </row>
    <row r="62" spans="2:17">
      <c r="B62" s="39"/>
      <c r="C62" s="113">
        <v>0</v>
      </c>
      <c r="D62" s="120">
        <f>IFERROR(VLOOKUP(B62,'Expenses &amp; Materials'!$B$13:$C$18,2,FALSE),0)</f>
        <v>0</v>
      </c>
      <c r="E62" s="517">
        <f t="shared" si="10"/>
        <v>0</v>
      </c>
      <c r="F62" s="518"/>
      <c r="G62" s="141" t="s">
        <v>390</v>
      </c>
      <c r="H62" s="153">
        <f>Baseline!$G$10</f>
        <v>0.15</v>
      </c>
      <c r="I62" s="163">
        <f t="shared" si="11"/>
        <v>0</v>
      </c>
      <c r="J62" s="62">
        <f t="shared" si="12"/>
        <v>0</v>
      </c>
      <c r="L62" s="137" t="s">
        <v>238</v>
      </c>
      <c r="M62" s="62">
        <f>IF($C$3="Project",$E$52,$E$52*$C$4)</f>
        <v>0</v>
      </c>
      <c r="N62" s="53">
        <f>IF(C3="Project",$E$52/$C$4,$E$52)</f>
        <v>0</v>
      </c>
      <c r="O62" s="79" t="str">
        <f>H52</f>
        <v>TBD</v>
      </c>
      <c r="P62" s="133" t="str">
        <f>IFERROR(IF(Baseline!$G$3="Variable Margin",IF(C3="Project",J52,J52*C4),M62/$M$64*Baseline!$D$14),"TBD")</f>
        <v>TBD</v>
      </c>
      <c r="Q62" s="53" t="str">
        <f>IFERROR(P62/$C$4,"TBD")</f>
        <v>TBD</v>
      </c>
    </row>
    <row r="63" spans="2:17">
      <c r="B63" s="39"/>
      <c r="C63" s="113">
        <v>0</v>
      </c>
      <c r="D63" s="120">
        <f>IFERROR(VLOOKUP(B63,'Expenses &amp; Materials'!$B$13:$C$18,2,FALSE),0)</f>
        <v>0</v>
      </c>
      <c r="E63" s="517">
        <f t="shared" si="10"/>
        <v>0</v>
      </c>
      <c r="F63" s="518"/>
      <c r="G63" s="141" t="s">
        <v>390</v>
      </c>
      <c r="H63" s="153">
        <f>Baseline!$G$10</f>
        <v>0.15</v>
      </c>
      <c r="I63" s="163">
        <f t="shared" si="11"/>
        <v>0</v>
      </c>
      <c r="J63" s="62">
        <f t="shared" si="12"/>
        <v>0</v>
      </c>
      <c r="L63" s="137" t="s">
        <v>415</v>
      </c>
      <c r="M63" s="62">
        <f>IF($C$3="Project",$E$64,$E$64*$C$4)</f>
        <v>0</v>
      </c>
      <c r="N63" s="53">
        <f>IF(C3="Project",$E$64/$C$4,$E$64)</f>
        <v>0</v>
      </c>
      <c r="O63" s="79" t="str">
        <f>H64</f>
        <v>TBD</v>
      </c>
      <c r="P63" s="133" t="str">
        <f>IFERROR(IF(Baseline!$G$3="Variable Margin",IF(C3="Project",J64,J64*C4),M63/$M$64*Baseline!$D$14),"TBD")</f>
        <v>TBD</v>
      </c>
      <c r="Q63" s="53" t="str">
        <f>IFERROR(P63/$C$4,"TBD")</f>
        <v>TBD</v>
      </c>
    </row>
    <row r="64" spans="2:17">
      <c r="B64" s="6"/>
      <c r="C64" s="135"/>
      <c r="D64" s="6" t="str">
        <f>IF(C3="Project",C2&amp;" Material &amp; Other Cost:",C2&amp;" Per Unit Material &amp; Other Cost:")</f>
        <v>Logistics Per Unit Material &amp; Other Cost:</v>
      </c>
      <c r="E64" s="519">
        <f>SUM(E56:E63)</f>
        <v>0</v>
      </c>
      <c r="F64" s="520"/>
      <c r="G64" s="143" t="s">
        <v>416</v>
      </c>
      <c r="H64" s="142" t="str">
        <f>IFERROR((J64-E64)/J64,"TBD")</f>
        <v>TBD</v>
      </c>
      <c r="I64" s="8" t="s">
        <v>417</v>
      </c>
      <c r="J64" s="137">
        <f>SUM(J56:J63)</f>
        <v>0</v>
      </c>
      <c r="L64" s="137" t="s">
        <v>418</v>
      </c>
      <c r="M64" s="137">
        <f>SUM(M60:M63)</f>
        <v>0</v>
      </c>
      <c r="N64" s="8">
        <f>IFERROR(M64/C4,"TBD")</f>
        <v>0</v>
      </c>
      <c r="O64" s="77" t="str">
        <f>IFERROR((P64-M64)/P64,"TBD")</f>
        <v>TBD</v>
      </c>
      <c r="P64" s="143">
        <f>SUM(P60:P63)</f>
        <v>0</v>
      </c>
      <c r="Q64" s="8">
        <f>SUM(Q60:Q63)</f>
        <v>0</v>
      </c>
    </row>
  </sheetData>
  <sheetProtection algorithmName="SHA-512" hashValue="S7JilOtF47MY9EuG8XRC7SxU8F9wJWlTYGFZel5fP9gR8Hk2EnDtsevP3s7S3j/rPzrnqBa1AqSMMPPSTt6eLA==" saltValue="e9Qh5CO2yLMSM8Td4dF7hA==" spinCount="100000" sheet="1" objects="1" scenarios="1"/>
  <mergeCells count="77">
    <mergeCell ref="E63:F63"/>
    <mergeCell ref="E64:F64"/>
    <mergeCell ref="K31:L31"/>
    <mergeCell ref="E58:F58"/>
    <mergeCell ref="E59:F59"/>
    <mergeCell ref="E60:F60"/>
    <mergeCell ref="E61:F61"/>
    <mergeCell ref="E62:F62"/>
    <mergeCell ref="E51:F51"/>
    <mergeCell ref="E52:F52"/>
    <mergeCell ref="E55:F55"/>
    <mergeCell ref="E56:F56"/>
    <mergeCell ref="E57:F57"/>
    <mergeCell ref="E43:F43"/>
    <mergeCell ref="E44:F44"/>
    <mergeCell ref="E45:F45"/>
    <mergeCell ref="K17:L17"/>
    <mergeCell ref="K18:L18"/>
    <mergeCell ref="K19:L19"/>
    <mergeCell ref="K20:L20"/>
    <mergeCell ref="K21:L21"/>
    <mergeCell ref="K12:L12"/>
    <mergeCell ref="K13:L13"/>
    <mergeCell ref="K14:L14"/>
    <mergeCell ref="K15:L15"/>
    <mergeCell ref="K16:L16"/>
    <mergeCell ref="E48:F48"/>
    <mergeCell ref="E49:F49"/>
    <mergeCell ref="E50:F50"/>
    <mergeCell ref="K33:L33"/>
    <mergeCell ref="K34:L34"/>
    <mergeCell ref="K35:L35"/>
    <mergeCell ref="K36:L36"/>
    <mergeCell ref="L48:Q48"/>
    <mergeCell ref="L50:Q50"/>
    <mergeCell ref="L45:Q45"/>
    <mergeCell ref="L46:Q46"/>
    <mergeCell ref="L47:Q47"/>
    <mergeCell ref="E46:F46"/>
    <mergeCell ref="E47:F47"/>
    <mergeCell ref="J4:K4"/>
    <mergeCell ref="K37:L37"/>
    <mergeCell ref="L49:Q49"/>
    <mergeCell ref="N25:Q25"/>
    <mergeCell ref="N26:Q26"/>
    <mergeCell ref="K8:L8"/>
    <mergeCell ref="K24:L24"/>
    <mergeCell ref="K25:L25"/>
    <mergeCell ref="K26:L26"/>
    <mergeCell ref="K10:L10"/>
    <mergeCell ref="K11:L11"/>
    <mergeCell ref="K22:L22"/>
    <mergeCell ref="K23:L23"/>
    <mergeCell ref="N8:Q8"/>
    <mergeCell ref="K27:L27"/>
    <mergeCell ref="N31:Q31"/>
    <mergeCell ref="N32:Q32"/>
    <mergeCell ref="N38:Q38"/>
    <mergeCell ref="N39:Q39"/>
    <mergeCell ref="L43:Q43"/>
    <mergeCell ref="L44:Q44"/>
    <mergeCell ref="N24:Q24"/>
    <mergeCell ref="K9:L9"/>
    <mergeCell ref="L56:Q56"/>
    <mergeCell ref="J3:K3"/>
    <mergeCell ref="L51:Q51"/>
    <mergeCell ref="L52:Q52"/>
    <mergeCell ref="L53:Q53"/>
    <mergeCell ref="L54:Q54"/>
    <mergeCell ref="L55:Q55"/>
    <mergeCell ref="K28:L28"/>
    <mergeCell ref="K32:L32"/>
    <mergeCell ref="K38:L38"/>
    <mergeCell ref="K39:L39"/>
    <mergeCell ref="K40:L40"/>
    <mergeCell ref="N27:Q27"/>
    <mergeCell ref="N7:Q7"/>
  </mergeCells>
  <conditionalFormatting sqref="M3">
    <cfRule type="expression" dxfId="78" priority="24">
      <formula>H3="Partner"</formula>
    </cfRule>
  </conditionalFormatting>
  <conditionalFormatting sqref="G32">
    <cfRule type="expression" dxfId="77" priority="35">
      <formula>B32="Partner"</formula>
    </cfRule>
  </conditionalFormatting>
  <conditionalFormatting sqref="G33:G39">
    <cfRule type="expression" dxfId="76" priority="34">
      <formula>B33="Partner"</formula>
    </cfRule>
  </conditionalFormatting>
  <conditionalFormatting sqref="D44:D51">
    <cfRule type="expression" dxfId="75" priority="30">
      <formula>OR(B44="Roundtrip Airfare",B44="Metro City Hotel",B44="Non-Metro City Hotel",B44="Vehicle/Taxi/Uber",B44="Per Diem")=TRUE</formula>
    </cfRule>
  </conditionalFormatting>
  <conditionalFormatting sqref="D56">
    <cfRule type="expression" dxfId="74" priority="29">
      <formula>OR(B56="Background Check",B56="Storage (Per Pallet)")=TRUE</formula>
    </cfRule>
  </conditionalFormatting>
  <conditionalFormatting sqref="D57 D59 D61:D62">
    <cfRule type="expression" dxfId="73" priority="28">
      <formula>OR(B57="Background Check",B57="Storage (Per Pallet)")=TRUE</formula>
    </cfRule>
  </conditionalFormatting>
  <conditionalFormatting sqref="D63 D58 D60">
    <cfRule type="expression" dxfId="72" priority="27">
      <formula>OR(B58="Background Check",B58="Storage (Per Pallet)")=TRUE</formula>
    </cfRule>
  </conditionalFormatting>
  <conditionalFormatting sqref="H3:H4">
    <cfRule type="expression" dxfId="71" priority="25">
      <formula>C3="Partner"</formula>
    </cfRule>
  </conditionalFormatting>
  <conditionalFormatting sqref="J3">
    <cfRule type="cellIs" dxfId="70" priority="23" operator="lessThan">
      <formula>0.375</formula>
    </cfRule>
  </conditionalFormatting>
  <conditionalFormatting sqref="J32:J39">
    <cfRule type="expression" dxfId="69" priority="19">
      <formula>I32="Specified Sell Rate"</formula>
    </cfRule>
  </conditionalFormatting>
  <conditionalFormatting sqref="K8:K27">
    <cfRule type="expression" dxfId="68" priority="14">
      <formula>K8="Enter Sell Rate"</formula>
    </cfRule>
    <cfRule type="expression" dxfId="67" priority="15">
      <formula>I8="Specified Margin"</formula>
    </cfRule>
  </conditionalFormatting>
  <conditionalFormatting sqref="K32:K39">
    <cfRule type="expression" dxfId="66" priority="10">
      <formula>K32="Enter Sell Rate"</formula>
    </cfRule>
    <cfRule type="expression" dxfId="65" priority="11">
      <formula>I32="Specified Margin"</formula>
    </cfRule>
  </conditionalFormatting>
  <conditionalFormatting sqref="H44:H51">
    <cfRule type="expression" dxfId="64" priority="9">
      <formula>OR(E44="Roundtrip Airfare",E44="Metro City Hotel",E44="Non-Metro City Hotel",E44="Vehicle/Taxi/Uber",E44="Per Diem")=TRUE</formula>
    </cfRule>
  </conditionalFormatting>
  <conditionalFormatting sqref="I44:I51">
    <cfRule type="expression" dxfId="63" priority="7">
      <formula>I44="Enter Sell Rate"</formula>
    </cfRule>
    <cfRule type="expression" dxfId="62" priority="8">
      <formula>G44="Specified Sell Rate"</formula>
    </cfRule>
  </conditionalFormatting>
  <conditionalFormatting sqref="H56:H63">
    <cfRule type="expression" dxfId="61" priority="6">
      <formula>OR(E56="Roundtrip Airfare",E56="Metro City Hotel",E56="Non-Metro City Hotel",E56="Vehicle/Taxi/Uber",E56="Per Diem")=TRUE</formula>
    </cfRule>
  </conditionalFormatting>
  <conditionalFormatting sqref="I56:I63">
    <cfRule type="expression" dxfId="60" priority="4">
      <formula>I56="Enter Sell Rate"</formula>
    </cfRule>
    <cfRule type="expression" dxfId="59" priority="5">
      <formula>G56="Specified Sell Rate"</formula>
    </cfRule>
  </conditionalFormatting>
  <conditionalFormatting sqref="J8:J27">
    <cfRule type="expression" dxfId="58" priority="3">
      <formula>I8="Specified Sell Rate"</formula>
    </cfRule>
  </conditionalFormatting>
  <dataValidations count="8">
    <dataValidation type="list" allowBlank="1" showInputMessage="1" sqref="C3" xr:uid="{00000000-0002-0000-0900-000000000000}">
      <formula1>"Project, Per Unit"</formula1>
    </dataValidation>
    <dataValidation type="list" allowBlank="1" showInputMessage="1" showErrorMessage="1" sqref="B32:B39" xr:uid="{00000000-0002-0000-0900-000001000000}">
      <formula1>"Field Nation,Partner"</formula1>
    </dataValidation>
    <dataValidation type="list" allowBlank="1" showInputMessage="1" showErrorMessage="1" sqref="E32:E39" xr:uid="{00000000-0002-0000-0900-000002000000}">
      <formula1>"Regular,OT"</formula1>
    </dataValidation>
    <dataValidation type="list" allowBlank="1" showInputMessage="1" showErrorMessage="1" sqref="G56:G63 G44:G51 I32:I39 I8:I27" xr:uid="{2206D785-AFCA-41B4-BCEE-81202015807D}">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1E271619-7062-4131-9819-EFC55ADF0B97}">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D0B847B4-FC7F-448F-9FC7-6D75F2F8479E}">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AAE465CB-CB7F-40D2-8A91-FD40B225D482}">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29EA1292-42DB-485C-908E-296B2CC02F45}">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44" id="{914EA7C6-33DB-418B-B8B1-25EEF71D1955}">
            <xm:f>Baseline!$D$6="Department Based"</xm:f>
            <x14:dxf>
              <font>
                <color theme="3" tint="0.59996337778862885"/>
              </font>
            </x14:dxf>
          </x14:cfRule>
          <xm:sqref>D2:D3</xm:sqref>
        </x14:conditionalFormatting>
        <x14:conditionalFormatting xmlns:xm="http://schemas.microsoft.com/office/excel/2006/main">
          <x14:cfRule type="expression" priority="445" id="{00D3E33D-5109-44B9-8953-AD7C931ABB3B}">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46" id="{623AE922-F22B-4576-A8C4-F83ED4E61B0D}">
            <xm:f>Baseline!$D$6="Phase Based"</xm:f>
            <x14:dxf>
              <fill>
                <patternFill>
                  <bgColor theme="2" tint="-0.24994659260841701"/>
                </patternFill>
              </fill>
            </x14:dxf>
          </x14:cfRule>
          <xm:sqref>B8</xm:sqref>
        </x14:conditionalFormatting>
        <x14:conditionalFormatting xmlns:xm="http://schemas.microsoft.com/office/excel/2006/main">
          <x14:cfRule type="expression" priority="2" id="{37808B4E-DED6-48F9-90BB-8C4EEE07874D}">
            <xm:f>'COLA (WIP)'!$C$4="Yes"</xm:f>
            <x14:dxf>
              <fill>
                <patternFill>
                  <bgColor theme="0"/>
                </patternFill>
              </fill>
            </x14:dxf>
          </x14:cfRule>
          <xm:sqref>E4</xm:sqref>
        </x14:conditionalFormatting>
        <x14:conditionalFormatting xmlns:xm="http://schemas.microsoft.com/office/excel/2006/main">
          <x14:cfRule type="expression" priority="1" id="{A3841A8B-A23A-4B89-BF1D-131BAC6BE857}">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900-000003000000}">
          <x14:formula1>
            <xm:f>IF(B32="Field Nation",'Resource Descriptions'!$D$116:$D$119,'Resource Descriptions'!$D$120)</xm:f>
          </x14:formula1>
          <xm:sqref>C32:C39</xm:sqref>
        </x14:dataValidation>
        <x14:dataValidation type="list" allowBlank="1" showInputMessage="1" xr:uid="{00000000-0002-0000-0900-000007000000}">
          <x14:formula1>
            <xm:f>'Expenses &amp; Materials'!$B$4:$B$10</xm:f>
          </x14:formula1>
          <xm:sqref>B44:B51</xm:sqref>
        </x14:dataValidation>
        <x14:dataValidation type="list" allowBlank="1" showInputMessage="1" xr:uid="{00000000-0002-0000-0900-000006000000}">
          <x14:formula1>
            <xm:f>'Expenses &amp; Materials'!$B$14:$B$16</xm:f>
          </x14:formula1>
          <xm:sqref>B56:B63</xm:sqref>
        </x14:dataValidation>
        <x14:dataValidation type="list" allowBlank="1" showInputMessage="1" showErrorMessage="1" xr:uid="{8984BB70-859D-46E5-B5A5-3465BFC23814}">
          <x14:formula1>
            <xm:f>'Data Tables'!$B$4:$B$15</xm:f>
          </x14:formula1>
          <xm:sqref>B8:B27</xm:sqref>
        </x14:dataValidation>
        <x14:dataValidation type="list" allowBlank="1" showInputMessage="1" showErrorMessage="1" xr:uid="{E1C0EF55-27EF-4B1E-8A08-CB0C4C069CB7}">
          <x14:formula1>
            <xm:f>OFFSET('Resource Descriptions'!$D$6,VLOOKUP(B8,'Data Tables'!$B$3:$E$17,2,FALSE),0,VLOOKUP(B8,'Data Tables'!$B$3:$E$17,4,FALSE),1)</xm:f>
          </x14:formula1>
          <xm:sqref>C8:C27</xm:sqref>
        </x14:dataValidation>
        <x14:dataValidation type="list" allowBlank="1" showInputMessage="1" showErrorMessage="1" xr:uid="{455DC4C8-E006-42A5-85CA-9CC17B1C9434}">
          <x14:formula1>
            <xm:f>OFFSET('Data Tables'!$C$20,VLOOKUP(C8,'Data Tables'!$G$17:$J$118,2,FALSE),0,VLOOKUP(C8,'Data Tables'!$G$17:$J$118,4,FALSE),1)</xm:f>
          </x14:formula1>
          <xm:sqref>E8:E27</xm:sqref>
        </x14:dataValidation>
        <x14:dataValidation type="list" allowBlank="1" showInputMessage="1" showErrorMessage="1" xr:uid="{9CC7F3B1-7EA4-4A53-AE3D-0992F1E7F88B}">
          <x14:formula1>
            <xm:f>IF('COLA (WIP)'!C4="Yes",'COLA (WIP)'!$D$10:$M$10,"")</xm:f>
          </x14:formula1>
          <xm:sqref>E4</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Q64"/>
  <sheetViews>
    <sheetView showGridLines="0" zoomScale="80" zoomScaleNormal="80" workbookViewId="0">
      <selection activeCell="C2" sqref="C2"/>
    </sheetView>
  </sheetViews>
  <sheetFormatPr defaultColWidth="8.85546875" defaultRowHeight="15"/>
  <cols>
    <col min="1" max="1" width="3.42578125" style="33" customWidth="1"/>
    <col min="2" max="2" width="28.42578125" style="33" bestFit="1" customWidth="1"/>
    <col min="3" max="3" width="32.140625" style="33" bestFit="1" customWidth="1"/>
    <col min="4" max="5" width="20.42578125" style="33" customWidth="1"/>
    <col min="6" max="6" width="3.42578125" style="33" customWidth="1"/>
    <col min="7" max="10" width="23.42578125" style="33" customWidth="1"/>
    <col min="11" max="11" width="3.42578125" style="33" customWidth="1"/>
    <col min="12" max="17" width="23.42578125" style="33" customWidth="1"/>
    <col min="18" max="16384" width="8.85546875" style="33"/>
  </cols>
  <sheetData>
    <row r="2" spans="1:17">
      <c r="A2" s="109"/>
      <c r="B2" s="121" t="s">
        <v>370</v>
      </c>
      <c r="C2" s="110" t="str">
        <f>IF(Baseline!D6='Data Tables'!L3,'Data Tables'!L11,IF(Baseline!D6='Data Tables'!M3,'Data Tables'!M11,'Data Tables'!N11))</f>
        <v>Service Desk</v>
      </c>
      <c r="D2" s="34" t="s">
        <v>371</v>
      </c>
      <c r="E2" s="111" t="s">
        <v>372</v>
      </c>
      <c r="G2" s="122" t="s">
        <v>373</v>
      </c>
      <c r="H2" s="122"/>
      <c r="I2" s="123"/>
      <c r="J2" s="7"/>
      <c r="K2" s="7"/>
      <c r="L2" s="7"/>
      <c r="M2" s="7"/>
    </row>
    <row r="3" spans="1:17">
      <c r="B3" s="4" t="s">
        <v>374</v>
      </c>
      <c r="C3" s="39" t="str">
        <f>IF(Baseline!D6="Department Based","Per Unit","Project")</f>
        <v>Per Unit</v>
      </c>
      <c r="D3" s="34" t="s">
        <v>375</v>
      </c>
      <c r="E3" s="39">
        <v>0</v>
      </c>
      <c r="G3" s="4" t="str">
        <f>C2&amp;" Price:"</f>
        <v>Service Desk Price:</v>
      </c>
      <c r="H3" s="124">
        <f>P64</f>
        <v>0</v>
      </c>
      <c r="I3" s="4" t="s">
        <v>303</v>
      </c>
      <c r="J3" s="384">
        <f>Baseline!$G$24</f>
        <v>0.41046428571428573</v>
      </c>
      <c r="K3" s="385"/>
      <c r="L3" s="4" t="s">
        <v>376</v>
      </c>
      <c r="M3" s="124">
        <f>Baseline!$D$24</f>
        <v>28000</v>
      </c>
    </row>
    <row r="4" spans="1:17">
      <c r="B4" s="4" t="s">
        <v>322</v>
      </c>
      <c r="C4" s="110">
        <f>Baseline!D8</f>
        <v>1</v>
      </c>
      <c r="D4" s="224" t="s">
        <v>377</v>
      </c>
      <c r="E4" s="225"/>
      <c r="G4" s="4" t="str">
        <f>C2&amp;" Blended Margin %:"</f>
        <v>Service Desk Blended Margin %:</v>
      </c>
      <c r="H4" s="125" t="str">
        <f>O64</f>
        <v>TBD</v>
      </c>
      <c r="I4" s="4" t="s">
        <v>306</v>
      </c>
      <c r="J4" s="384">
        <f ca="1">Baseline!$G$27</f>
        <v>0.37715551785714285</v>
      </c>
      <c r="K4" s="385"/>
      <c r="L4" s="4" t="s">
        <v>378</v>
      </c>
      <c r="M4" s="77">
        <f ca="1">Baseline!$J$5</f>
        <v>8.6024110983219243E-2</v>
      </c>
    </row>
    <row r="6" spans="1:17">
      <c r="B6" s="7" t="str">
        <f>C2&amp;" Resource Cost Factors:"</f>
        <v>Service Desk Resource Cost Factors:</v>
      </c>
      <c r="C6" s="7"/>
      <c r="D6" s="126"/>
      <c r="E6" s="126"/>
      <c r="F6" s="126"/>
      <c r="G6" s="126"/>
      <c r="H6" s="126"/>
      <c r="I6" s="126"/>
      <c r="J6" s="126"/>
      <c r="K6" s="126"/>
      <c r="L6" s="126"/>
      <c r="M6" s="126"/>
      <c r="N6" s="126"/>
      <c r="O6" s="126"/>
      <c r="P6" s="126"/>
      <c r="Q6" s="127"/>
    </row>
    <row r="7" spans="1:17">
      <c r="B7" s="4" t="s">
        <v>379</v>
      </c>
      <c r="C7" s="4" t="s">
        <v>280</v>
      </c>
      <c r="D7" s="4" t="s">
        <v>380</v>
      </c>
      <c r="E7" s="128" t="s">
        <v>381</v>
      </c>
      <c r="F7" s="128"/>
      <c r="G7" s="49" t="s">
        <v>382</v>
      </c>
      <c r="H7" s="49" t="s">
        <v>383</v>
      </c>
      <c r="I7" s="4" t="s">
        <v>384</v>
      </c>
      <c r="J7" s="4" t="s">
        <v>385</v>
      </c>
      <c r="K7" s="129"/>
      <c r="L7" s="129" t="s">
        <v>386</v>
      </c>
      <c r="M7" s="4" t="s">
        <v>387</v>
      </c>
      <c r="N7" s="381" t="s">
        <v>388</v>
      </c>
      <c r="O7" s="382"/>
      <c r="P7" s="382"/>
      <c r="Q7" s="383"/>
    </row>
    <row r="8" spans="1:17">
      <c r="B8" s="39" t="str">
        <f>IF(Baseline!$D$6="Department Based","Digital Workplace - Service Desk","PMO")</f>
        <v>Digital Workplace - Service Desk</v>
      </c>
      <c r="C8" s="39" t="str">
        <f>IF(Baseline!$D$6="Department Based","Service Desk Agent","")</f>
        <v>Service Desk Agent</v>
      </c>
      <c r="D8" s="113">
        <v>0</v>
      </c>
      <c r="E8" s="113" t="s">
        <v>389</v>
      </c>
      <c r="F8" s="130"/>
      <c r="G8" s="131">
        <f>IFERROR(IF(E8="Regular",VLOOKUP(C8,Resource_Rates_Table[],3,FALSE),(IF('Service Desk'!E8="OT",VLOOKUP(C8,Resource_Rates_Table[],4,FALSE),IF(E8="Regular/1st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36.409999999999997</v>
      </c>
      <c r="H8" s="132">
        <f>D8*G8</f>
        <v>0</v>
      </c>
      <c r="I8" s="141" t="s">
        <v>390</v>
      </c>
      <c r="J8" s="144">
        <f>IFERROR(IF(I8="Specified Margin",IFERROR(_xlfn.IFS(ISNUMBER(SEARCH("India",C8))=TRUE,Baseline!$G$6,ISNUMBER(SEARCH("Pakistan",C8))=TRUE,Baseline!$G$7),Baseline!$G$5),(K8-G8)/K8),"TBD")</f>
        <v>0.35</v>
      </c>
      <c r="K8" s="511">
        <f>IFERROR(IF(I8="Specified Margin",G8/(1-J8),"Enter Sell Rate"),"TBD")</f>
        <v>56.015384615384605</v>
      </c>
      <c r="L8" s="512"/>
      <c r="M8" s="149">
        <f>IFERROR(D8*K8,"TBD")</f>
        <v>0</v>
      </c>
      <c r="N8" s="340"/>
      <c r="O8" s="380"/>
      <c r="P8" s="380"/>
      <c r="Q8" s="341"/>
    </row>
    <row r="9" spans="1:17">
      <c r="B9" s="39" t="str">
        <f>IF(Baseline!$D$6="Department Based","Digital Workplace - Service Desk","")</f>
        <v>Digital Workplace - Service Desk</v>
      </c>
      <c r="C9" s="39" t="str">
        <f>IF(Baseline!$D$6="Department Based","Service Desk Team Lead","")</f>
        <v>Service Desk Team Lead</v>
      </c>
      <c r="D9" s="113">
        <v>0</v>
      </c>
      <c r="E9" s="113" t="s">
        <v>389</v>
      </c>
      <c r="F9" s="130"/>
      <c r="G9" s="131">
        <f>IFERROR(IF(E9="Regular",VLOOKUP(C9,Resource_Rates_Table[],3,FALSE),(IF('Service Desk'!E9="OT",VLOOKUP(C9,Resource_Rates_Table[],4,FALSE),IF(E9="Regular/1st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48.19</v>
      </c>
      <c r="H9" s="62">
        <f>D9*G9</f>
        <v>0</v>
      </c>
      <c r="I9" s="141" t="s">
        <v>390</v>
      </c>
      <c r="J9" s="144">
        <f>IFERROR(IF(I9="Specified Margin",IFERROR(_xlfn.IFS(ISNUMBER(SEARCH("India",C9))=TRUE,Baseline!$G$6,ISNUMBER(SEARCH("Pakistan",C9))=TRUE,Baseline!$G$7),Baseline!$G$5),(K9-G9)/K9),"TBD")</f>
        <v>0.35</v>
      </c>
      <c r="K9" s="511">
        <f t="shared" ref="K9:K27" si="0">IFERROR(IF(I9="Specified Margin",G9/(1-J9),"Enter Sell Rate"),"TBD")</f>
        <v>74.138461538461527</v>
      </c>
      <c r="L9" s="512"/>
      <c r="M9" s="149">
        <f>IFERROR(D9*K9,"TBD")</f>
        <v>0</v>
      </c>
      <c r="N9" s="116"/>
      <c r="O9" s="117"/>
      <c r="P9" s="117"/>
      <c r="Q9" s="118"/>
    </row>
    <row r="10" spans="1:17">
      <c r="B10" s="39" t="str">
        <f>IF(Baseline!$D$6="Department Based","India PS/MS Resources","")</f>
        <v>India PS/MS Resources</v>
      </c>
      <c r="C10" s="39" t="str">
        <f>IF(Baseline!$D$6="Department Based","India - Service Desk Level L1","")</f>
        <v>India - Service Desk Level L1</v>
      </c>
      <c r="D10" s="113">
        <v>0</v>
      </c>
      <c r="E10" s="113" t="s">
        <v>389</v>
      </c>
      <c r="F10" s="130"/>
      <c r="G10" s="131">
        <f>IFERROR(IF(E10="Regular",VLOOKUP(C10,Resource_Rates_Table[],3,FALSE),(IF('Service Desk'!E10="OT",VLOOKUP(C10,Resource_Rates_Table[],4,FALSE),IF(E10="Regular/1st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3.9306133056133059</v>
      </c>
      <c r="H10" s="62">
        <f>D10*G10</f>
        <v>0</v>
      </c>
      <c r="I10" s="141" t="s">
        <v>390</v>
      </c>
      <c r="J10" s="144">
        <f>IFERROR(IF(I10="Specified Margin",IFERROR(_xlfn.IFS(ISNUMBER(SEARCH("India",C10))=TRUE,Baseline!$G$6,ISNUMBER(SEARCH("Pakistan",C10))=TRUE,Baseline!$G$7),Baseline!$G$5),(K10-G10)/K10),"TBD")</f>
        <v>0.5</v>
      </c>
      <c r="K10" s="511">
        <f>IFERROR(IF(I10="Specified Margin",G10/(1-J10),"Enter Sell Rate"),"TBD")</f>
        <v>7.8612266112266118</v>
      </c>
      <c r="L10" s="512"/>
      <c r="M10" s="149">
        <f t="shared" ref="M10:M27" si="1">IFERROR(D10*K10,"TBD")</f>
        <v>0</v>
      </c>
      <c r="N10" s="116"/>
      <c r="O10" s="117"/>
      <c r="P10" s="117"/>
      <c r="Q10" s="118"/>
    </row>
    <row r="11" spans="1:17">
      <c r="B11" s="39" t="str">
        <f>IF(Baseline!$D$6="Department Based","India PS/MS Resources","")</f>
        <v>India PS/MS Resources</v>
      </c>
      <c r="C11" s="39" t="str">
        <f>IF(Baseline!$D$6="Department Based","India - Service Desk Level L2","")</f>
        <v>India - Service Desk Level L2</v>
      </c>
      <c r="D11" s="113">
        <v>0</v>
      </c>
      <c r="E11" s="113" t="s">
        <v>389</v>
      </c>
      <c r="F11" s="130"/>
      <c r="G11" s="131">
        <f>IFERROR(IF(E11="Regular",VLOOKUP(C11,Resource_Rates_Table[],3,FALSE),(IF('Service Desk'!E11="OT",VLOOKUP(C11,Resource_Rates_Table[],4,FALSE),IF(E11="Regular/1st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5.4573804573804585</v>
      </c>
      <c r="H11" s="62">
        <f>D11*G11</f>
        <v>0</v>
      </c>
      <c r="I11" s="141" t="s">
        <v>390</v>
      </c>
      <c r="J11" s="144" cm="1">
        <f t="array" ref="J11">IFERROR(IF(I11="Specified Margin",IFERROR(_xlfn.IFS(ISNUMBER(SEARCH("India",C11))=TRUE,Baseline!$G$6,ISNUMBER(SEARCH("Pakistan",C11))=TRUE,Baseline!$G$7),Baseline!$G$5),(K11-G11)/K11),"TBD")</f>
        <v>0.5</v>
      </c>
      <c r="K11" s="511">
        <f t="shared" si="0"/>
        <v>10.914760914760917</v>
      </c>
      <c r="L11" s="512"/>
      <c r="M11" s="149">
        <f t="shared" si="1"/>
        <v>0</v>
      </c>
      <c r="N11" s="116"/>
      <c r="O11" s="117"/>
      <c r="P11" s="117"/>
      <c r="Q11" s="118"/>
    </row>
    <row r="12" spans="1:17">
      <c r="B12" s="39"/>
      <c r="C12" s="39"/>
      <c r="D12" s="113">
        <v>0</v>
      </c>
      <c r="E12" s="113" t="s">
        <v>389</v>
      </c>
      <c r="F12" s="130"/>
      <c r="G12" s="131">
        <f>IFERROR(IF(E12="Regular",VLOOKUP(C12,Resource_Rates_Table[],3,FALSE),(IF('Service Desk'!E12="OT",VLOOKUP(C12,Resource_Rates_Table[],4,FALSE),IF(E12="Regular/1st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 t="shared" ref="H12:H21" si="2">D12*G12</f>
        <v>0</v>
      </c>
      <c r="I12" s="141" t="s">
        <v>390</v>
      </c>
      <c r="J12" s="144" cm="1">
        <f t="array" ref="J12">IFERROR(IF(I12="Specified Margin",IFERROR(_xlfn.IFS(ISNUMBER(SEARCH("India",C12))=TRUE,Baseline!$G$6,ISNUMBER(SEARCH("Pakistan",C12))=TRUE,Baseline!$G$7),Baseline!$G$5),(K12-G12)/K12),"TBD")</f>
        <v>0.35</v>
      </c>
      <c r="K12" s="511">
        <f t="shared" si="0"/>
        <v>0</v>
      </c>
      <c r="L12" s="512"/>
      <c r="M12" s="149">
        <f t="shared" si="1"/>
        <v>0</v>
      </c>
      <c r="N12" s="116"/>
      <c r="O12" s="117"/>
      <c r="P12" s="117"/>
      <c r="Q12" s="118"/>
    </row>
    <row r="13" spans="1:17">
      <c r="B13" s="39"/>
      <c r="C13" s="39"/>
      <c r="D13" s="113">
        <v>0</v>
      </c>
      <c r="E13" s="113" t="s">
        <v>389</v>
      </c>
      <c r="F13" s="130"/>
      <c r="G13" s="131">
        <f>IFERROR(IF(E13="Regular",VLOOKUP(C13,Resource_Rates_Table[],3,FALSE),(IF('Service Desk'!E13="OT",VLOOKUP(C13,Resource_Rates_Table[],4,FALSE),IF(E13="Regular/1st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si="2"/>
        <v>0</v>
      </c>
      <c r="I13" s="141" t="s">
        <v>390</v>
      </c>
      <c r="J13" s="144" cm="1">
        <f t="array" ref="J13">IFERROR(IF(I13="Specified Margin",IFERROR(_xlfn.IFS(ISNUMBER(SEARCH("India",C13))=TRUE,Baseline!$G$6,ISNUMBER(SEARCH("Pakistan",C13))=TRUE,Baseline!$G$7),Baseline!$G$5),(K13-G13)/K13),"TBD")</f>
        <v>0.35</v>
      </c>
      <c r="K13" s="511">
        <f t="shared" si="0"/>
        <v>0</v>
      </c>
      <c r="L13" s="512"/>
      <c r="M13" s="149">
        <f t="shared" si="1"/>
        <v>0</v>
      </c>
      <c r="N13" s="116"/>
      <c r="O13" s="117"/>
      <c r="P13" s="117"/>
      <c r="Q13" s="118"/>
    </row>
    <row r="14" spans="1:17">
      <c r="B14" s="39"/>
      <c r="C14" s="39"/>
      <c r="D14" s="113">
        <v>0</v>
      </c>
      <c r="E14" s="113" t="s">
        <v>389</v>
      </c>
      <c r="F14" s="130"/>
      <c r="G14" s="131">
        <f>IFERROR(IF(E14="Regular",VLOOKUP(C14,Resource_Rates_Table[],3,FALSE),(IF('Service Desk'!E14="OT",VLOOKUP(C14,Resource_Rates_Table[],4,FALSE),IF(E14="Regular/1st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390</v>
      </c>
      <c r="J14" s="144" cm="1">
        <f t="array" ref="J14">IFERROR(IF(I14="Specified Margin",IFERROR(_xlfn.IFS(ISNUMBER(SEARCH("India",C14))=TRUE,Baseline!$G$6,ISNUMBER(SEARCH("Pakistan",C14))=TRUE,Baseline!$G$7),Baseline!$G$5),(K14-G14)/K14),"TBD")</f>
        <v>0.35</v>
      </c>
      <c r="K14" s="511">
        <f t="shared" si="0"/>
        <v>0</v>
      </c>
      <c r="L14" s="512"/>
      <c r="M14" s="149">
        <f t="shared" si="1"/>
        <v>0</v>
      </c>
      <c r="N14" s="116"/>
      <c r="O14" s="117"/>
      <c r="P14" s="117"/>
      <c r="Q14" s="118"/>
    </row>
    <row r="15" spans="1:17">
      <c r="B15" s="39"/>
      <c r="C15" s="39"/>
      <c r="D15" s="113">
        <v>0</v>
      </c>
      <c r="E15" s="113" t="s">
        <v>389</v>
      </c>
      <c r="F15" s="130"/>
      <c r="G15" s="131">
        <f>IFERROR(IF(E15="Regular",VLOOKUP(C15,Resource_Rates_Table[],3,FALSE),(IF('Service Desk'!E15="OT",VLOOKUP(C15,Resource_Rates_Table[],4,FALSE),IF(E15="Regular/1st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390</v>
      </c>
      <c r="J15" s="144" cm="1">
        <f t="array" ref="J15">IFERROR(IF(I15="Specified Margin",IFERROR(_xlfn.IFS(ISNUMBER(SEARCH("India",C15))=TRUE,Baseline!$G$6,ISNUMBER(SEARCH("Pakistan",C15))=TRUE,Baseline!$G$7),Baseline!$G$5),(K15-G15)/K15),"TBD")</f>
        <v>0.35</v>
      </c>
      <c r="K15" s="511">
        <f t="shared" si="0"/>
        <v>0</v>
      </c>
      <c r="L15" s="512"/>
      <c r="M15" s="149">
        <f t="shared" si="1"/>
        <v>0</v>
      </c>
      <c r="N15" s="116"/>
      <c r="O15" s="117"/>
      <c r="P15" s="117"/>
      <c r="Q15" s="118"/>
    </row>
    <row r="16" spans="1:17">
      <c r="B16" s="39"/>
      <c r="C16" s="39"/>
      <c r="D16" s="113">
        <v>0</v>
      </c>
      <c r="E16" s="113" t="s">
        <v>389</v>
      </c>
      <c r="F16" s="130"/>
      <c r="G16" s="131">
        <f>IFERROR(IF(E16="Regular",VLOOKUP(C16,Resource_Rates_Table[],3,FALSE),(IF('Service Desk'!E16="OT",VLOOKUP(C16,Resource_Rates_Table[],4,FALSE),IF(E16="Regular/1st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390</v>
      </c>
      <c r="J16" s="144" cm="1">
        <f t="array" ref="J16">IFERROR(IF(I16="Specified Margin",IFERROR(_xlfn.IFS(ISNUMBER(SEARCH("India",C16))=TRUE,Baseline!$G$6,ISNUMBER(SEARCH("Pakistan",C16))=TRUE,Baseline!$G$7),Baseline!$G$5),(K16-G16)/K16),"TBD")</f>
        <v>0.35</v>
      </c>
      <c r="K16" s="511">
        <f t="shared" si="0"/>
        <v>0</v>
      </c>
      <c r="L16" s="512"/>
      <c r="M16" s="149">
        <f t="shared" si="1"/>
        <v>0</v>
      </c>
      <c r="N16" s="116"/>
      <c r="O16" s="117"/>
      <c r="P16" s="117"/>
      <c r="Q16" s="118"/>
    </row>
    <row r="17" spans="2:17">
      <c r="B17" s="39"/>
      <c r="C17" s="39"/>
      <c r="D17" s="113">
        <v>0</v>
      </c>
      <c r="E17" s="113" t="s">
        <v>389</v>
      </c>
      <c r="F17" s="130"/>
      <c r="G17" s="131">
        <f>IFERROR(IF(E17="Regular",VLOOKUP(C17,Resource_Rates_Table[],3,FALSE),(IF('Service Desk'!E17="OT",VLOOKUP(C17,Resource_Rates_Table[],4,FALSE),IF(E17="Regular/1st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390</v>
      </c>
      <c r="J17" s="144" cm="1">
        <f t="array" ref="J17">IFERROR(IF(I17="Specified Margin",IFERROR(_xlfn.IFS(ISNUMBER(SEARCH("India",C17))=TRUE,Baseline!$G$6,ISNUMBER(SEARCH("Pakistan",C17))=TRUE,Baseline!$G$7),Baseline!$G$5),(K17-G17)/K17),"TBD")</f>
        <v>0.35</v>
      </c>
      <c r="K17" s="511">
        <f t="shared" si="0"/>
        <v>0</v>
      </c>
      <c r="L17" s="512"/>
      <c r="M17" s="149">
        <f t="shared" si="1"/>
        <v>0</v>
      </c>
      <c r="N17" s="116"/>
      <c r="O17" s="117"/>
      <c r="P17" s="117"/>
      <c r="Q17" s="118"/>
    </row>
    <row r="18" spans="2:17">
      <c r="B18" s="39"/>
      <c r="C18" s="39"/>
      <c r="D18" s="113">
        <v>0</v>
      </c>
      <c r="E18" s="113" t="s">
        <v>389</v>
      </c>
      <c r="F18" s="130"/>
      <c r="G18" s="131">
        <f>IFERROR(IF(E18="Regular",VLOOKUP(C18,Resource_Rates_Table[],3,FALSE),(IF('Service Desk'!E18="OT",VLOOKUP(C18,Resource_Rates_Table[],4,FALSE),IF(E18="Regular/1st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390</v>
      </c>
      <c r="J18" s="144" cm="1">
        <f t="array" ref="J18">IFERROR(IF(I18="Specified Margin",IFERROR(_xlfn.IFS(ISNUMBER(SEARCH("India",C18))=TRUE,Baseline!$G$6,ISNUMBER(SEARCH("Pakistan",C18))=TRUE,Baseline!$G$7),Baseline!$G$5),(K18-G18)/K18),"TBD")</f>
        <v>0.35</v>
      </c>
      <c r="K18" s="511">
        <f t="shared" si="0"/>
        <v>0</v>
      </c>
      <c r="L18" s="512"/>
      <c r="M18" s="149">
        <f t="shared" si="1"/>
        <v>0</v>
      </c>
      <c r="N18" s="116"/>
      <c r="O18" s="117"/>
      <c r="P18" s="117"/>
      <c r="Q18" s="118"/>
    </row>
    <row r="19" spans="2:17">
      <c r="B19" s="39"/>
      <c r="C19" s="39"/>
      <c r="D19" s="113">
        <v>0</v>
      </c>
      <c r="E19" s="113" t="s">
        <v>389</v>
      </c>
      <c r="F19" s="130"/>
      <c r="G19" s="131">
        <f>IFERROR(IF(E19="Regular",VLOOKUP(C19,Resource_Rates_Table[],3,FALSE),(IF('Service Desk'!E19="OT",VLOOKUP(C19,Resource_Rates_Table[],4,FALSE),IF(E19="Regular/1st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390</v>
      </c>
      <c r="J19" s="144" cm="1">
        <f t="array" ref="J19">IFERROR(IF(I19="Specified Margin",IFERROR(_xlfn.IFS(ISNUMBER(SEARCH("India",C19))=TRUE,Baseline!$G$6,ISNUMBER(SEARCH("Pakistan",C19))=TRUE,Baseline!$G$7),Baseline!$G$5),(K19-G19)/K19),"TBD")</f>
        <v>0.35</v>
      </c>
      <c r="K19" s="511">
        <f t="shared" si="0"/>
        <v>0</v>
      </c>
      <c r="L19" s="512"/>
      <c r="M19" s="149">
        <f t="shared" si="1"/>
        <v>0</v>
      </c>
      <c r="N19" s="116"/>
      <c r="O19" s="117"/>
      <c r="P19" s="117"/>
      <c r="Q19" s="118"/>
    </row>
    <row r="20" spans="2:17">
      <c r="B20" s="39"/>
      <c r="C20" s="39"/>
      <c r="D20" s="113">
        <v>0</v>
      </c>
      <c r="E20" s="113" t="s">
        <v>389</v>
      </c>
      <c r="F20" s="130"/>
      <c r="G20" s="131">
        <f>IFERROR(IF(E20="Regular",VLOOKUP(C20,Resource_Rates_Table[],3,FALSE),(IF('Service Desk'!E20="OT",VLOOKUP(C20,Resource_Rates_Table[],4,FALSE),IF(E20="Regular/1st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390</v>
      </c>
      <c r="J20" s="144" cm="1">
        <f t="array" ref="J20">IFERROR(IF(I20="Specified Margin",IFERROR(_xlfn.IFS(ISNUMBER(SEARCH("India",C20))=TRUE,Baseline!$G$6,ISNUMBER(SEARCH("Pakistan",C20))=TRUE,Baseline!$G$7),Baseline!$G$5),(K20-G20)/K20),"TBD")</f>
        <v>0.35</v>
      </c>
      <c r="K20" s="511">
        <f t="shared" si="0"/>
        <v>0</v>
      </c>
      <c r="L20" s="512"/>
      <c r="M20" s="149">
        <f t="shared" si="1"/>
        <v>0</v>
      </c>
      <c r="N20" s="116"/>
      <c r="O20" s="117"/>
      <c r="P20" s="117"/>
      <c r="Q20" s="118"/>
    </row>
    <row r="21" spans="2:17">
      <c r="B21" s="39"/>
      <c r="C21" s="39"/>
      <c r="D21" s="113">
        <v>0</v>
      </c>
      <c r="E21" s="113" t="s">
        <v>389</v>
      </c>
      <c r="F21" s="130"/>
      <c r="G21" s="131">
        <f>IFERROR(IF(E21="Regular",VLOOKUP(C21,Resource_Rates_Table[],3,FALSE),(IF('Service Desk'!E21="OT",VLOOKUP(C21,Resource_Rates_Table[],4,FALSE),IF(E21="Regular/1st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390</v>
      </c>
      <c r="J21" s="144" cm="1">
        <f t="array" ref="J21">IFERROR(IF(I21="Specified Margin",IFERROR(_xlfn.IFS(ISNUMBER(SEARCH("India",C21))=TRUE,Baseline!$G$6,ISNUMBER(SEARCH("Pakistan",C21))=TRUE,Baseline!$G$7),Baseline!$G$5),(K21-G21)/K21),"TBD")</f>
        <v>0.35</v>
      </c>
      <c r="K21" s="511">
        <f t="shared" si="0"/>
        <v>0</v>
      </c>
      <c r="L21" s="512"/>
      <c r="M21" s="149">
        <f t="shared" si="1"/>
        <v>0</v>
      </c>
      <c r="N21" s="116"/>
      <c r="O21" s="117"/>
      <c r="P21" s="117"/>
      <c r="Q21" s="118"/>
    </row>
    <row r="22" spans="2:17">
      <c r="B22" s="39"/>
      <c r="C22" s="39"/>
      <c r="D22" s="113">
        <v>0</v>
      </c>
      <c r="E22" s="113" t="s">
        <v>389</v>
      </c>
      <c r="F22" s="130"/>
      <c r="G22" s="131">
        <f>IFERROR(IF(E22="Regular",VLOOKUP(C22,Resource_Rates_Table[],3,FALSE),(IF('Service Desk'!E22="OT",VLOOKUP(C22,Resource_Rates_Table[],4,FALSE),IF(E22="Regular/1st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ref="H22:H27" si="3">D22*G22</f>
        <v>0</v>
      </c>
      <c r="I22" s="141" t="s">
        <v>390</v>
      </c>
      <c r="J22" s="144" cm="1">
        <f t="array" ref="J22">IFERROR(IF(I22="Specified Margin",IFERROR(_xlfn.IFS(ISNUMBER(SEARCH("India",C22))=TRUE,Baseline!$G$6,ISNUMBER(SEARCH("Pakistan",C22))=TRUE,Baseline!$G$7),Baseline!$G$5),(K22-G22)/K22),"TBD")</f>
        <v>0.35</v>
      </c>
      <c r="K22" s="511">
        <f>IFERROR(IF(I22="Specified Margin",G22/(1-J22),"Enter Sell Rate"),"TBD")</f>
        <v>0</v>
      </c>
      <c r="L22" s="512"/>
      <c r="M22" s="149">
        <f t="shared" si="1"/>
        <v>0</v>
      </c>
      <c r="N22" s="116"/>
      <c r="O22" s="117"/>
      <c r="P22" s="117"/>
      <c r="Q22" s="118"/>
    </row>
    <row r="23" spans="2:17">
      <c r="B23" s="39"/>
      <c r="C23" s="39"/>
      <c r="D23" s="113">
        <v>0</v>
      </c>
      <c r="E23" s="113" t="s">
        <v>389</v>
      </c>
      <c r="F23" s="130"/>
      <c r="G23" s="131">
        <f>IFERROR(IF(E23="Regular",VLOOKUP(C23,Resource_Rates_Table[],3,FALSE),(IF('Service Desk'!E23="OT",VLOOKUP(C23,Resource_Rates_Table[],4,FALSE),IF(E23="Regular/1st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390</v>
      </c>
      <c r="J23" s="144" cm="1">
        <f t="array" ref="J23">IFERROR(IF(I23="Specified Margin",IFERROR(_xlfn.IFS(ISNUMBER(SEARCH("India",C23))=TRUE,Baseline!$G$6,ISNUMBER(SEARCH("Pakistan",C23))=TRUE,Baseline!$G$7),Baseline!$G$5),(K23-G23)/K23),"TBD")</f>
        <v>0.35</v>
      </c>
      <c r="K23" s="511">
        <f t="shared" si="0"/>
        <v>0</v>
      </c>
      <c r="L23" s="512"/>
      <c r="M23" s="149">
        <f t="shared" si="1"/>
        <v>0</v>
      </c>
      <c r="N23" s="116"/>
      <c r="O23" s="117"/>
      <c r="P23" s="117"/>
      <c r="Q23" s="118"/>
    </row>
    <row r="24" spans="2:17">
      <c r="B24" s="39"/>
      <c r="C24" s="39"/>
      <c r="D24" s="113">
        <v>0</v>
      </c>
      <c r="E24" s="113" t="s">
        <v>389</v>
      </c>
      <c r="F24" s="133"/>
      <c r="G24" s="131">
        <f>IFERROR(IF(E24="Regular",VLOOKUP(C24,Resource_Rates_Table[],3,FALSE),(IF('Service Desk'!E24="OT",VLOOKUP(C24,Resource_Rates_Table[],4,FALSE),IF(E24="Regular/1st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390</v>
      </c>
      <c r="J24" s="144" cm="1">
        <f t="array" ref="J24">IFERROR(IF(I24="Specified Margin",IFERROR(_xlfn.IFS(ISNUMBER(SEARCH("India",C24))=TRUE,Baseline!$G$6,ISNUMBER(SEARCH("Pakistan",C24))=TRUE,Baseline!$G$7),Baseline!$G$5),(K24-G24)/K24),"TBD")</f>
        <v>0.35</v>
      </c>
      <c r="K24" s="511">
        <f t="shared" si="0"/>
        <v>0</v>
      </c>
      <c r="L24" s="512"/>
      <c r="M24" s="149">
        <f t="shared" si="1"/>
        <v>0</v>
      </c>
      <c r="N24" s="340"/>
      <c r="O24" s="380"/>
      <c r="P24" s="380"/>
      <c r="Q24" s="341"/>
    </row>
    <row r="25" spans="2:17">
      <c r="B25" s="39"/>
      <c r="C25" s="39"/>
      <c r="D25" s="113">
        <v>0</v>
      </c>
      <c r="E25" s="113" t="s">
        <v>389</v>
      </c>
      <c r="F25" s="133"/>
      <c r="G25" s="131">
        <f>IFERROR(IF(E25="Regular",VLOOKUP(C25,Resource_Rates_Table[],3,FALSE),(IF('Service Desk'!E25="OT",VLOOKUP(C25,Resource_Rates_Table[],4,FALSE),IF(E25="Regular/1st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390</v>
      </c>
      <c r="J25" s="144" cm="1">
        <f t="array" ref="J25">IFERROR(IF(I25="Specified Margin",IFERROR(_xlfn.IFS(ISNUMBER(SEARCH("India",C25))=TRUE,Baseline!$G$6,ISNUMBER(SEARCH("Pakistan",C25))=TRUE,Baseline!$G$7),Baseline!$G$5),(K25-G25)/K25),"TBD")</f>
        <v>0.35</v>
      </c>
      <c r="K25" s="511">
        <f t="shared" si="0"/>
        <v>0</v>
      </c>
      <c r="L25" s="512"/>
      <c r="M25" s="149">
        <f t="shared" si="1"/>
        <v>0</v>
      </c>
      <c r="N25" s="340"/>
      <c r="O25" s="380"/>
      <c r="P25" s="380"/>
      <c r="Q25" s="341"/>
    </row>
    <row r="26" spans="2:17">
      <c r="B26" s="39"/>
      <c r="C26" s="39"/>
      <c r="D26" s="113">
        <v>0</v>
      </c>
      <c r="E26" s="113" t="s">
        <v>389</v>
      </c>
      <c r="F26" s="133"/>
      <c r="G26" s="131">
        <f>IFERROR(IF(E26="Regular",VLOOKUP(C26,Resource_Rates_Table[],3,FALSE),(IF('Service Desk'!E26="OT",VLOOKUP(C26,Resource_Rates_Table[],4,FALSE),IF(E26="Regular/1st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390</v>
      </c>
      <c r="J26" s="144" cm="1">
        <f t="array" ref="J26">IFERROR(IF(I26="Specified Margin",IFERROR(_xlfn.IFS(ISNUMBER(SEARCH("India",C26))=TRUE,Baseline!$G$6,ISNUMBER(SEARCH("Pakistan",C26))=TRUE,Baseline!$G$7),Baseline!$G$5),(K26-G26)/K26),"TBD")</f>
        <v>0.35</v>
      </c>
      <c r="K26" s="511">
        <f t="shared" si="0"/>
        <v>0</v>
      </c>
      <c r="L26" s="512"/>
      <c r="M26" s="149">
        <f t="shared" si="1"/>
        <v>0</v>
      </c>
      <c r="N26" s="340"/>
      <c r="O26" s="380"/>
      <c r="P26" s="380"/>
      <c r="Q26" s="341"/>
    </row>
    <row r="27" spans="2:17">
      <c r="B27" s="39"/>
      <c r="C27" s="39"/>
      <c r="D27" s="113">
        <v>0</v>
      </c>
      <c r="E27" s="113" t="s">
        <v>389</v>
      </c>
      <c r="F27" s="133"/>
      <c r="G27" s="131">
        <f>IFERROR(IF(E27="Regular",VLOOKUP(C27,Resource_Rates_Table[],3,FALSE),(IF('Service Desk'!E27="OT",VLOOKUP(C27,Resource_Rates_Table[],4,FALSE),IF(E27="Regular/1st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390</v>
      </c>
      <c r="J27" s="144" cm="1">
        <f t="array" ref="J27">IFERROR(IF(I27="Specified Margin",IFERROR(_xlfn.IFS(ISNUMBER(SEARCH("India",C27))=TRUE,Baseline!$G$6,ISNUMBER(SEARCH("Pakistan",C27))=TRUE,Baseline!$G$7),Baseline!$G$5),(K27-G27)/K27),"TBD")</f>
        <v>0.35</v>
      </c>
      <c r="K27" s="511">
        <f t="shared" si="0"/>
        <v>0</v>
      </c>
      <c r="L27" s="512"/>
      <c r="M27" s="149">
        <f t="shared" si="1"/>
        <v>0</v>
      </c>
      <c r="N27" s="340"/>
      <c r="O27" s="380"/>
      <c r="P27" s="380"/>
      <c r="Q27" s="341"/>
    </row>
    <row r="28" spans="2:17">
      <c r="B28" s="6"/>
      <c r="C28" s="6" t="s">
        <v>391</v>
      </c>
      <c r="D28" s="134">
        <f>SUM(D8:D27)</f>
        <v>0</v>
      </c>
      <c r="E28" s="135"/>
      <c r="F28" s="135"/>
      <c r="G28" s="136" t="str">
        <f>IF(C3="Project",C2&amp;" Resource Cost:",C2&amp;" Per Unit Resource Cost:")</f>
        <v>Service Desk Per Unit Resource Cost:</v>
      </c>
      <c r="H28" s="137">
        <f>SUM(H8:H27)</f>
        <v>0</v>
      </c>
      <c r="I28" s="137" t="s">
        <v>392</v>
      </c>
      <c r="J28" s="152" t="str">
        <f>IFERROR((M28-H28)/M28,"TBD")</f>
        <v>TBD</v>
      </c>
      <c r="K28" s="378" t="s">
        <v>393</v>
      </c>
      <c r="L28" s="379"/>
      <c r="M28" s="137">
        <f>SUM(M8:M27)</f>
        <v>0</v>
      </c>
      <c r="N28" s="135"/>
      <c r="O28" s="135"/>
      <c r="P28" s="135"/>
      <c r="Q28" s="135"/>
    </row>
    <row r="29" spans="2:17">
      <c r="D29" s="119"/>
    </row>
    <row r="30" spans="2:17">
      <c r="B30" s="7" t="str">
        <f>C2&amp;" Partner Cost Factors:"</f>
        <v>Service Desk Partner Cost Factors:</v>
      </c>
      <c r="C30" s="7"/>
      <c r="D30" s="126"/>
      <c r="E30" s="126"/>
      <c r="F30" s="126"/>
      <c r="G30" s="126"/>
      <c r="H30" s="126"/>
      <c r="I30" s="126"/>
      <c r="J30" s="126"/>
      <c r="K30" s="126"/>
      <c r="L30" s="126"/>
      <c r="M30" s="126"/>
      <c r="N30" s="126"/>
      <c r="O30" s="126"/>
      <c r="P30" s="126"/>
      <c r="Q30" s="127"/>
    </row>
    <row r="31" spans="2:17">
      <c r="B31" s="4" t="s">
        <v>394</v>
      </c>
      <c r="C31" s="4" t="s">
        <v>395</v>
      </c>
      <c r="D31" s="4" t="s">
        <v>396</v>
      </c>
      <c r="E31" s="128" t="s">
        <v>381</v>
      </c>
      <c r="F31" s="128"/>
      <c r="G31" s="49" t="s">
        <v>397</v>
      </c>
      <c r="H31" s="49" t="s">
        <v>398</v>
      </c>
      <c r="I31" s="4" t="s">
        <v>384</v>
      </c>
      <c r="J31" s="4" t="s">
        <v>385</v>
      </c>
      <c r="K31" s="513" t="s">
        <v>399</v>
      </c>
      <c r="L31" s="514"/>
      <c r="M31" s="4" t="s">
        <v>400</v>
      </c>
      <c r="N31" s="381" t="s">
        <v>401</v>
      </c>
      <c r="O31" s="382"/>
      <c r="P31" s="382"/>
      <c r="Q31" s="383"/>
    </row>
    <row r="32" spans="2:17">
      <c r="B32" s="39"/>
      <c r="C32" s="39" t="str">
        <f>IF(B32="Field Nation",'Resource Descriptions'!$D$116,IF(B32="Partner",'Resource Descriptions'!$D$120,""))</f>
        <v/>
      </c>
      <c r="D32" s="113">
        <v>0</v>
      </c>
      <c r="E32" s="113" t="s">
        <v>389</v>
      </c>
      <c r="F32" s="115"/>
      <c r="G32" s="114">
        <f>IFERROR(IF(B32="Partner","Enter Partner Price",IF(B32="Field Nation",IF(E32="Regular",VLOOKUP(C32,'Resource Descriptions'!$D$116:$I$119,3,FALSE),IF(E32="OT",VLOOKUP(C32,'Resource Descriptions'!$D$116:$I$119,4,FALSE),0)),0)),0)</f>
        <v>0</v>
      </c>
      <c r="H32" s="53">
        <f t="shared" ref="H32:H39" si="4">IFERROR(D32*G32,"TBD")</f>
        <v>0</v>
      </c>
      <c r="I32" s="141" t="s">
        <v>390</v>
      </c>
      <c r="J32" s="144">
        <f>IFERROR(IF(I32="Specified Margin",Baseline!$G$8,(K32-G32)/K32),"TBD")</f>
        <v>0.3</v>
      </c>
      <c r="K32" s="511">
        <f>IFERROR(IF(I32="Specified Margin",G32/(1-J32),"Enter Sell Rate"),"TBD")</f>
        <v>0</v>
      </c>
      <c r="L32" s="512"/>
      <c r="M32" s="160">
        <f>IFERROR(D32*K32,"TBD")</f>
        <v>0</v>
      </c>
      <c r="N32" s="340"/>
      <c r="O32" s="380"/>
      <c r="P32" s="380"/>
      <c r="Q32" s="341"/>
    </row>
    <row r="33" spans="2:17">
      <c r="B33" s="39"/>
      <c r="C33" s="39" t="str">
        <f>IF(B33="Field Nation",'Resource Descriptions'!$D$116,IF(B33="Partner",'Resource Descriptions'!$D$120,""))</f>
        <v/>
      </c>
      <c r="D33" s="113">
        <v>0</v>
      </c>
      <c r="E33" s="113" t="s">
        <v>389</v>
      </c>
      <c r="F33" s="115"/>
      <c r="G33" s="114">
        <f>IFERROR(IF(B33="Partner","Enter Partner Price",IF(B33="Field Nation",IF(E33="Regular",VLOOKUP(C33,'Resource Descriptions'!$D$116:$I$119,3,FALSE),IF(E33="OT",VLOOKUP(C33,'Resource Descriptions'!$D$116:$I$119,4,FALSE),0)),0)),0)</f>
        <v>0</v>
      </c>
      <c r="H33" s="53">
        <f t="shared" si="4"/>
        <v>0</v>
      </c>
      <c r="I33" s="141" t="s">
        <v>390</v>
      </c>
      <c r="J33" s="144">
        <f>IFERROR(IF(I33="Specified Margin",Baseline!$G$8,(K33-G33)/K33),"TBD")</f>
        <v>0.3</v>
      </c>
      <c r="K33" s="511">
        <f t="shared" ref="K33:K39" si="5">IFERROR(IF(I33="Specified Margin",G33/(1-J33),"Enter Sell Rate"),"TBD")</f>
        <v>0</v>
      </c>
      <c r="L33" s="512"/>
      <c r="M33" s="160">
        <f t="shared" ref="M33:M39" si="6">IFERROR(D33*K33,"TBD")</f>
        <v>0</v>
      </c>
      <c r="N33" s="116"/>
      <c r="O33" s="117"/>
      <c r="P33" s="117"/>
      <c r="Q33" s="118"/>
    </row>
    <row r="34" spans="2:17">
      <c r="B34" s="39"/>
      <c r="C34" s="39" t="str">
        <f>IF(B34="Field Nation",'Resource Descriptions'!$D$116,IF(B34="Partner",'Resource Descriptions'!$D$120,""))</f>
        <v/>
      </c>
      <c r="D34" s="113">
        <v>0</v>
      </c>
      <c r="E34" s="113" t="s">
        <v>389</v>
      </c>
      <c r="F34" s="115"/>
      <c r="G34" s="114">
        <f>IFERROR(IF(B34="Partner","Enter Partner Price",IF(B34="Field Nation",IF(E34="Regular",VLOOKUP(C34,'Resource Descriptions'!$D$116:$I$119,3,FALSE),IF(E34="OT",VLOOKUP(C34,'Resource Descriptions'!$D$116:$I$119,4,FALSE),0)),0)),0)</f>
        <v>0</v>
      </c>
      <c r="H34" s="53">
        <f t="shared" si="4"/>
        <v>0</v>
      </c>
      <c r="I34" s="141" t="s">
        <v>390</v>
      </c>
      <c r="J34" s="144">
        <f>IFERROR(IF(I34="Specified Margin",Baseline!$G$8,(K34-G34)/K34),"TBD")</f>
        <v>0.3</v>
      </c>
      <c r="K34" s="511">
        <f>IFERROR(IF(I34="Specified Margin",G34/(1-J34),"Enter Sell Rate"),"TBD")</f>
        <v>0</v>
      </c>
      <c r="L34" s="512"/>
      <c r="M34" s="160">
        <f t="shared" si="6"/>
        <v>0</v>
      </c>
      <c r="N34" s="116"/>
      <c r="O34" s="117"/>
      <c r="P34" s="117"/>
      <c r="Q34" s="118"/>
    </row>
    <row r="35" spans="2:17">
      <c r="B35" s="39"/>
      <c r="C35" s="39" t="str">
        <f>IF(B35="Field Nation",'Resource Descriptions'!$D$116,IF(B35="Partner",'Resource Descriptions'!$D$120,""))</f>
        <v/>
      </c>
      <c r="D35" s="113">
        <v>0</v>
      </c>
      <c r="E35" s="113" t="s">
        <v>389</v>
      </c>
      <c r="F35" s="115"/>
      <c r="G35" s="114">
        <f>IFERROR(IF(B35="Partner","Enter Partner Price",IF(B35="Field Nation",IF(E35="Regular",VLOOKUP(C35,'Resource Descriptions'!$D$116:$I$119,3,FALSE),IF(E35="OT",VLOOKUP(C35,'Resource Descriptions'!$D$116:$I$119,4,FALSE),0)),0)),0)</f>
        <v>0</v>
      </c>
      <c r="H35" s="53">
        <f t="shared" si="4"/>
        <v>0</v>
      </c>
      <c r="I35" s="141" t="s">
        <v>390</v>
      </c>
      <c r="J35" s="144">
        <f>IFERROR(IF(I35="Specified Margin",Baseline!$G$8,(K35-G35)/K35),"TBD")</f>
        <v>0.3</v>
      </c>
      <c r="K35" s="511">
        <f t="shared" si="5"/>
        <v>0</v>
      </c>
      <c r="L35" s="512"/>
      <c r="M35" s="160">
        <f t="shared" si="6"/>
        <v>0</v>
      </c>
      <c r="N35" s="116"/>
      <c r="O35" s="117"/>
      <c r="P35" s="117"/>
      <c r="Q35" s="118"/>
    </row>
    <row r="36" spans="2:17">
      <c r="B36" s="39"/>
      <c r="C36" s="39" t="str">
        <f>IF(B36="Field Nation",'Resource Descriptions'!$D$116,IF(B36="Partner",'Resource Descriptions'!$D$120,""))</f>
        <v/>
      </c>
      <c r="D36" s="113">
        <v>0</v>
      </c>
      <c r="E36" s="113" t="s">
        <v>389</v>
      </c>
      <c r="F36" s="115"/>
      <c r="G36" s="114">
        <f>IFERROR(IF(B36="Partner","Enter Partner Price",IF(B36="Field Nation",IF(E36="Regular",VLOOKUP(C36,'Resource Descriptions'!$D$116:$I$119,3,FALSE),IF(E36="OT",VLOOKUP(C36,'Resource Descriptions'!$D$116:$I$119,4,FALSE),0)),0)),0)</f>
        <v>0</v>
      </c>
      <c r="H36" s="53">
        <f t="shared" si="4"/>
        <v>0</v>
      </c>
      <c r="I36" s="141" t="s">
        <v>390</v>
      </c>
      <c r="J36" s="144">
        <f>IFERROR(IF(I36="Specified Margin",Baseline!$G$8,(K36-G36)/K36),"TBD")</f>
        <v>0.3</v>
      </c>
      <c r="K36" s="511">
        <f t="shared" si="5"/>
        <v>0</v>
      </c>
      <c r="L36" s="512"/>
      <c r="M36" s="160">
        <f t="shared" si="6"/>
        <v>0</v>
      </c>
      <c r="N36" s="116"/>
      <c r="O36" s="117"/>
      <c r="P36" s="117"/>
      <c r="Q36" s="118"/>
    </row>
    <row r="37" spans="2:17">
      <c r="B37" s="39"/>
      <c r="C37" s="39" t="str">
        <f>IF(B37="Field Nation",'Resource Descriptions'!$D$116,IF(B37="Partner",'Resource Descriptions'!$D$120,""))</f>
        <v/>
      </c>
      <c r="D37" s="113">
        <v>0</v>
      </c>
      <c r="E37" s="113" t="s">
        <v>389</v>
      </c>
      <c r="F37" s="115"/>
      <c r="G37" s="114">
        <f>IFERROR(IF(B37="Partner","Enter Partner Price",IF(B37="Field Nation",IF(E37="Regular",VLOOKUP(C37,'Resource Descriptions'!$D$116:$I$119,3,FALSE),IF(E37="OT",VLOOKUP(C37,'Resource Descriptions'!$D$116:$I$119,4,FALSE),0)),0)),0)</f>
        <v>0</v>
      </c>
      <c r="H37" s="53">
        <f t="shared" si="4"/>
        <v>0</v>
      </c>
      <c r="I37" s="141" t="s">
        <v>390</v>
      </c>
      <c r="J37" s="144">
        <f>IFERROR(IF(I37="Specified Margin",Baseline!$G$8,(K37-G37)/K37),"TBD")</f>
        <v>0.3</v>
      </c>
      <c r="K37" s="511">
        <f t="shared" si="5"/>
        <v>0</v>
      </c>
      <c r="L37" s="512"/>
      <c r="M37" s="160">
        <f t="shared" si="6"/>
        <v>0</v>
      </c>
      <c r="N37" s="116"/>
      <c r="O37" s="117"/>
      <c r="P37" s="117"/>
      <c r="Q37" s="118"/>
    </row>
    <row r="38" spans="2:17">
      <c r="B38" s="39"/>
      <c r="C38" s="39" t="str">
        <f>IF(B38="Field Nation",'Resource Descriptions'!$D$116,IF(B38="Partner",'Resource Descriptions'!$D$120,""))</f>
        <v/>
      </c>
      <c r="D38" s="113">
        <v>0</v>
      </c>
      <c r="E38" s="113" t="s">
        <v>389</v>
      </c>
      <c r="F38" s="115"/>
      <c r="G38" s="114">
        <f>IFERROR(IF(B38="Partner","Enter Partner Price",IF(B38="Field Nation",IF(E38="Regular",VLOOKUP(C38,'Resource Descriptions'!$D$116:$I$119,3,FALSE),IF(E38="OT",VLOOKUP(C38,'Resource Descriptions'!$D$116:$I$119,4,FALSE),0)),0)),0)</f>
        <v>0</v>
      </c>
      <c r="H38" s="53">
        <f t="shared" si="4"/>
        <v>0</v>
      </c>
      <c r="I38" s="141" t="s">
        <v>390</v>
      </c>
      <c r="J38" s="144">
        <f>IFERROR(IF(I38="Specified Margin",Baseline!$G$8,(K38-G38)/K38),"TBD")</f>
        <v>0.3</v>
      </c>
      <c r="K38" s="511">
        <f t="shared" si="5"/>
        <v>0</v>
      </c>
      <c r="L38" s="512"/>
      <c r="M38" s="160">
        <f t="shared" si="6"/>
        <v>0</v>
      </c>
      <c r="N38" s="340"/>
      <c r="O38" s="380"/>
      <c r="P38" s="380"/>
      <c r="Q38" s="341"/>
    </row>
    <row r="39" spans="2:17">
      <c r="B39" s="39"/>
      <c r="C39" s="39" t="str">
        <f>IF(B39="Field Nation",'Resource Descriptions'!$D$116,IF(B39="Partner",'Resource Descriptions'!$D$120,""))</f>
        <v/>
      </c>
      <c r="D39" s="113">
        <v>0</v>
      </c>
      <c r="E39" s="113" t="s">
        <v>389</v>
      </c>
      <c r="F39" s="115"/>
      <c r="G39" s="114">
        <f>IFERROR(IF(B39="Partner","Enter Partner Price",IF(B39="Field Nation",IF(E39="Regular",VLOOKUP(C39,'Resource Descriptions'!$D$116:$I$119,3,FALSE),IF(E39="OT",VLOOKUP(C39,'Resource Descriptions'!$D$116:$I$119,4,FALSE),0)),0)),0)</f>
        <v>0</v>
      </c>
      <c r="H39" s="53">
        <f t="shared" si="4"/>
        <v>0</v>
      </c>
      <c r="I39" s="141" t="s">
        <v>390</v>
      </c>
      <c r="J39" s="144">
        <f>IFERROR(IF(I39="Specified Margin",Baseline!$G$8,(K39-G39)/K39),"TBD")</f>
        <v>0.3</v>
      </c>
      <c r="K39" s="511">
        <f t="shared" si="5"/>
        <v>0</v>
      </c>
      <c r="L39" s="512"/>
      <c r="M39" s="160">
        <f t="shared" si="6"/>
        <v>0</v>
      </c>
      <c r="N39" s="340"/>
      <c r="O39" s="380"/>
      <c r="P39" s="380"/>
      <c r="Q39" s="341"/>
    </row>
    <row r="40" spans="2:17">
      <c r="B40" s="6"/>
      <c r="C40" s="159"/>
      <c r="D40" s="135"/>
      <c r="E40" s="135"/>
      <c r="F40" s="135"/>
      <c r="G40" s="136" t="str">
        <f>IF(C3="Project",C2&amp;" Partner Cost:",C2&amp;" Per Unit Partner Cost:")</f>
        <v>Service Desk Per Unit Partner Cost:</v>
      </c>
      <c r="H40" s="137">
        <f>SUM(H32:H39)</f>
        <v>0</v>
      </c>
      <c r="I40" s="137" t="s">
        <v>402</v>
      </c>
      <c r="J40" s="152" t="str">
        <f>IFERROR((M40-H40)/M40,"TBD")</f>
        <v>TBD</v>
      </c>
      <c r="K40" s="378" t="s">
        <v>403</v>
      </c>
      <c r="L40" s="379"/>
      <c r="M40" s="137">
        <f>SUM(M32:M39)</f>
        <v>0</v>
      </c>
      <c r="N40" s="135"/>
      <c r="O40" s="135"/>
      <c r="P40" s="135"/>
      <c r="Q40" s="135"/>
    </row>
    <row r="41" spans="2:17">
      <c r="D41" s="119"/>
    </row>
    <row r="42" spans="2:17">
      <c r="B42" s="7" t="str">
        <f>C2&amp;" Travel &amp; Living Cost Factors:"</f>
        <v>Service Desk Travel &amp; Living Cost Factors:</v>
      </c>
      <c r="C42" s="126"/>
      <c r="D42" s="126"/>
      <c r="E42" s="126"/>
      <c r="F42" s="126"/>
      <c r="G42" s="126"/>
      <c r="H42" s="126"/>
      <c r="I42" s="126"/>
      <c r="J42" s="126"/>
      <c r="L42" s="32" t="str">
        <f>C2&amp;" Assumptions:"</f>
        <v>Service Desk Assumptions:</v>
      </c>
      <c r="M42" s="32"/>
      <c r="N42" s="32"/>
      <c r="O42" s="32"/>
      <c r="P42" s="32"/>
      <c r="Q42" s="32"/>
    </row>
    <row r="43" spans="2:17">
      <c r="B43" s="4" t="s">
        <v>404</v>
      </c>
      <c r="C43" s="4" t="s">
        <v>405</v>
      </c>
      <c r="D43" s="4" t="s">
        <v>406</v>
      </c>
      <c r="E43" s="515" t="s">
        <v>407</v>
      </c>
      <c r="F43" s="516"/>
      <c r="G43" s="4" t="s">
        <v>384</v>
      </c>
      <c r="H43" s="13" t="s">
        <v>385</v>
      </c>
      <c r="I43" s="4" t="s">
        <v>408</v>
      </c>
      <c r="J43" s="4" t="s">
        <v>409</v>
      </c>
      <c r="L43" s="375"/>
      <c r="M43" s="376"/>
      <c r="N43" s="376"/>
      <c r="O43" s="376"/>
      <c r="P43" s="376"/>
      <c r="Q43" s="377"/>
    </row>
    <row r="44" spans="2:17">
      <c r="B44" s="39"/>
      <c r="C44" s="113">
        <v>0</v>
      </c>
      <c r="D44" s="120">
        <f>IFERROR(VLOOKUP(B44,'Expenses &amp; Materials'!$B$3:$C$9,2,FALSE),0)</f>
        <v>0</v>
      </c>
      <c r="E44" s="517">
        <f t="shared" ref="E44:E51" si="7">C44*D44</f>
        <v>0</v>
      </c>
      <c r="F44" s="518"/>
      <c r="G44" s="141" t="s">
        <v>390</v>
      </c>
      <c r="H44" s="153">
        <f>IFERROR(IF(G44="Specified Margin",Baseline!$G$9,(I44-D44)/I44),"TBD")</f>
        <v>0.15</v>
      </c>
      <c r="I44" s="163">
        <f>IFERROR(IF(G44="Specified Margin",D44/(1-H44),"Enter Sell Rate"),"TBD")</f>
        <v>0</v>
      </c>
      <c r="J44" s="62">
        <f>IFERROR(C44*I44,"TBD")</f>
        <v>0</v>
      </c>
      <c r="L44" s="375"/>
      <c r="M44" s="376"/>
      <c r="N44" s="376"/>
      <c r="O44" s="376"/>
      <c r="P44" s="376"/>
      <c r="Q44" s="377"/>
    </row>
    <row r="45" spans="2:17">
      <c r="B45" s="39"/>
      <c r="C45" s="113">
        <v>0</v>
      </c>
      <c r="D45" s="120">
        <f>IFERROR(VLOOKUP(B45,'Expenses &amp; Materials'!$B$3:$C$9,2,FALSE),0)</f>
        <v>0</v>
      </c>
      <c r="E45" s="517">
        <f t="shared" si="7"/>
        <v>0</v>
      </c>
      <c r="F45" s="518"/>
      <c r="G45" s="141" t="s">
        <v>390</v>
      </c>
      <c r="H45" s="153">
        <f>Baseline!$G$9</f>
        <v>0.15</v>
      </c>
      <c r="I45" s="163">
        <f t="shared" ref="I45:I51" si="8">IFERROR(IF(G45="Specified Margin",D45/(1-H45),"Enter Sell Rate"),"TBD")</f>
        <v>0</v>
      </c>
      <c r="J45" s="62">
        <f t="shared" ref="J45:J51" si="9">IFERROR(C45*I45,"TBD")</f>
        <v>0</v>
      </c>
      <c r="L45" s="375"/>
      <c r="M45" s="376"/>
      <c r="N45" s="376"/>
      <c r="O45" s="376"/>
      <c r="P45" s="376"/>
      <c r="Q45" s="377"/>
    </row>
    <row r="46" spans="2:17">
      <c r="B46" s="39"/>
      <c r="C46" s="113">
        <v>0</v>
      </c>
      <c r="D46" s="120">
        <f>IFERROR(VLOOKUP(B46,'Expenses &amp; Materials'!$B$3:$C$9,2,FALSE),0)</f>
        <v>0</v>
      </c>
      <c r="E46" s="517">
        <f t="shared" si="7"/>
        <v>0</v>
      </c>
      <c r="F46" s="518"/>
      <c r="G46" s="141" t="s">
        <v>390</v>
      </c>
      <c r="H46" s="153">
        <f>Baseline!$G$9</f>
        <v>0.15</v>
      </c>
      <c r="I46" s="163">
        <f t="shared" si="8"/>
        <v>0</v>
      </c>
      <c r="J46" s="62">
        <f t="shared" si="9"/>
        <v>0</v>
      </c>
      <c r="L46" s="375"/>
      <c r="M46" s="376"/>
      <c r="N46" s="376"/>
      <c r="O46" s="376"/>
      <c r="P46" s="376"/>
      <c r="Q46" s="377"/>
    </row>
    <row r="47" spans="2:17">
      <c r="B47" s="39"/>
      <c r="C47" s="113">
        <v>0</v>
      </c>
      <c r="D47" s="120">
        <f>IFERROR(VLOOKUP(B47,'Expenses &amp; Materials'!$B$3:$C$9,2,FALSE),0)</f>
        <v>0</v>
      </c>
      <c r="E47" s="517">
        <f t="shared" si="7"/>
        <v>0</v>
      </c>
      <c r="F47" s="518"/>
      <c r="G47" s="141" t="s">
        <v>390</v>
      </c>
      <c r="H47" s="153">
        <f>Baseline!$G$9</f>
        <v>0.15</v>
      </c>
      <c r="I47" s="163">
        <f t="shared" si="8"/>
        <v>0</v>
      </c>
      <c r="J47" s="62">
        <f t="shared" si="9"/>
        <v>0</v>
      </c>
      <c r="L47" s="375"/>
      <c r="M47" s="376"/>
      <c r="N47" s="376"/>
      <c r="O47" s="376"/>
      <c r="P47" s="376"/>
      <c r="Q47" s="377"/>
    </row>
    <row r="48" spans="2:17">
      <c r="B48" s="39"/>
      <c r="C48" s="113">
        <v>0</v>
      </c>
      <c r="D48" s="120">
        <f>IFERROR(VLOOKUP(B48,'Expenses &amp; Materials'!$B$3:$C$9,2,FALSE),0)</f>
        <v>0</v>
      </c>
      <c r="E48" s="517">
        <f t="shared" si="7"/>
        <v>0</v>
      </c>
      <c r="F48" s="518"/>
      <c r="G48" s="141" t="s">
        <v>390</v>
      </c>
      <c r="H48" s="153">
        <f>Baseline!$G$9</f>
        <v>0.15</v>
      </c>
      <c r="I48" s="163">
        <f t="shared" si="8"/>
        <v>0</v>
      </c>
      <c r="J48" s="62">
        <f t="shared" si="9"/>
        <v>0</v>
      </c>
      <c r="L48" s="375"/>
      <c r="M48" s="376"/>
      <c r="N48" s="376"/>
      <c r="O48" s="376"/>
      <c r="P48" s="376"/>
      <c r="Q48" s="377"/>
    </row>
    <row r="49" spans="2:17">
      <c r="B49" s="39"/>
      <c r="C49" s="113">
        <v>0</v>
      </c>
      <c r="D49" s="120">
        <f>IFERROR(VLOOKUP(B49,'Expenses &amp; Materials'!$B$3:$C$9,2,FALSE),0)</f>
        <v>0</v>
      </c>
      <c r="E49" s="517">
        <f t="shared" si="7"/>
        <v>0</v>
      </c>
      <c r="F49" s="518"/>
      <c r="G49" s="141" t="s">
        <v>390</v>
      </c>
      <c r="H49" s="153">
        <f>Baseline!$G$9</f>
        <v>0.15</v>
      </c>
      <c r="I49" s="163">
        <f t="shared" si="8"/>
        <v>0</v>
      </c>
      <c r="J49" s="62">
        <f t="shared" si="9"/>
        <v>0</v>
      </c>
      <c r="L49" s="375"/>
      <c r="M49" s="376"/>
      <c r="N49" s="376"/>
      <c r="O49" s="376"/>
      <c r="P49" s="376"/>
      <c r="Q49" s="377"/>
    </row>
    <row r="50" spans="2:17">
      <c r="B50" s="39"/>
      <c r="C50" s="113">
        <v>0</v>
      </c>
      <c r="D50" s="120">
        <f>IFERROR(VLOOKUP(B50,'Expenses &amp; Materials'!$B$3:$C$9,2,FALSE),0)</f>
        <v>0</v>
      </c>
      <c r="E50" s="517">
        <f t="shared" si="7"/>
        <v>0</v>
      </c>
      <c r="F50" s="518"/>
      <c r="G50" s="141" t="s">
        <v>390</v>
      </c>
      <c r="H50" s="153">
        <f>Baseline!$G$9</f>
        <v>0.15</v>
      </c>
      <c r="I50" s="163">
        <f t="shared" si="8"/>
        <v>0</v>
      </c>
      <c r="J50" s="62">
        <f t="shared" si="9"/>
        <v>0</v>
      </c>
      <c r="L50" s="375"/>
      <c r="M50" s="376"/>
      <c r="N50" s="376"/>
      <c r="O50" s="376"/>
      <c r="P50" s="376"/>
      <c r="Q50" s="377"/>
    </row>
    <row r="51" spans="2:17">
      <c r="B51" s="39"/>
      <c r="C51" s="113">
        <v>0</v>
      </c>
      <c r="D51" s="120">
        <f>IFERROR(VLOOKUP(B51,'Expenses &amp; Materials'!$B$3:$C$9,2,FALSE),0)</f>
        <v>0</v>
      </c>
      <c r="E51" s="517">
        <f t="shared" si="7"/>
        <v>0</v>
      </c>
      <c r="F51" s="518"/>
      <c r="G51" s="141" t="s">
        <v>390</v>
      </c>
      <c r="H51" s="153">
        <f>Baseline!$G$9</f>
        <v>0.15</v>
      </c>
      <c r="I51" s="163">
        <f t="shared" si="8"/>
        <v>0</v>
      </c>
      <c r="J51" s="62">
        <f t="shared" si="9"/>
        <v>0</v>
      </c>
      <c r="L51" s="375"/>
      <c r="M51" s="376"/>
      <c r="N51" s="376"/>
      <c r="O51" s="376"/>
      <c r="P51" s="376"/>
      <c r="Q51" s="377"/>
    </row>
    <row r="52" spans="2:17">
      <c r="B52" s="6"/>
      <c r="C52" s="135"/>
      <c r="D52" s="135" t="str">
        <f>IF(C3="Project",C2&amp;" Travel &amp; Living Cost:",C2&amp;" Per Unit Travel &amp; Living Cost:")</f>
        <v>Service Desk Per Unit Travel &amp; Living Cost:</v>
      </c>
      <c r="E52" s="519">
        <f>SUM(E44:E51)</f>
        <v>0</v>
      </c>
      <c r="F52" s="520"/>
      <c r="G52" s="143" t="s">
        <v>410</v>
      </c>
      <c r="H52" s="142" t="str">
        <f>IFERROR((J52-E52)/J52,"TBD")</f>
        <v>TBD</v>
      </c>
      <c r="I52" s="8" t="s">
        <v>411</v>
      </c>
      <c r="J52" s="137">
        <f>SUM(J44:J51)</f>
        <v>0</v>
      </c>
      <c r="L52" s="375"/>
      <c r="M52" s="376"/>
      <c r="N52" s="376"/>
      <c r="O52" s="376"/>
      <c r="P52" s="376"/>
      <c r="Q52" s="377"/>
    </row>
    <row r="53" spans="2:17">
      <c r="L53" s="375"/>
      <c r="M53" s="376"/>
      <c r="N53" s="376"/>
      <c r="O53" s="376"/>
      <c r="P53" s="376"/>
      <c r="Q53" s="377"/>
    </row>
    <row r="54" spans="2:17">
      <c r="B54" s="7" t="str">
        <f>C2&amp;" Material &amp; Other Cost Factors:"</f>
        <v>Service Desk Material &amp; Other Cost Factors:</v>
      </c>
      <c r="C54" s="126"/>
      <c r="D54" s="126"/>
      <c r="E54" s="126"/>
      <c r="F54" s="126"/>
      <c r="G54" s="126"/>
      <c r="H54" s="126"/>
      <c r="I54" s="126"/>
      <c r="J54" s="126"/>
      <c r="L54" s="375"/>
      <c r="M54" s="376"/>
      <c r="N54" s="376"/>
      <c r="O54" s="376"/>
      <c r="P54" s="376"/>
      <c r="Q54" s="377"/>
    </row>
    <row r="55" spans="2:17">
      <c r="B55" s="4" t="s">
        <v>404</v>
      </c>
      <c r="C55" s="4" t="s">
        <v>405</v>
      </c>
      <c r="D55" s="4" t="s">
        <v>406</v>
      </c>
      <c r="E55" s="515" t="s">
        <v>383</v>
      </c>
      <c r="F55" s="516"/>
      <c r="G55" s="4" t="s">
        <v>384</v>
      </c>
      <c r="H55" s="13" t="s">
        <v>385</v>
      </c>
      <c r="I55" s="4" t="s">
        <v>412</v>
      </c>
      <c r="J55" s="4" t="s">
        <v>413</v>
      </c>
      <c r="L55" s="375"/>
      <c r="M55" s="376"/>
      <c r="N55" s="376"/>
      <c r="O55" s="376"/>
      <c r="P55" s="376"/>
      <c r="Q55" s="377"/>
    </row>
    <row r="56" spans="2:17">
      <c r="B56" s="39"/>
      <c r="C56" s="113">
        <v>0</v>
      </c>
      <c r="D56" s="120">
        <f>IFERROR(VLOOKUP(B56,'Expenses &amp; Materials'!$B$13:$C$18,2,FALSE),0)</f>
        <v>0</v>
      </c>
      <c r="E56" s="517">
        <f t="shared" ref="E56:E63" si="10">C56*D56</f>
        <v>0</v>
      </c>
      <c r="F56" s="518"/>
      <c r="G56" s="141" t="s">
        <v>390</v>
      </c>
      <c r="H56" s="153">
        <f>IFERROR(IF(G56="Specified Margin",Baseline!$G$10,(I56-D56)/I56),"TBD")</f>
        <v>0.15</v>
      </c>
      <c r="I56" s="163">
        <f>IFERROR(IF(G56="Specified Margin",D56/(1-H56),"Enter Sell Rate"),"TBD")</f>
        <v>0</v>
      </c>
      <c r="J56" s="62">
        <f>IFERROR(C56*I56,"TBD")</f>
        <v>0</v>
      </c>
      <c r="L56" s="372"/>
      <c r="M56" s="373"/>
      <c r="N56" s="373"/>
      <c r="O56" s="373"/>
      <c r="P56" s="373"/>
      <c r="Q56" s="374"/>
    </row>
    <row r="57" spans="2:17">
      <c r="B57" s="39"/>
      <c r="C57" s="113">
        <v>0</v>
      </c>
      <c r="D57" s="120">
        <f>IFERROR(VLOOKUP(B57,'Expenses &amp; Materials'!$B$13:$C$18,2,FALSE),0)</f>
        <v>0</v>
      </c>
      <c r="E57" s="517">
        <f t="shared" si="10"/>
        <v>0</v>
      </c>
      <c r="F57" s="518"/>
      <c r="G57" s="141" t="s">
        <v>390</v>
      </c>
      <c r="H57" s="153">
        <f>Baseline!$G$10</f>
        <v>0.15</v>
      </c>
      <c r="I57" s="163">
        <f t="shared" ref="I57:I63" si="11">IFERROR(IF(G57="Specified Margin",D57/(1-H57),"Enter Sell Rate"),"TBD")</f>
        <v>0</v>
      </c>
      <c r="J57" s="62">
        <f t="shared" ref="J57:J63" si="12">IFERROR(C57*I57,"TBD")</f>
        <v>0</v>
      </c>
    </row>
    <row r="58" spans="2:17">
      <c r="B58" s="39"/>
      <c r="C58" s="113">
        <v>0</v>
      </c>
      <c r="D58" s="120">
        <f>IFERROR(VLOOKUP(B58,'Expenses &amp; Materials'!$B$13:$C$18,2,FALSE),0)</f>
        <v>0</v>
      </c>
      <c r="E58" s="517">
        <f t="shared" si="10"/>
        <v>0</v>
      </c>
      <c r="F58" s="518"/>
      <c r="G58" s="141" t="s">
        <v>390</v>
      </c>
      <c r="H58" s="153">
        <f>Baseline!$G$10</f>
        <v>0.15</v>
      </c>
      <c r="I58" s="163">
        <f t="shared" si="11"/>
        <v>0</v>
      </c>
      <c r="J58" s="62">
        <f t="shared" si="12"/>
        <v>0</v>
      </c>
      <c r="L58" s="7" t="str">
        <f>C2&amp;" Financial Breakdown:"</f>
        <v>Service Desk Financial Breakdown:</v>
      </c>
      <c r="M58" s="126"/>
      <c r="N58" s="126"/>
      <c r="O58" s="126"/>
      <c r="P58" s="126"/>
      <c r="Q58" s="126"/>
    </row>
    <row r="59" spans="2:17">
      <c r="B59" s="39"/>
      <c r="C59" s="113">
        <v>0</v>
      </c>
      <c r="D59" s="120">
        <f>IFERROR(VLOOKUP(B59,'Expenses &amp; Materials'!$B$13:$C$18,2,FALSE),0)</f>
        <v>0</v>
      </c>
      <c r="E59" s="517">
        <f t="shared" si="10"/>
        <v>0</v>
      </c>
      <c r="F59" s="518"/>
      <c r="G59" s="141" t="s">
        <v>390</v>
      </c>
      <c r="H59" s="153">
        <f>Baseline!$G$10</f>
        <v>0.15</v>
      </c>
      <c r="I59" s="163">
        <f t="shared" si="11"/>
        <v>0</v>
      </c>
      <c r="J59" s="62">
        <f t="shared" si="12"/>
        <v>0</v>
      </c>
      <c r="L59" s="4" t="str">
        <f>C2&amp;" Cost Factors:"</f>
        <v>Service Desk Cost Factors:</v>
      </c>
      <c r="M59" s="4" t="str">
        <f>"Total "&amp;C2&amp;" Cost:"</f>
        <v>Total Service Desk Cost:</v>
      </c>
      <c r="N59" s="4" t="str">
        <f>C2&amp;" Cost/Unit:"</f>
        <v>Service Desk Cost/Unit:</v>
      </c>
      <c r="O59" s="4" t="str">
        <f>IF(Baseline!G3="Variable Margin",C2&amp;" Blended Margin %:","Blended Margin %")</f>
        <v>Blended Margin %</v>
      </c>
      <c r="P59" s="128" t="str">
        <f>"Total "&amp;C2&amp;" Sell Price:"</f>
        <v>Total Service Desk Sell Price:</v>
      </c>
      <c r="Q59" s="4" t="str">
        <f>C2&amp;" Sell Price/Unit:"</f>
        <v>Service Desk Sell Price/Unit:</v>
      </c>
    </row>
    <row r="60" spans="2:17">
      <c r="B60" s="39"/>
      <c r="C60" s="113">
        <v>0</v>
      </c>
      <c r="D60" s="120">
        <f>IFERROR(VLOOKUP(B60,'Expenses &amp; Materials'!$B$13:$C$18,2,FALSE),0)</f>
        <v>0</v>
      </c>
      <c r="E60" s="517">
        <f t="shared" si="10"/>
        <v>0</v>
      </c>
      <c r="F60" s="518"/>
      <c r="G60" s="141" t="s">
        <v>390</v>
      </c>
      <c r="H60" s="153">
        <f>Baseline!$G$10</f>
        <v>0.15</v>
      </c>
      <c r="I60" s="163">
        <f t="shared" si="11"/>
        <v>0</v>
      </c>
      <c r="J60" s="62">
        <f t="shared" si="12"/>
        <v>0</v>
      </c>
      <c r="L60" s="137" t="s">
        <v>280</v>
      </c>
      <c r="M60" s="62">
        <f>IF($C$3="Project",$H$28,$H$28*$C$4)</f>
        <v>0</v>
      </c>
      <c r="N60" s="53">
        <f>IF(C3="Project",$H$28/$C$4,$H$28)</f>
        <v>0</v>
      </c>
      <c r="O60" s="79" t="str">
        <f>J28</f>
        <v>TBD</v>
      </c>
      <c r="P60" s="133" t="str">
        <f>IFERROR(IF(Baseline!$G$3="Variable Margin",IF(C3="Project",M28,M28*C4),M60/$M$64*Baseline!$D$14),"TBD")</f>
        <v>TBD</v>
      </c>
      <c r="Q60" s="53" t="str">
        <f>IFERROR(P60/$C$4,"TBD")</f>
        <v>TBD</v>
      </c>
    </row>
    <row r="61" spans="2:17">
      <c r="B61" s="39"/>
      <c r="C61" s="113">
        <v>0</v>
      </c>
      <c r="D61" s="120">
        <f>IFERROR(VLOOKUP(B61,'Expenses &amp; Materials'!$B$13:$C$18,2,FALSE),0)</f>
        <v>0</v>
      </c>
      <c r="E61" s="517">
        <f t="shared" si="10"/>
        <v>0</v>
      </c>
      <c r="F61" s="518"/>
      <c r="G61" s="141" t="s">
        <v>390</v>
      </c>
      <c r="H61" s="153">
        <f>Baseline!$G$10</f>
        <v>0.15</v>
      </c>
      <c r="I61" s="163">
        <f t="shared" si="11"/>
        <v>0</v>
      </c>
      <c r="J61" s="62">
        <f t="shared" si="12"/>
        <v>0</v>
      </c>
      <c r="L61" s="137" t="s">
        <v>394</v>
      </c>
      <c r="M61" s="62">
        <f>IF($C$3="Project",$H$40,$H$40*$C$4)</f>
        <v>0</v>
      </c>
      <c r="N61" s="53">
        <f>IF(C3="Project",$H$40/$C$4,$H$40)</f>
        <v>0</v>
      </c>
      <c r="O61" s="79" t="str">
        <f>J40</f>
        <v>TBD</v>
      </c>
      <c r="P61" s="133" t="str">
        <f>IFERROR(IF(Baseline!$G$3="Variable Margin",IF(C3="Project",M40,M40*C4),M61/$M$64*Baseline!$D$14),"TBD")</f>
        <v>TBD</v>
      </c>
      <c r="Q61" s="53" t="str">
        <f>IFERROR(P61/$C$4,"TBD")</f>
        <v>TBD</v>
      </c>
    </row>
    <row r="62" spans="2:17">
      <c r="B62" s="39"/>
      <c r="C62" s="113">
        <v>0</v>
      </c>
      <c r="D62" s="120">
        <f>IFERROR(VLOOKUP(B62,'Expenses &amp; Materials'!$B$13:$C$18,2,FALSE),0)</f>
        <v>0</v>
      </c>
      <c r="E62" s="517">
        <f t="shared" si="10"/>
        <v>0</v>
      </c>
      <c r="F62" s="518"/>
      <c r="G62" s="141" t="s">
        <v>390</v>
      </c>
      <c r="H62" s="153">
        <f>Baseline!$G$10</f>
        <v>0.15</v>
      </c>
      <c r="I62" s="163">
        <f t="shared" si="11"/>
        <v>0</v>
      </c>
      <c r="J62" s="62">
        <f t="shared" si="12"/>
        <v>0</v>
      </c>
      <c r="L62" s="137" t="s">
        <v>238</v>
      </c>
      <c r="M62" s="62">
        <f>IF($C$3="Project",$E$52,$E$52*$C$4)</f>
        <v>0</v>
      </c>
      <c r="N62" s="53">
        <f>IF(C3="Project",$E$52/$C$4,$E$52)</f>
        <v>0</v>
      </c>
      <c r="O62" s="79" t="str">
        <f>H52</f>
        <v>TBD</v>
      </c>
      <c r="P62" s="133" t="str">
        <f>IFERROR(IF(Baseline!$G$3="Variable Margin",IF(C3="Project",J52,J52*C4),M62/$M$64*Baseline!$D$14),"TBD")</f>
        <v>TBD</v>
      </c>
      <c r="Q62" s="53" t="str">
        <f>IFERROR(P62/$C$4,"TBD")</f>
        <v>TBD</v>
      </c>
    </row>
    <row r="63" spans="2:17">
      <c r="B63" s="39"/>
      <c r="C63" s="113">
        <v>0</v>
      </c>
      <c r="D63" s="120">
        <f>IFERROR(VLOOKUP(B63,'Expenses &amp; Materials'!$B$13:$C$18,2,FALSE),0)</f>
        <v>0</v>
      </c>
      <c r="E63" s="517">
        <f t="shared" si="10"/>
        <v>0</v>
      </c>
      <c r="F63" s="518"/>
      <c r="G63" s="141" t="s">
        <v>390</v>
      </c>
      <c r="H63" s="153">
        <f>Baseline!$G$10</f>
        <v>0.15</v>
      </c>
      <c r="I63" s="163">
        <f t="shared" si="11"/>
        <v>0</v>
      </c>
      <c r="J63" s="62">
        <f t="shared" si="12"/>
        <v>0</v>
      </c>
      <c r="L63" s="137" t="s">
        <v>415</v>
      </c>
      <c r="M63" s="62">
        <f>IF($C$3="Project",$E$64,$E$64*$C$4)</f>
        <v>0</v>
      </c>
      <c r="N63" s="53">
        <f>IF(C3="Project",$E$64/$C$4,$E$64)</f>
        <v>0</v>
      </c>
      <c r="O63" s="79" t="str">
        <f>H64</f>
        <v>TBD</v>
      </c>
      <c r="P63" s="133" t="str">
        <f>IFERROR(IF(Baseline!$G$3="Variable Margin",IF(C3="Project",J64,J64*C4),M63/$M$64*Baseline!$D$14),"TBD")</f>
        <v>TBD</v>
      </c>
      <c r="Q63" s="53" t="str">
        <f>IFERROR(P63/$C$4,"TBD")</f>
        <v>TBD</v>
      </c>
    </row>
    <row r="64" spans="2:17">
      <c r="B64" s="6"/>
      <c r="C64" s="135"/>
      <c r="D64" s="6" t="str">
        <f>IF(C3="Project",C2&amp;" Material &amp; Other Cost:",C2&amp;" Per Unit Material &amp; Other Cost:")</f>
        <v>Service Desk Per Unit Material &amp; Other Cost:</v>
      </c>
      <c r="E64" s="519">
        <f>SUM(E56:E63)</f>
        <v>0</v>
      </c>
      <c r="F64" s="520"/>
      <c r="G64" s="143" t="s">
        <v>416</v>
      </c>
      <c r="H64" s="142" t="str">
        <f>IFERROR((J64-E64)/J64,"TBD")</f>
        <v>TBD</v>
      </c>
      <c r="I64" s="8" t="s">
        <v>417</v>
      </c>
      <c r="J64" s="137">
        <f>SUM(J56:J63)</f>
        <v>0</v>
      </c>
      <c r="L64" s="137" t="s">
        <v>418</v>
      </c>
      <c r="M64" s="137">
        <f>SUM(M60:M63)</f>
        <v>0</v>
      </c>
      <c r="N64" s="8">
        <f>IFERROR(M64/C4,"TBD")</f>
        <v>0</v>
      </c>
      <c r="O64" s="77" t="str">
        <f>IFERROR((P64-M64)/P64,"TBD")</f>
        <v>TBD</v>
      </c>
      <c r="P64" s="143">
        <f>SUM(P60:P63)</f>
        <v>0</v>
      </c>
      <c r="Q64" s="8">
        <f>SUM(Q60:Q63)</f>
        <v>0</v>
      </c>
    </row>
  </sheetData>
  <sheetProtection algorithmName="SHA-512" hashValue="F2vTOjgGEPPOFwV8v/caQPaMrw7D/gg1xtVj+CW2/vlJ/zNofVqcLEMydNw7CUNBqeTzkLzc292W04f1AwubzA==" saltValue="7LygjLAufQbYXobGv0Stzg==" spinCount="100000" sheet="1" objects="1" scenarios="1"/>
  <mergeCells count="77">
    <mergeCell ref="E60:F60"/>
    <mergeCell ref="E61:F61"/>
    <mergeCell ref="E62:F62"/>
    <mergeCell ref="E63:F63"/>
    <mergeCell ref="E64:F64"/>
    <mergeCell ref="E55:F55"/>
    <mergeCell ref="E56:F56"/>
    <mergeCell ref="E57:F57"/>
    <mergeCell ref="E58:F58"/>
    <mergeCell ref="E59:F59"/>
    <mergeCell ref="K20:L20"/>
    <mergeCell ref="K21:L21"/>
    <mergeCell ref="E43:F43"/>
    <mergeCell ref="E44:F44"/>
    <mergeCell ref="K31:L31"/>
    <mergeCell ref="E45:F45"/>
    <mergeCell ref="E46:F46"/>
    <mergeCell ref="E47:F47"/>
    <mergeCell ref="E48:F48"/>
    <mergeCell ref="E49:F49"/>
    <mergeCell ref="E50:F50"/>
    <mergeCell ref="E51:F51"/>
    <mergeCell ref="E52:F52"/>
    <mergeCell ref="J4:K4"/>
    <mergeCell ref="J3:K3"/>
    <mergeCell ref="K8:L8"/>
    <mergeCell ref="K24:L24"/>
    <mergeCell ref="K25:L25"/>
    <mergeCell ref="K26:L26"/>
    <mergeCell ref="K27:L27"/>
    <mergeCell ref="K10:L10"/>
    <mergeCell ref="K11:L11"/>
    <mergeCell ref="K22:L22"/>
    <mergeCell ref="K23:L23"/>
    <mergeCell ref="K9:L9"/>
    <mergeCell ref="K12:L12"/>
    <mergeCell ref="L50:Q50"/>
    <mergeCell ref="N31:Q31"/>
    <mergeCell ref="N32:Q32"/>
    <mergeCell ref="N38:Q38"/>
    <mergeCell ref="N39:Q39"/>
    <mergeCell ref="L43:Q43"/>
    <mergeCell ref="L44:Q44"/>
    <mergeCell ref="L45:Q45"/>
    <mergeCell ref="L46:Q46"/>
    <mergeCell ref="L47:Q47"/>
    <mergeCell ref="L48:Q48"/>
    <mergeCell ref="L49:Q49"/>
    <mergeCell ref="K40:L40"/>
    <mergeCell ref="N27:Q27"/>
    <mergeCell ref="N7:Q7"/>
    <mergeCell ref="N8:Q8"/>
    <mergeCell ref="N24:Q24"/>
    <mergeCell ref="N25:Q25"/>
    <mergeCell ref="N26:Q26"/>
    <mergeCell ref="K13:L13"/>
    <mergeCell ref="K28:L28"/>
    <mergeCell ref="K32:L32"/>
    <mergeCell ref="K38:L38"/>
    <mergeCell ref="K39:L39"/>
    <mergeCell ref="K33:L33"/>
    <mergeCell ref="K34:L34"/>
    <mergeCell ref="K35:L35"/>
    <mergeCell ref="K36:L36"/>
    <mergeCell ref="K37:L37"/>
    <mergeCell ref="K14:L14"/>
    <mergeCell ref="K15:L15"/>
    <mergeCell ref="K16:L16"/>
    <mergeCell ref="K17:L17"/>
    <mergeCell ref="K18:L18"/>
    <mergeCell ref="K19:L19"/>
    <mergeCell ref="L56:Q56"/>
    <mergeCell ref="L51:Q51"/>
    <mergeCell ref="L52:Q52"/>
    <mergeCell ref="L53:Q53"/>
    <mergeCell ref="L54:Q54"/>
    <mergeCell ref="L55:Q55"/>
  </mergeCells>
  <conditionalFormatting sqref="M3">
    <cfRule type="expression" dxfId="52" priority="23">
      <formula>H3="Partner"</formula>
    </cfRule>
  </conditionalFormatting>
  <conditionalFormatting sqref="G32">
    <cfRule type="expression" dxfId="51" priority="34">
      <formula>B32="Partner"</formula>
    </cfRule>
  </conditionalFormatting>
  <conditionalFormatting sqref="G33:G39">
    <cfRule type="expression" dxfId="50" priority="33">
      <formula>B33="Partner"</formula>
    </cfRule>
  </conditionalFormatting>
  <conditionalFormatting sqref="D44:D51">
    <cfRule type="expression" dxfId="49" priority="29">
      <formula>OR(B44="Roundtrip Airfare",B44="Metro City Hotel",B44="Non-Metro City Hotel",B44="Vehicle/Taxi/Uber",B44="Per Diem")=TRUE</formula>
    </cfRule>
  </conditionalFormatting>
  <conditionalFormatting sqref="D56">
    <cfRule type="expression" dxfId="48" priority="28">
      <formula>OR(B56="Background Check",B56="Storage (Per Pallet)")=TRUE</formula>
    </cfRule>
  </conditionalFormatting>
  <conditionalFormatting sqref="D57 D59 D61:D62">
    <cfRule type="expression" dxfId="47" priority="27">
      <formula>OR(B57="Background Check",B57="Storage (Per Pallet)")=TRUE</formula>
    </cfRule>
  </conditionalFormatting>
  <conditionalFormatting sqref="D63 D58 D60">
    <cfRule type="expression" dxfId="46" priority="26">
      <formula>OR(B58="Background Check",B58="Storage (Per Pallet)")=TRUE</formula>
    </cfRule>
  </conditionalFormatting>
  <conditionalFormatting sqref="H3:H4">
    <cfRule type="expression" dxfId="45" priority="24">
      <formula>C3="Partner"</formula>
    </cfRule>
  </conditionalFormatting>
  <conditionalFormatting sqref="J3">
    <cfRule type="cellIs" dxfId="44" priority="22" operator="lessThan">
      <formula>0.375</formula>
    </cfRule>
  </conditionalFormatting>
  <conditionalFormatting sqref="J32:J39">
    <cfRule type="expression" dxfId="43" priority="18">
      <formula>I32="Specified Sell Rate"</formula>
    </cfRule>
  </conditionalFormatting>
  <conditionalFormatting sqref="K8:K27">
    <cfRule type="expression" dxfId="42" priority="14">
      <formula>K8="Enter Sell Rate"</formula>
    </cfRule>
    <cfRule type="expression" dxfId="41" priority="15">
      <formula>I8="Specified Margin"</formula>
    </cfRule>
  </conditionalFormatting>
  <conditionalFormatting sqref="K32:K39">
    <cfRule type="expression" dxfId="40" priority="10">
      <formula>K32="Enter Sell Rate"</formula>
    </cfRule>
    <cfRule type="expression" dxfId="39" priority="11">
      <formula>I32="Specified Margin"</formula>
    </cfRule>
  </conditionalFormatting>
  <conditionalFormatting sqref="H44:H51">
    <cfRule type="expression" dxfId="38" priority="9">
      <formula>OR(E44="Roundtrip Airfare",E44="Metro City Hotel",E44="Non-Metro City Hotel",E44="Vehicle/Taxi/Uber",E44="Per Diem")=TRUE</formula>
    </cfRule>
  </conditionalFormatting>
  <conditionalFormatting sqref="I44:I51">
    <cfRule type="expression" dxfId="37" priority="7">
      <formula>I44="Enter Sell Rate"</formula>
    </cfRule>
    <cfRule type="expression" dxfId="36" priority="8">
      <formula>G44="Specified Sell Rate"</formula>
    </cfRule>
  </conditionalFormatting>
  <conditionalFormatting sqref="H56:H63">
    <cfRule type="expression" dxfId="35" priority="6">
      <formula>OR(E56="Roundtrip Airfare",E56="Metro City Hotel",E56="Non-Metro City Hotel",E56="Vehicle/Taxi/Uber",E56="Per Diem")=TRUE</formula>
    </cfRule>
  </conditionalFormatting>
  <conditionalFormatting sqref="I56:I63">
    <cfRule type="expression" dxfId="34" priority="4">
      <formula>I56="Enter Sell Rate"</formula>
    </cfRule>
    <cfRule type="expression" dxfId="33" priority="5">
      <formula>G56="Specified Sell Rate"</formula>
    </cfRule>
  </conditionalFormatting>
  <conditionalFormatting sqref="J8:J27">
    <cfRule type="expression" dxfId="32" priority="3">
      <formula>I8="Specified Sell Rate"</formula>
    </cfRule>
  </conditionalFormatting>
  <dataValidations count="8">
    <dataValidation type="list" allowBlank="1" showInputMessage="1" sqref="C3" xr:uid="{00000000-0002-0000-0A00-000000000000}">
      <formula1>"Project, Per Unit"</formula1>
    </dataValidation>
    <dataValidation type="list" allowBlank="1" showInputMessage="1" showErrorMessage="1" sqref="B32:B39" xr:uid="{00000000-0002-0000-0A00-000001000000}">
      <formula1>"Field Nation,Partner"</formula1>
    </dataValidation>
    <dataValidation type="list" allowBlank="1" showInputMessage="1" showErrorMessage="1" sqref="E32:E39" xr:uid="{00000000-0002-0000-0A00-000002000000}">
      <formula1>"Regular,OT"</formula1>
    </dataValidation>
    <dataValidation type="list" allowBlank="1" showInputMessage="1" showErrorMessage="1" sqref="G56:G63 G44:G51 I32:I39 I8:I27" xr:uid="{D21992FA-F221-4D23-9123-AE1E2048ED75}">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DC3B03E7-FA33-4924-8482-FBE4A3EC68A9}">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5C1BBA9B-3DEB-4878-A4F0-7943AE2485E9}">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14F2A923-0EFC-4205-A04C-BAF85D42BCB9}">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5B2A2E4C-12F2-44C9-9E59-4B8DC83D856E}">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53" id="{19CAB2CC-0F35-4155-84A9-3D348BDF4B7A}">
            <xm:f>Baseline!$D$6="Department Based"</xm:f>
            <x14:dxf>
              <font>
                <color theme="3" tint="0.59996337778862885"/>
              </font>
            </x14:dxf>
          </x14:cfRule>
          <xm:sqref>D2:D3</xm:sqref>
        </x14:conditionalFormatting>
        <x14:conditionalFormatting xmlns:xm="http://schemas.microsoft.com/office/excel/2006/main">
          <x14:cfRule type="expression" priority="454" id="{4A467FF9-C13E-4506-8366-734AC55F91B7}">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55" id="{C4F73B54-1917-4273-BA37-F72E2FF87D04}">
            <xm:f>Baseline!$D$6="Phase Based"</xm:f>
            <x14:dxf>
              <fill>
                <patternFill>
                  <bgColor theme="2" tint="-0.24994659260841701"/>
                </patternFill>
              </fill>
            </x14:dxf>
          </x14:cfRule>
          <xm:sqref>B8</xm:sqref>
        </x14:conditionalFormatting>
        <x14:conditionalFormatting xmlns:xm="http://schemas.microsoft.com/office/excel/2006/main">
          <x14:cfRule type="expression" priority="2" id="{8494B572-D03C-4C18-9367-9B49945707EC}">
            <xm:f>'COLA (WIP)'!$C$4="Yes"</xm:f>
            <x14:dxf>
              <fill>
                <patternFill>
                  <bgColor theme="0"/>
                </patternFill>
              </fill>
            </x14:dxf>
          </x14:cfRule>
          <xm:sqref>E4</xm:sqref>
        </x14:conditionalFormatting>
        <x14:conditionalFormatting xmlns:xm="http://schemas.microsoft.com/office/excel/2006/main">
          <x14:cfRule type="expression" priority="1" id="{81E69D79-D0E6-4793-B28D-843B614C2A6B}">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A00-000003000000}">
          <x14:formula1>
            <xm:f>IF(B32="Field Nation",'Resource Descriptions'!$D$116:$D$119,'Resource Descriptions'!$D$120)</xm:f>
          </x14:formula1>
          <xm:sqref>C32:C39</xm:sqref>
        </x14:dataValidation>
        <x14:dataValidation type="list" allowBlank="1" showInputMessage="1" xr:uid="{00000000-0002-0000-0A00-000007000000}">
          <x14:formula1>
            <xm:f>'Expenses &amp; Materials'!$B$4:$B$10</xm:f>
          </x14:formula1>
          <xm:sqref>B44:B51</xm:sqref>
        </x14:dataValidation>
        <x14:dataValidation type="list" allowBlank="1" showInputMessage="1" xr:uid="{00000000-0002-0000-0A00-000006000000}">
          <x14:formula1>
            <xm:f>'Expenses &amp; Materials'!$B$14:$B$16</xm:f>
          </x14:formula1>
          <xm:sqref>B56:B63</xm:sqref>
        </x14:dataValidation>
        <x14:dataValidation type="list" allowBlank="1" showInputMessage="1" showErrorMessage="1" xr:uid="{586DD5D7-CEEA-4BF4-9541-F0A66C8CA727}">
          <x14:formula1>
            <xm:f>'Data Tables'!$B$4:$B$15</xm:f>
          </x14:formula1>
          <xm:sqref>B8:B27</xm:sqref>
        </x14:dataValidation>
        <x14:dataValidation type="list" allowBlank="1" showInputMessage="1" showErrorMessage="1" xr:uid="{33683CFA-AE4D-449B-9857-D97EA1F43E0E}">
          <x14:formula1>
            <xm:f>OFFSET('Resource Descriptions'!$D$6,VLOOKUP(B8,'Data Tables'!$B$3:$E$17,2,FALSE),0,VLOOKUP(B8,'Data Tables'!$B$3:$E$17,4,FALSE),1)</xm:f>
          </x14:formula1>
          <xm:sqref>C8:C27</xm:sqref>
        </x14:dataValidation>
        <x14:dataValidation type="list" allowBlank="1" showInputMessage="1" showErrorMessage="1" xr:uid="{3AC767FB-9CF2-4864-BEC7-D3D70B256D4A}">
          <x14:formula1>
            <xm:f>OFFSET('Data Tables'!$C$20,VLOOKUP(C8,'Data Tables'!$G$17:$J$118,2,FALSE),0,VLOOKUP(C8,'Data Tables'!$G$17:$J$118,4,FALSE),1)</xm:f>
          </x14:formula1>
          <xm:sqref>E8:E27</xm:sqref>
        </x14:dataValidation>
        <x14:dataValidation type="list" allowBlank="1" showInputMessage="1" showErrorMessage="1" xr:uid="{1E12F803-D10A-4851-AAC5-22D00D8B72A7}">
          <x14:formula1>
            <xm:f>IF('COLA (WIP)'!C4="Yes",'COLA (WIP)'!$D$10:$M$10,"")</xm:f>
          </x14:formula1>
          <xm:sqref>E4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2:J120"/>
  <sheetViews>
    <sheetView showGridLines="0" zoomScale="70" zoomScaleNormal="70" workbookViewId="0">
      <pane ySplit="5" topLeftCell="A101" activePane="bottomLeft" state="frozen"/>
      <selection pane="bottomLeft" activeCell="B2" sqref="B2"/>
    </sheetView>
  </sheetViews>
  <sheetFormatPr defaultColWidth="8.85546875" defaultRowHeight="15"/>
  <cols>
    <col min="2" max="2" width="27.140625" bestFit="1" customWidth="1"/>
    <col min="3" max="3" width="40.42578125" customWidth="1"/>
    <col min="4" max="4" width="36" bestFit="1" customWidth="1"/>
    <col min="5" max="5" width="102.42578125" customWidth="1"/>
    <col min="6" max="6" width="21" bestFit="1" customWidth="1"/>
    <col min="7" max="10" width="20.42578125" customWidth="1"/>
  </cols>
  <sheetData>
    <row r="2" spans="2:10">
      <c r="B2" s="7" t="s">
        <v>425</v>
      </c>
      <c r="C2" s="95" t="s">
        <v>426</v>
      </c>
      <c r="D2" s="96"/>
    </row>
    <row r="4" spans="2:10">
      <c r="B4" s="7" t="s">
        <v>427</v>
      </c>
      <c r="C4" s="7"/>
      <c r="D4" s="7"/>
      <c r="E4" s="7"/>
      <c r="F4" s="7"/>
      <c r="G4" s="7"/>
      <c r="H4" s="7"/>
      <c r="I4" s="7"/>
      <c r="J4" s="7"/>
    </row>
    <row r="5" spans="2:10">
      <c r="B5" s="12" t="s">
        <v>428</v>
      </c>
      <c r="C5" s="12" t="s">
        <v>30</v>
      </c>
      <c r="D5" s="12" t="s">
        <v>31</v>
      </c>
      <c r="E5" s="12" t="s">
        <v>429</v>
      </c>
      <c r="F5" s="12" t="s">
        <v>430</v>
      </c>
      <c r="G5" s="12" t="s">
        <v>431</v>
      </c>
      <c r="H5" s="12" t="s">
        <v>432</v>
      </c>
      <c r="I5" s="13" t="s">
        <v>433</v>
      </c>
      <c r="J5" s="12" t="s">
        <v>434</v>
      </c>
    </row>
    <row r="6" spans="2:10" ht="25.5" customHeight="1">
      <c r="B6" s="23"/>
      <c r="C6" s="23" t="s">
        <v>103</v>
      </c>
      <c r="D6" s="23" t="s">
        <v>104</v>
      </c>
      <c r="E6" s="24" t="s">
        <v>435</v>
      </c>
      <c r="F6" s="25">
        <v>59.08</v>
      </c>
      <c r="G6" s="26">
        <f>F6*1.5</f>
        <v>88.62</v>
      </c>
      <c r="H6" s="26" t="s">
        <v>274</v>
      </c>
      <c r="I6" s="27" t="s">
        <v>274</v>
      </c>
      <c r="J6" s="27" t="s">
        <v>26</v>
      </c>
    </row>
    <row r="7" spans="2:10" ht="75">
      <c r="B7" s="23"/>
      <c r="C7" s="23" t="s">
        <v>103</v>
      </c>
      <c r="D7" s="23" t="s">
        <v>105</v>
      </c>
      <c r="E7" s="24" t="s">
        <v>436</v>
      </c>
      <c r="F7" s="25">
        <v>77.290000000000006</v>
      </c>
      <c r="G7" s="26">
        <f>F7*1.5</f>
        <v>115.935</v>
      </c>
      <c r="H7" s="26" t="s">
        <v>274</v>
      </c>
      <c r="I7" s="27" t="s">
        <v>274</v>
      </c>
      <c r="J7" s="27" t="s">
        <v>26</v>
      </c>
    </row>
    <row r="8" spans="2:10" ht="75">
      <c r="B8" s="23"/>
      <c r="C8" s="23" t="s">
        <v>103</v>
      </c>
      <c r="D8" s="23" t="s">
        <v>106</v>
      </c>
      <c r="E8" s="24" t="s">
        <v>437</v>
      </c>
      <c r="F8" s="25">
        <v>86.39</v>
      </c>
      <c r="G8" s="26">
        <f>F8*1.5</f>
        <v>129.58500000000001</v>
      </c>
      <c r="H8" s="26" t="s">
        <v>274</v>
      </c>
      <c r="I8" s="27" t="s">
        <v>274</v>
      </c>
      <c r="J8" s="27" t="s">
        <v>26</v>
      </c>
    </row>
    <row r="9" spans="2:10" ht="90">
      <c r="B9" s="23"/>
      <c r="C9" s="23" t="s">
        <v>103</v>
      </c>
      <c r="D9" s="23" t="s">
        <v>107</v>
      </c>
      <c r="E9" s="24" t="s">
        <v>438</v>
      </c>
      <c r="F9" s="25">
        <v>95.490000000000009</v>
      </c>
      <c r="G9" s="26">
        <f t="shared" ref="G9:G12" si="0">F9*1.5</f>
        <v>143.23500000000001</v>
      </c>
      <c r="H9" s="26" t="s">
        <v>274</v>
      </c>
      <c r="I9" s="27" t="s">
        <v>274</v>
      </c>
      <c r="J9" s="27" t="s">
        <v>26</v>
      </c>
    </row>
    <row r="10" spans="2:10" ht="90">
      <c r="B10" s="23"/>
      <c r="C10" s="23" t="s">
        <v>103</v>
      </c>
      <c r="D10" s="23" t="s">
        <v>108</v>
      </c>
      <c r="E10" s="24" t="s">
        <v>439</v>
      </c>
      <c r="F10" s="25">
        <v>62.12</v>
      </c>
      <c r="G10" s="26">
        <f t="shared" si="0"/>
        <v>93.179999999999993</v>
      </c>
      <c r="H10" s="26" t="s">
        <v>274</v>
      </c>
      <c r="I10" s="27" t="s">
        <v>274</v>
      </c>
      <c r="J10" s="27" t="s">
        <v>26</v>
      </c>
    </row>
    <row r="11" spans="2:10" ht="129.75" customHeight="1">
      <c r="B11" s="23"/>
      <c r="C11" s="23" t="s">
        <v>103</v>
      </c>
      <c r="D11" s="23" t="s">
        <v>109</v>
      </c>
      <c r="E11" s="24" t="s">
        <v>440</v>
      </c>
      <c r="F11" s="25">
        <v>74.25</v>
      </c>
      <c r="G11" s="26">
        <f t="shared" si="0"/>
        <v>111.375</v>
      </c>
      <c r="H11" s="26" t="s">
        <v>274</v>
      </c>
      <c r="I11" s="27" t="s">
        <v>274</v>
      </c>
      <c r="J11" s="27" t="s">
        <v>26</v>
      </c>
    </row>
    <row r="12" spans="2:10" ht="148.5" customHeight="1">
      <c r="B12" s="23"/>
      <c r="C12" s="23" t="s">
        <v>103</v>
      </c>
      <c r="D12" s="23" t="s">
        <v>110</v>
      </c>
      <c r="E12" s="24" t="s">
        <v>441</v>
      </c>
      <c r="F12" s="25">
        <v>89.42</v>
      </c>
      <c r="G12" s="26">
        <f t="shared" si="0"/>
        <v>134.13</v>
      </c>
      <c r="H12" s="26" t="s">
        <v>274</v>
      </c>
      <c r="I12" s="27" t="s">
        <v>274</v>
      </c>
      <c r="J12" s="27" t="s">
        <v>26</v>
      </c>
    </row>
    <row r="13" spans="2:10" ht="132" customHeight="1">
      <c r="B13" s="23"/>
      <c r="C13" s="23" t="s">
        <v>103</v>
      </c>
      <c r="D13" s="23" t="s">
        <v>111</v>
      </c>
      <c r="E13" s="24" t="s">
        <v>442</v>
      </c>
      <c r="F13" s="25">
        <v>101.56</v>
      </c>
      <c r="G13" s="26">
        <f>F13*1.5</f>
        <v>152.34</v>
      </c>
      <c r="H13" s="26" t="s">
        <v>274</v>
      </c>
      <c r="I13" s="27" t="s">
        <v>274</v>
      </c>
      <c r="J13" s="27" t="s">
        <v>26</v>
      </c>
    </row>
    <row r="14" spans="2:10">
      <c r="B14" s="23" t="s">
        <v>443</v>
      </c>
      <c r="C14" s="23" t="s">
        <v>103</v>
      </c>
      <c r="D14" s="23" t="s">
        <v>112</v>
      </c>
      <c r="E14" s="24" t="s">
        <v>444</v>
      </c>
      <c r="F14" s="25">
        <v>10.8</v>
      </c>
      <c r="G14" s="26" t="s">
        <v>274</v>
      </c>
      <c r="H14" s="26" t="s">
        <v>274</v>
      </c>
      <c r="I14" s="27" t="s">
        <v>274</v>
      </c>
      <c r="J14" s="27" t="s">
        <v>27</v>
      </c>
    </row>
    <row r="15" spans="2:10">
      <c r="B15" s="23" t="s">
        <v>445</v>
      </c>
      <c r="C15" s="23" t="s">
        <v>103</v>
      </c>
      <c r="D15" s="23" t="s">
        <v>113</v>
      </c>
      <c r="E15" s="24" t="s">
        <v>444</v>
      </c>
      <c r="F15" s="25">
        <v>13.2</v>
      </c>
      <c r="G15" s="26" t="s">
        <v>274</v>
      </c>
      <c r="H15" s="26" t="s">
        <v>274</v>
      </c>
      <c r="I15" s="27" t="s">
        <v>274</v>
      </c>
      <c r="J15" s="27" t="s">
        <v>27</v>
      </c>
    </row>
    <row r="16" spans="2:10">
      <c r="B16" s="23" t="s">
        <v>446</v>
      </c>
      <c r="C16" s="23" t="s">
        <v>103</v>
      </c>
      <c r="D16" s="23" t="s">
        <v>114</v>
      </c>
      <c r="E16" s="24" t="s">
        <v>444</v>
      </c>
      <c r="F16" s="25">
        <v>14.4</v>
      </c>
      <c r="G16" s="26" t="s">
        <v>274</v>
      </c>
      <c r="H16" s="26" t="s">
        <v>274</v>
      </c>
      <c r="I16" s="27" t="s">
        <v>274</v>
      </c>
      <c r="J16" s="27" t="s">
        <v>27</v>
      </c>
    </row>
    <row r="17" spans="2:10" ht="59.25" customHeight="1">
      <c r="B17" s="23"/>
      <c r="C17" s="23" t="s">
        <v>115</v>
      </c>
      <c r="D17" s="23" t="s">
        <v>116</v>
      </c>
      <c r="E17" s="24" t="s">
        <v>447</v>
      </c>
      <c r="F17" s="25">
        <v>48.809999999999995</v>
      </c>
      <c r="G17" s="26">
        <f t="shared" ref="G17:G22" si="1">F17*1.5</f>
        <v>73.214999999999989</v>
      </c>
      <c r="H17" s="26" t="s">
        <v>274</v>
      </c>
      <c r="I17" s="27" t="s">
        <v>274</v>
      </c>
      <c r="J17" s="27" t="s">
        <v>26</v>
      </c>
    </row>
    <row r="18" spans="2:10" ht="62.25" customHeight="1">
      <c r="B18" s="23"/>
      <c r="C18" s="23" t="s">
        <v>115</v>
      </c>
      <c r="D18" s="23" t="s">
        <v>117</v>
      </c>
      <c r="E18" s="24" t="s">
        <v>448</v>
      </c>
      <c r="F18" s="25">
        <v>59.449999999999996</v>
      </c>
      <c r="G18" s="26">
        <f t="shared" si="1"/>
        <v>89.174999999999997</v>
      </c>
      <c r="H18" s="26" t="s">
        <v>274</v>
      </c>
      <c r="I18" s="27" t="s">
        <v>274</v>
      </c>
      <c r="J18" s="27" t="s">
        <v>26</v>
      </c>
    </row>
    <row r="19" spans="2:10">
      <c r="B19" s="23" t="s">
        <v>449</v>
      </c>
      <c r="C19" s="23" t="s">
        <v>118</v>
      </c>
      <c r="D19" s="23" t="s">
        <v>119</v>
      </c>
      <c r="E19" s="24" t="s">
        <v>450</v>
      </c>
      <c r="F19" s="25">
        <v>188</v>
      </c>
      <c r="G19" s="26">
        <f t="shared" si="1"/>
        <v>282</v>
      </c>
      <c r="H19" s="26" t="s">
        <v>274</v>
      </c>
      <c r="I19" s="27" t="s">
        <v>274</v>
      </c>
      <c r="J19" s="27" t="s">
        <v>26</v>
      </c>
    </row>
    <row r="20" spans="2:10">
      <c r="B20" s="23" t="s">
        <v>451</v>
      </c>
      <c r="C20" s="23" t="s">
        <v>118</v>
      </c>
      <c r="D20" s="23" t="s">
        <v>120</v>
      </c>
      <c r="E20" s="24" t="s">
        <v>452</v>
      </c>
      <c r="F20" s="25">
        <v>138</v>
      </c>
      <c r="G20" s="26">
        <f t="shared" si="1"/>
        <v>207</v>
      </c>
      <c r="H20" s="26" t="s">
        <v>274</v>
      </c>
      <c r="I20" s="27" t="s">
        <v>274</v>
      </c>
      <c r="J20" s="27" t="s">
        <v>26</v>
      </c>
    </row>
    <row r="21" spans="2:10" ht="30">
      <c r="B21" s="23" t="s">
        <v>453</v>
      </c>
      <c r="C21" s="23" t="s">
        <v>118</v>
      </c>
      <c r="D21" s="23" t="s">
        <v>121</v>
      </c>
      <c r="E21" s="24" t="s">
        <v>454</v>
      </c>
      <c r="F21" s="25">
        <v>117</v>
      </c>
      <c r="G21" s="26">
        <f t="shared" si="1"/>
        <v>175.5</v>
      </c>
      <c r="H21" s="26" t="s">
        <v>274</v>
      </c>
      <c r="I21" s="27" t="s">
        <v>274</v>
      </c>
      <c r="J21" s="27" t="s">
        <v>26</v>
      </c>
    </row>
    <row r="22" spans="2:10" ht="101.25" customHeight="1">
      <c r="B22" s="23"/>
      <c r="C22" s="23" t="s">
        <v>122</v>
      </c>
      <c r="D22" s="23" t="s">
        <v>123</v>
      </c>
      <c r="E22" s="24" t="s">
        <v>455</v>
      </c>
      <c r="F22" s="25">
        <v>71.22</v>
      </c>
      <c r="G22" s="26">
        <f t="shared" si="1"/>
        <v>106.83</v>
      </c>
      <c r="H22" s="26" t="s">
        <v>274</v>
      </c>
      <c r="I22" s="27" t="s">
        <v>274</v>
      </c>
      <c r="J22" s="27" t="s">
        <v>26</v>
      </c>
    </row>
    <row r="23" spans="2:10" ht="88.5" customHeight="1">
      <c r="B23" s="23"/>
      <c r="C23" s="23" t="s">
        <v>122</v>
      </c>
      <c r="D23" s="23" t="s">
        <v>124</v>
      </c>
      <c r="E23" s="24" t="s">
        <v>456</v>
      </c>
      <c r="F23" s="25">
        <v>86.39</v>
      </c>
      <c r="G23" s="26">
        <f t="shared" ref="G23:G38" si="2">F23*1.5</f>
        <v>129.58500000000001</v>
      </c>
      <c r="H23" s="26" t="s">
        <v>274</v>
      </c>
      <c r="I23" s="27" t="s">
        <v>274</v>
      </c>
      <c r="J23" s="27" t="s">
        <v>26</v>
      </c>
    </row>
    <row r="24" spans="2:10" ht="105" customHeight="1">
      <c r="B24" s="23"/>
      <c r="C24" s="23" t="s">
        <v>122</v>
      </c>
      <c r="D24" s="23" t="s">
        <v>125</v>
      </c>
      <c r="E24" s="24" t="s">
        <v>457</v>
      </c>
      <c r="F24" s="25">
        <v>95.490000000000009</v>
      </c>
      <c r="G24" s="26">
        <f t="shared" si="2"/>
        <v>143.23500000000001</v>
      </c>
      <c r="H24" s="26" t="s">
        <v>274</v>
      </c>
      <c r="I24" s="27" t="s">
        <v>274</v>
      </c>
      <c r="J24" s="27" t="s">
        <v>26</v>
      </c>
    </row>
    <row r="25" spans="2:10" ht="132.75" customHeight="1">
      <c r="B25" s="23"/>
      <c r="C25" s="23" t="s">
        <v>122</v>
      </c>
      <c r="D25" s="23" t="s">
        <v>126</v>
      </c>
      <c r="E25" s="24" t="s">
        <v>442</v>
      </c>
      <c r="F25" s="25">
        <v>107.30000000000001</v>
      </c>
      <c r="G25" s="26">
        <f t="shared" si="2"/>
        <v>160.95000000000002</v>
      </c>
      <c r="H25" s="26" t="s">
        <v>274</v>
      </c>
      <c r="I25" s="27" t="s">
        <v>274</v>
      </c>
      <c r="J25" s="27" t="s">
        <v>26</v>
      </c>
    </row>
    <row r="26" spans="2:10" ht="128.25" customHeight="1">
      <c r="B26" s="23"/>
      <c r="C26" s="24" t="s">
        <v>127</v>
      </c>
      <c r="D26" s="23" t="s">
        <v>128</v>
      </c>
      <c r="E26" s="24" t="s">
        <v>458</v>
      </c>
      <c r="F26" s="25">
        <v>53.019999999999996</v>
      </c>
      <c r="G26" s="26">
        <f t="shared" si="2"/>
        <v>79.53</v>
      </c>
      <c r="H26" s="26">
        <f>Resource_Rates_Table[[#This Row],[Resource Regular Rate]]*1.1</f>
        <v>58.322000000000003</v>
      </c>
      <c r="I26" s="27">
        <f>Resource_Rates_Table[[#This Row],[Resource Regular Rate]]*1.25</f>
        <v>66.274999999999991</v>
      </c>
      <c r="J26" s="27" t="s">
        <v>26</v>
      </c>
    </row>
    <row r="27" spans="2:10" ht="63" customHeight="1">
      <c r="B27" s="23"/>
      <c r="C27" s="24" t="s">
        <v>127</v>
      </c>
      <c r="D27" s="23" t="s">
        <v>129</v>
      </c>
      <c r="E27" s="24" t="s">
        <v>459</v>
      </c>
      <c r="F27" s="25">
        <v>66.820000000000007</v>
      </c>
      <c r="G27" s="26">
        <f t="shared" si="2"/>
        <v>100.23000000000002</v>
      </c>
      <c r="H27" s="26">
        <f>Resource_Rates_Table[[#This Row],[Resource Regular Rate]]*1.1</f>
        <v>73.50200000000001</v>
      </c>
      <c r="I27" s="27">
        <f>Resource_Rates_Table[[#This Row],[Resource Regular Rate]]*1.25</f>
        <v>83.525000000000006</v>
      </c>
      <c r="J27" s="27" t="s">
        <v>26</v>
      </c>
    </row>
    <row r="28" spans="2:10" ht="84" customHeight="1">
      <c r="B28" s="23"/>
      <c r="C28" s="24" t="s">
        <v>127</v>
      </c>
      <c r="D28" s="23" t="s">
        <v>130</v>
      </c>
      <c r="E28" s="24" t="s">
        <v>460</v>
      </c>
      <c r="F28" s="25">
        <v>80.760000000000005</v>
      </c>
      <c r="G28" s="26">
        <f t="shared" si="2"/>
        <v>121.14000000000001</v>
      </c>
      <c r="H28" s="26" t="s">
        <v>274</v>
      </c>
      <c r="I28" s="27" t="s">
        <v>274</v>
      </c>
      <c r="J28" s="27" t="s">
        <v>26</v>
      </c>
    </row>
    <row r="29" spans="2:10" ht="91.5" customHeight="1">
      <c r="B29" s="23"/>
      <c r="C29" s="24" t="s">
        <v>127</v>
      </c>
      <c r="D29" s="23" t="s">
        <v>131</v>
      </c>
      <c r="E29" s="24" t="s">
        <v>461</v>
      </c>
      <c r="F29" s="25">
        <v>51.78</v>
      </c>
      <c r="G29" s="26">
        <f t="shared" si="2"/>
        <v>77.67</v>
      </c>
      <c r="H29" s="26">
        <f>Resource_Rates_Table[[#This Row],[Resource Regular Rate]]*1.1</f>
        <v>56.958000000000006</v>
      </c>
      <c r="I29" s="27">
        <f>Resource_Rates_Table[[#This Row],[Resource Regular Rate]]*1.25</f>
        <v>64.724999999999994</v>
      </c>
      <c r="J29" s="27" t="s">
        <v>26</v>
      </c>
    </row>
    <row r="30" spans="2:10" ht="109.5" customHeight="1">
      <c r="B30" s="23"/>
      <c r="C30" s="24" t="s">
        <v>127</v>
      </c>
      <c r="D30" s="23" t="s">
        <v>132</v>
      </c>
      <c r="E30" s="24" t="s">
        <v>462</v>
      </c>
      <c r="F30" s="25">
        <v>71.22</v>
      </c>
      <c r="G30" s="26">
        <f t="shared" si="2"/>
        <v>106.83</v>
      </c>
      <c r="H30" s="26">
        <f>Resource_Rates_Table[[#This Row],[Resource Regular Rate]]*1.1</f>
        <v>78.341999999999999</v>
      </c>
      <c r="I30" s="27">
        <f>Resource_Rates_Table[[#This Row],[Resource Regular Rate]]*1.25</f>
        <v>89.025000000000006</v>
      </c>
      <c r="J30" s="27" t="s">
        <v>26</v>
      </c>
    </row>
    <row r="31" spans="2:10" ht="174.75" customHeight="1">
      <c r="B31" s="23"/>
      <c r="C31" s="24" t="s">
        <v>127</v>
      </c>
      <c r="D31" s="23" t="s">
        <v>133</v>
      </c>
      <c r="E31" s="24" t="s">
        <v>463</v>
      </c>
      <c r="F31" s="25">
        <v>83.84</v>
      </c>
      <c r="G31" s="26">
        <f t="shared" si="2"/>
        <v>125.76</v>
      </c>
      <c r="H31" s="26">
        <f>Resource_Rates_Table[[#This Row],[Resource Regular Rate]]*1.1</f>
        <v>92.224000000000018</v>
      </c>
      <c r="I31" s="27">
        <f>Resource_Rates_Table[[#This Row],[Resource Regular Rate]]*1.25</f>
        <v>104.80000000000001</v>
      </c>
      <c r="J31" s="27" t="s">
        <v>26</v>
      </c>
    </row>
    <row r="32" spans="2:10" ht="166.5" customHeight="1">
      <c r="B32" s="23"/>
      <c r="C32" s="24" t="s">
        <v>127</v>
      </c>
      <c r="D32" s="23" t="s">
        <v>134</v>
      </c>
      <c r="E32" s="24" t="s">
        <v>464</v>
      </c>
      <c r="F32" s="25">
        <v>104.43</v>
      </c>
      <c r="G32" s="26">
        <f t="shared" si="2"/>
        <v>156.64500000000001</v>
      </c>
      <c r="H32" s="26" t="s">
        <v>274</v>
      </c>
      <c r="I32" s="27" t="s">
        <v>274</v>
      </c>
      <c r="J32" s="27" t="s">
        <v>26</v>
      </c>
    </row>
    <row r="33" spans="2:10" ht="153.75" customHeight="1">
      <c r="B33" s="23"/>
      <c r="C33" s="24" t="s">
        <v>135</v>
      </c>
      <c r="D33" s="23" t="s">
        <v>136</v>
      </c>
      <c r="E33" s="24" t="s">
        <v>465</v>
      </c>
      <c r="F33" s="25">
        <v>42.79</v>
      </c>
      <c r="G33" s="26">
        <f t="shared" si="2"/>
        <v>64.185000000000002</v>
      </c>
      <c r="H33" s="26" t="s">
        <v>274</v>
      </c>
      <c r="I33" s="27" t="s">
        <v>274</v>
      </c>
      <c r="J33" s="27" t="s">
        <v>26</v>
      </c>
    </row>
    <row r="34" spans="2:10" ht="173.25" customHeight="1">
      <c r="B34" s="23"/>
      <c r="C34" s="24" t="s">
        <v>135</v>
      </c>
      <c r="D34" s="23" t="s">
        <v>137</v>
      </c>
      <c r="E34" s="24" t="s">
        <v>466</v>
      </c>
      <c r="F34" s="25">
        <v>48.4</v>
      </c>
      <c r="G34" s="26">
        <f t="shared" si="2"/>
        <v>72.599999999999994</v>
      </c>
      <c r="H34" s="26" t="s">
        <v>274</v>
      </c>
      <c r="I34" s="27" t="s">
        <v>274</v>
      </c>
      <c r="J34" s="27" t="s">
        <v>26</v>
      </c>
    </row>
    <row r="35" spans="2:10" ht="128.25" customHeight="1">
      <c r="B35" s="23"/>
      <c r="C35" s="24" t="s">
        <v>135</v>
      </c>
      <c r="D35" s="23" t="s">
        <v>138</v>
      </c>
      <c r="E35" s="24" t="s">
        <v>467</v>
      </c>
      <c r="F35" s="25">
        <v>58.48</v>
      </c>
      <c r="G35" s="26">
        <f t="shared" si="2"/>
        <v>87.72</v>
      </c>
      <c r="H35" s="26" t="s">
        <v>274</v>
      </c>
      <c r="I35" s="27" t="s">
        <v>274</v>
      </c>
      <c r="J35" s="27" t="s">
        <v>26</v>
      </c>
    </row>
    <row r="36" spans="2:10">
      <c r="B36" s="23"/>
      <c r="C36" s="24" t="s">
        <v>135</v>
      </c>
      <c r="D36" s="23" t="s">
        <v>139</v>
      </c>
      <c r="E36" s="24" t="s">
        <v>468</v>
      </c>
      <c r="F36" s="25">
        <v>50.589999999999996</v>
      </c>
      <c r="G36" s="26">
        <f t="shared" si="2"/>
        <v>75.884999999999991</v>
      </c>
      <c r="H36" s="26">
        <f>Resource_Rates_Table[[#This Row],[Resource Regular Rate]]*1.1</f>
        <v>55.649000000000001</v>
      </c>
      <c r="I36" s="27">
        <f>Resource_Rates_Table[[#This Row],[Resource Regular Rate]]*1.25</f>
        <v>63.237499999999997</v>
      </c>
      <c r="J36" s="27" t="s">
        <v>26</v>
      </c>
    </row>
    <row r="37" spans="2:10">
      <c r="B37" s="23"/>
      <c r="C37" s="24" t="s">
        <v>135</v>
      </c>
      <c r="D37" s="23" t="s">
        <v>140</v>
      </c>
      <c r="E37" s="24" t="s">
        <v>469</v>
      </c>
      <c r="F37" s="25">
        <v>57.559999999999995</v>
      </c>
      <c r="G37" s="26">
        <f t="shared" si="2"/>
        <v>86.339999999999989</v>
      </c>
      <c r="H37" s="26">
        <f>Resource_Rates_Table[[#This Row],[Resource Regular Rate]]*1.1</f>
        <v>63.316000000000003</v>
      </c>
      <c r="I37" s="27">
        <f>Resource_Rates_Table[[#This Row],[Resource Regular Rate]]*1.25</f>
        <v>71.949999999999989</v>
      </c>
      <c r="J37" s="27" t="s">
        <v>26</v>
      </c>
    </row>
    <row r="38" spans="2:10">
      <c r="B38" s="23"/>
      <c r="C38" s="24" t="s">
        <v>135</v>
      </c>
      <c r="D38" s="23" t="s">
        <v>141</v>
      </c>
      <c r="E38" s="24" t="s">
        <v>470</v>
      </c>
      <c r="F38" s="25">
        <v>66.25</v>
      </c>
      <c r="G38" s="26">
        <f t="shared" si="2"/>
        <v>99.375</v>
      </c>
      <c r="H38" s="26">
        <f>Resource_Rates_Table[[#This Row],[Resource Regular Rate]]*1.1</f>
        <v>72.875</v>
      </c>
      <c r="I38" s="27">
        <f>Resource_Rates_Table[[#This Row],[Resource Regular Rate]]*1.25</f>
        <v>82.8125</v>
      </c>
      <c r="J38" s="27" t="s">
        <v>26</v>
      </c>
    </row>
    <row r="39" spans="2:10">
      <c r="B39" s="23"/>
      <c r="C39" s="24" t="s">
        <v>135</v>
      </c>
      <c r="D39" s="23" t="s">
        <v>283</v>
      </c>
      <c r="E39" s="24"/>
      <c r="F39" s="25">
        <v>3.5</v>
      </c>
      <c r="G39" s="26">
        <f t="shared" ref="G39:G40" si="3">F39*1.5</f>
        <v>5.25</v>
      </c>
      <c r="H39" s="26">
        <f>Resource_Rates_Table[[#This Row],[Resource Regular Rate]]*1.1</f>
        <v>3.8500000000000005</v>
      </c>
      <c r="I39" s="27">
        <f>Resource_Rates_Table[[#This Row],[Resource Regular Rate]]*1.25</f>
        <v>4.375</v>
      </c>
      <c r="J39" s="27" t="s">
        <v>27</v>
      </c>
    </row>
    <row r="40" spans="2:10">
      <c r="B40" s="23"/>
      <c r="C40" s="24" t="s">
        <v>135</v>
      </c>
      <c r="D40" s="23" t="s">
        <v>284</v>
      </c>
      <c r="E40" s="24"/>
      <c r="F40" s="25">
        <v>5.5</v>
      </c>
      <c r="G40" s="26">
        <f t="shared" si="3"/>
        <v>8.25</v>
      </c>
      <c r="H40" s="26">
        <f>Resource_Rates_Table[[#This Row],[Resource Regular Rate]]*1.1</f>
        <v>6.0500000000000007</v>
      </c>
      <c r="I40" s="27">
        <f>Resource_Rates_Table[[#This Row],[Resource Regular Rate]]*1.25</f>
        <v>6.875</v>
      </c>
      <c r="J40" s="27" t="s">
        <v>27</v>
      </c>
    </row>
    <row r="41" spans="2:10" ht="128.25" customHeight="1">
      <c r="B41" s="23" t="s">
        <v>471</v>
      </c>
      <c r="C41" s="24" t="s">
        <v>142</v>
      </c>
      <c r="D41" s="23" t="s">
        <v>143</v>
      </c>
      <c r="E41" s="24" t="s">
        <v>472</v>
      </c>
      <c r="F41" s="25">
        <v>4.2</v>
      </c>
      <c r="G41" s="26" t="s">
        <v>274</v>
      </c>
      <c r="H41" s="26">
        <f t="shared" ref="H41:H44" si="4">F41*1.1</f>
        <v>4.620000000000001</v>
      </c>
      <c r="I41" s="27">
        <f t="shared" ref="I41:I44" si="5">F41*1.25</f>
        <v>5.25</v>
      </c>
      <c r="J41" s="27" t="s">
        <v>27</v>
      </c>
    </row>
    <row r="42" spans="2:10" ht="128.25" customHeight="1">
      <c r="B42" s="23" t="s">
        <v>473</v>
      </c>
      <c r="C42" s="24" t="s">
        <v>142</v>
      </c>
      <c r="D42" s="23" t="s">
        <v>144</v>
      </c>
      <c r="E42" s="24" t="s">
        <v>474</v>
      </c>
      <c r="F42" s="25">
        <v>6</v>
      </c>
      <c r="G42" s="26" t="s">
        <v>274</v>
      </c>
      <c r="H42" s="26">
        <f t="shared" si="4"/>
        <v>6.6000000000000005</v>
      </c>
      <c r="I42" s="27">
        <f t="shared" si="5"/>
        <v>7.5</v>
      </c>
      <c r="J42" s="27" t="s">
        <v>27</v>
      </c>
    </row>
    <row r="43" spans="2:10">
      <c r="B43" s="23" t="s">
        <v>475</v>
      </c>
      <c r="C43" s="24" t="s">
        <v>142</v>
      </c>
      <c r="D43" s="23" t="s">
        <v>145</v>
      </c>
      <c r="E43" s="24" t="s">
        <v>476</v>
      </c>
      <c r="F43" s="25">
        <v>6.6</v>
      </c>
      <c r="G43" s="26" t="s">
        <v>274</v>
      </c>
      <c r="H43" s="26">
        <f t="shared" si="4"/>
        <v>7.26</v>
      </c>
      <c r="I43" s="27">
        <f t="shared" si="5"/>
        <v>8.25</v>
      </c>
      <c r="J43" s="27" t="s">
        <v>27</v>
      </c>
    </row>
    <row r="44" spans="2:10">
      <c r="B44" s="23" t="s">
        <v>477</v>
      </c>
      <c r="C44" s="24" t="s">
        <v>142</v>
      </c>
      <c r="D44" s="23" t="s">
        <v>146</v>
      </c>
      <c r="E44" s="24" t="s">
        <v>478</v>
      </c>
      <c r="F44" s="25">
        <v>7.2</v>
      </c>
      <c r="G44" s="26" t="s">
        <v>274</v>
      </c>
      <c r="H44" s="26">
        <f t="shared" si="4"/>
        <v>7.9200000000000008</v>
      </c>
      <c r="I44" s="27">
        <f t="shared" si="5"/>
        <v>9</v>
      </c>
      <c r="J44" s="27" t="s">
        <v>27</v>
      </c>
    </row>
    <row r="45" spans="2:10" ht="128.25" customHeight="1">
      <c r="B45" s="23"/>
      <c r="C45" s="24" t="s">
        <v>142</v>
      </c>
      <c r="D45" s="23" t="s">
        <v>147</v>
      </c>
      <c r="E45" s="24" t="s">
        <v>479</v>
      </c>
      <c r="F45" s="25">
        <v>36.409999999999997</v>
      </c>
      <c r="G45" s="26" t="s">
        <v>274</v>
      </c>
      <c r="H45" s="26">
        <f>Resource_Rates_Table[[#This Row],[Resource Regular Rate]]*1.1</f>
        <v>40.051000000000002</v>
      </c>
      <c r="I45" s="27">
        <f>Resource_Rates_Table[[#This Row],[Resource Regular Rate]]*1.25</f>
        <v>45.512499999999996</v>
      </c>
      <c r="J45" s="27" t="s">
        <v>26</v>
      </c>
    </row>
    <row r="46" spans="2:10">
      <c r="B46" s="23"/>
      <c r="C46" s="24" t="s">
        <v>142</v>
      </c>
      <c r="D46" s="23" t="s">
        <v>148</v>
      </c>
      <c r="E46" s="24" t="s">
        <v>480</v>
      </c>
      <c r="F46" s="25">
        <v>48.19</v>
      </c>
      <c r="G46" s="26" t="s">
        <v>274</v>
      </c>
      <c r="H46" s="26">
        <f>Resource_Rates_Table[[#This Row],[Resource Regular Rate]]*1.1</f>
        <v>53.009</v>
      </c>
      <c r="I46" s="27">
        <f>Resource_Rates_Table[[#This Row],[Resource Regular Rate]]*1.25</f>
        <v>60.237499999999997</v>
      </c>
      <c r="J46" s="27" t="s">
        <v>26</v>
      </c>
    </row>
    <row r="47" spans="2:10" ht="128.25" customHeight="1">
      <c r="B47" s="23"/>
      <c r="C47" s="24" t="s">
        <v>142</v>
      </c>
      <c r="D47" s="23" t="s">
        <v>149</v>
      </c>
      <c r="E47" s="24" t="s">
        <v>481</v>
      </c>
      <c r="F47" s="25">
        <v>48.19</v>
      </c>
      <c r="G47" s="26" t="s">
        <v>274</v>
      </c>
      <c r="H47" s="26">
        <f>Resource_Rates_Table[[#This Row],[Resource Regular Rate]]*1.1</f>
        <v>53.009</v>
      </c>
      <c r="I47" s="27">
        <f>Resource_Rates_Table[[#This Row],[Resource Regular Rate]]*1.25</f>
        <v>60.237499999999997</v>
      </c>
      <c r="J47" s="27" t="s">
        <v>26</v>
      </c>
    </row>
    <row r="48" spans="2:10" ht="128.25" customHeight="1">
      <c r="B48" s="23"/>
      <c r="C48" s="24" t="s">
        <v>142</v>
      </c>
      <c r="D48" s="23" t="s">
        <v>150</v>
      </c>
      <c r="E48" s="24" t="s">
        <v>482</v>
      </c>
      <c r="F48" s="25">
        <v>60.21</v>
      </c>
      <c r="G48" s="26" t="s">
        <v>274</v>
      </c>
      <c r="H48" s="26">
        <f>Resource_Rates_Table[[#This Row],[Resource Regular Rate]]*1.1</f>
        <v>66.231000000000009</v>
      </c>
      <c r="I48" s="27">
        <f>Resource_Rates_Table[[#This Row],[Resource Regular Rate]]*1.25</f>
        <v>75.262500000000003</v>
      </c>
      <c r="J48" s="27" t="s">
        <v>26</v>
      </c>
    </row>
    <row r="49" spans="2:10" ht="90">
      <c r="B49" s="23" t="s">
        <v>483</v>
      </c>
      <c r="C49" s="23" t="s">
        <v>151</v>
      </c>
      <c r="D49" s="23" t="s">
        <v>152</v>
      </c>
      <c r="E49" s="24" t="s">
        <v>484</v>
      </c>
      <c r="F49" s="25">
        <v>4.6452702702702702</v>
      </c>
      <c r="G49" s="26" t="s">
        <v>274</v>
      </c>
      <c r="H49" s="26">
        <f>Resource_Rates_Table[[#This Row],[Resource Regular Rate]]*1.1</f>
        <v>5.1097972972972974</v>
      </c>
      <c r="I49" s="27">
        <f>Resource_Rates_Table[[#This Row],[Resource Regular Rate]]*1.25</f>
        <v>5.8065878378378377</v>
      </c>
      <c r="J49" s="27" t="s">
        <v>27</v>
      </c>
    </row>
    <row r="50" spans="2:10" ht="90">
      <c r="B50" s="23" t="s">
        <v>485</v>
      </c>
      <c r="C50" s="23" t="s">
        <v>151</v>
      </c>
      <c r="D50" s="23" t="s">
        <v>153</v>
      </c>
      <c r="E50" s="24" t="s">
        <v>486</v>
      </c>
      <c r="F50" s="25">
        <v>9.4594594594594614</v>
      </c>
      <c r="G50" s="26" t="s">
        <v>274</v>
      </c>
      <c r="H50" s="26">
        <f>Resource_Rates_Table[[#This Row],[Resource Regular Rate]]*1.1</f>
        <v>10.405405405405409</v>
      </c>
      <c r="I50" s="27">
        <f>Resource_Rates_Table[[#This Row],[Resource Regular Rate]]*1.25</f>
        <v>11.824324324324326</v>
      </c>
      <c r="J50" s="27" t="s">
        <v>27</v>
      </c>
    </row>
    <row r="51" spans="2:10" ht="75">
      <c r="B51" s="23" t="s">
        <v>487</v>
      </c>
      <c r="C51" s="23" t="s">
        <v>151</v>
      </c>
      <c r="D51" s="23" t="s">
        <v>154</v>
      </c>
      <c r="E51" s="24" t="s">
        <v>488</v>
      </c>
      <c r="F51" s="25">
        <v>13.097713097713099</v>
      </c>
      <c r="G51" s="26" t="s">
        <v>274</v>
      </c>
      <c r="H51" s="26">
        <f>Resource_Rates_Table[[#This Row],[Resource Regular Rate]]*1.1</f>
        <v>14.407484407484409</v>
      </c>
      <c r="I51" s="27">
        <f>Resource_Rates_Table[[#This Row],[Resource Regular Rate]]*1.25</f>
        <v>16.372141372141375</v>
      </c>
      <c r="J51" s="27" t="s">
        <v>27</v>
      </c>
    </row>
    <row r="52" spans="2:10" ht="90">
      <c r="B52" s="23" t="s">
        <v>489</v>
      </c>
      <c r="C52" s="23" t="s">
        <v>151</v>
      </c>
      <c r="D52" s="23" t="s">
        <v>155</v>
      </c>
      <c r="E52" s="24" t="s">
        <v>490</v>
      </c>
      <c r="F52" s="25">
        <v>4.6452702702702702</v>
      </c>
      <c r="G52" s="26" t="s">
        <v>274</v>
      </c>
      <c r="H52" s="26">
        <f>Resource_Rates_Table[[#This Row],[Resource Regular Rate]]*1.1</f>
        <v>5.1097972972972974</v>
      </c>
      <c r="I52" s="27">
        <f>Resource_Rates_Table[[#This Row],[Resource Regular Rate]]*1.25</f>
        <v>5.8065878378378377</v>
      </c>
      <c r="J52" s="27" t="s">
        <v>27</v>
      </c>
    </row>
    <row r="53" spans="2:10" ht="90">
      <c r="B53" s="23" t="s">
        <v>491</v>
      </c>
      <c r="C53" s="23" t="s">
        <v>151</v>
      </c>
      <c r="D53" s="23" t="s">
        <v>156</v>
      </c>
      <c r="E53" s="24" t="s">
        <v>492</v>
      </c>
      <c r="F53" s="25">
        <v>9.4594594594594614</v>
      </c>
      <c r="G53" s="26" t="s">
        <v>274</v>
      </c>
      <c r="H53" s="26">
        <f>Resource_Rates_Table[[#This Row],[Resource Regular Rate]]*1.1</f>
        <v>10.405405405405409</v>
      </c>
      <c r="I53" s="27">
        <f>Resource_Rates_Table[[#This Row],[Resource Regular Rate]]*1.25</f>
        <v>11.824324324324326</v>
      </c>
      <c r="J53" s="27" t="s">
        <v>27</v>
      </c>
    </row>
    <row r="54" spans="2:10" ht="90">
      <c r="B54" s="23" t="s">
        <v>493</v>
      </c>
      <c r="C54" s="23" t="s">
        <v>151</v>
      </c>
      <c r="D54" s="23" t="s">
        <v>157</v>
      </c>
      <c r="E54" s="24" t="s">
        <v>494</v>
      </c>
      <c r="F54" s="25">
        <v>13.097713097713099</v>
      </c>
      <c r="G54" s="26" t="s">
        <v>274</v>
      </c>
      <c r="H54" s="26">
        <f>Resource_Rates_Table[[#This Row],[Resource Regular Rate]]*1.1</f>
        <v>14.407484407484409</v>
      </c>
      <c r="I54" s="27">
        <f>Resource_Rates_Table[[#This Row],[Resource Regular Rate]]*1.25</f>
        <v>16.372141372141375</v>
      </c>
      <c r="J54" s="27" t="s">
        <v>27</v>
      </c>
    </row>
    <row r="55" spans="2:10" ht="75">
      <c r="B55" s="23" t="s">
        <v>495</v>
      </c>
      <c r="C55" s="23" t="s">
        <v>151</v>
      </c>
      <c r="D55" s="23" t="s">
        <v>158</v>
      </c>
      <c r="E55" s="24" t="s">
        <v>496</v>
      </c>
      <c r="F55" s="25">
        <v>4.6452702702702702</v>
      </c>
      <c r="G55" s="26" t="s">
        <v>274</v>
      </c>
      <c r="H55" s="26">
        <f>Resource_Rates_Table[[#This Row],[Resource Regular Rate]]*1.1</f>
        <v>5.1097972972972974</v>
      </c>
      <c r="I55" s="27">
        <f>Resource_Rates_Table[[#This Row],[Resource Regular Rate]]*1.25</f>
        <v>5.8065878378378377</v>
      </c>
      <c r="J55" s="27" t="s">
        <v>27</v>
      </c>
    </row>
    <row r="56" spans="2:10" ht="45">
      <c r="B56" s="23" t="s">
        <v>497</v>
      </c>
      <c r="C56" s="23" t="s">
        <v>151</v>
      </c>
      <c r="D56" s="23" t="s">
        <v>159</v>
      </c>
      <c r="E56" s="24" t="s">
        <v>498</v>
      </c>
      <c r="F56" s="25">
        <v>9.4594594594594614</v>
      </c>
      <c r="G56" s="26" t="s">
        <v>274</v>
      </c>
      <c r="H56" s="26">
        <f>Resource_Rates_Table[[#This Row],[Resource Regular Rate]]*1.1</f>
        <v>10.405405405405409</v>
      </c>
      <c r="I56" s="27">
        <f>Resource_Rates_Table[[#This Row],[Resource Regular Rate]]*1.25</f>
        <v>11.824324324324326</v>
      </c>
      <c r="J56" s="27" t="s">
        <v>27</v>
      </c>
    </row>
    <row r="57" spans="2:10" ht="45">
      <c r="B57" s="23" t="s">
        <v>499</v>
      </c>
      <c r="C57" s="23" t="s">
        <v>151</v>
      </c>
      <c r="D57" s="23" t="s">
        <v>160</v>
      </c>
      <c r="E57" s="24" t="s">
        <v>500</v>
      </c>
      <c r="F57" s="25">
        <v>13.097713097713099</v>
      </c>
      <c r="G57" s="26" t="s">
        <v>274</v>
      </c>
      <c r="H57" s="26">
        <f>Resource_Rates_Table[[#This Row],[Resource Regular Rate]]*1.1</f>
        <v>14.407484407484409</v>
      </c>
      <c r="I57" s="27">
        <f>Resource_Rates_Table[[#This Row],[Resource Regular Rate]]*1.25</f>
        <v>16.372141372141375</v>
      </c>
      <c r="J57" s="27" t="s">
        <v>27</v>
      </c>
    </row>
    <row r="58" spans="2:10" ht="105">
      <c r="B58" s="23" t="s">
        <v>501</v>
      </c>
      <c r="C58" s="23" t="s">
        <v>151</v>
      </c>
      <c r="D58" s="23" t="s">
        <v>161</v>
      </c>
      <c r="E58" s="24" t="s">
        <v>502</v>
      </c>
      <c r="F58" s="25">
        <v>4.6452702702702702</v>
      </c>
      <c r="G58" s="26" t="s">
        <v>274</v>
      </c>
      <c r="H58" s="26">
        <f>Resource_Rates_Table[[#This Row],[Resource Regular Rate]]*1.1</f>
        <v>5.1097972972972974</v>
      </c>
      <c r="I58" s="27">
        <f>Resource_Rates_Table[[#This Row],[Resource Regular Rate]]*1.25</f>
        <v>5.8065878378378377</v>
      </c>
      <c r="J58" s="27" t="s">
        <v>27</v>
      </c>
    </row>
    <row r="59" spans="2:10" ht="135">
      <c r="B59" s="23" t="s">
        <v>503</v>
      </c>
      <c r="C59" s="23" t="s">
        <v>151</v>
      </c>
      <c r="D59" s="23" t="s">
        <v>162</v>
      </c>
      <c r="E59" s="24" t="s">
        <v>504</v>
      </c>
      <c r="F59" s="25">
        <v>9.4594594594594614</v>
      </c>
      <c r="G59" s="26" t="s">
        <v>274</v>
      </c>
      <c r="H59" s="26">
        <f>Resource_Rates_Table[[#This Row],[Resource Regular Rate]]*1.1</f>
        <v>10.405405405405409</v>
      </c>
      <c r="I59" s="27">
        <f>Resource_Rates_Table[[#This Row],[Resource Regular Rate]]*1.25</f>
        <v>11.824324324324326</v>
      </c>
      <c r="J59" s="27" t="s">
        <v>27</v>
      </c>
    </row>
    <row r="60" spans="2:10" ht="180">
      <c r="B60" s="23" t="s">
        <v>505</v>
      </c>
      <c r="C60" s="23" t="s">
        <v>151</v>
      </c>
      <c r="D60" s="23" t="s">
        <v>163</v>
      </c>
      <c r="E60" s="24" t="s">
        <v>506</v>
      </c>
      <c r="F60" s="25">
        <v>13.097713097713099</v>
      </c>
      <c r="G60" s="26" t="s">
        <v>274</v>
      </c>
      <c r="H60" s="26">
        <f>Resource_Rates_Table[[#This Row],[Resource Regular Rate]]*1.1</f>
        <v>14.407484407484409</v>
      </c>
      <c r="I60" s="27">
        <f>Resource_Rates_Table[[#This Row],[Resource Regular Rate]]*1.25</f>
        <v>16.372141372141375</v>
      </c>
      <c r="J60" s="27" t="s">
        <v>27</v>
      </c>
    </row>
    <row r="61" spans="2:10" ht="60">
      <c r="B61" s="23" t="s">
        <v>507</v>
      </c>
      <c r="C61" s="23" t="s">
        <v>151</v>
      </c>
      <c r="D61" s="23" t="s">
        <v>164</v>
      </c>
      <c r="E61" s="24" t="s">
        <v>508</v>
      </c>
      <c r="F61" s="25">
        <v>11.642411642411645</v>
      </c>
      <c r="G61" s="26" t="s">
        <v>274</v>
      </c>
      <c r="H61" s="26">
        <f>Resource_Rates_Table[[#This Row],[Resource Regular Rate]]*1.1</f>
        <v>12.80665280665281</v>
      </c>
      <c r="I61" s="27">
        <f>Resource_Rates_Table[[#This Row],[Resource Regular Rate]]*1.25</f>
        <v>14.553014553014556</v>
      </c>
      <c r="J61" s="27" t="s">
        <v>27</v>
      </c>
    </row>
    <row r="62" spans="2:10" ht="60">
      <c r="B62" s="23" t="s">
        <v>509</v>
      </c>
      <c r="C62" s="23" t="s">
        <v>151</v>
      </c>
      <c r="D62" s="23" t="s">
        <v>165</v>
      </c>
      <c r="E62" s="24" t="s">
        <v>510</v>
      </c>
      <c r="F62" s="25">
        <v>18.191268191268197</v>
      </c>
      <c r="G62" s="26" t="s">
        <v>274</v>
      </c>
      <c r="H62" s="26">
        <f>Resource_Rates_Table[[#This Row],[Resource Regular Rate]]*1.1</f>
        <v>20.010395010395019</v>
      </c>
      <c r="I62" s="27">
        <f>Resource_Rates_Table[[#This Row],[Resource Regular Rate]]*1.25</f>
        <v>22.739085239085245</v>
      </c>
      <c r="J62" s="27" t="s">
        <v>27</v>
      </c>
    </row>
    <row r="63" spans="2:10" ht="120">
      <c r="B63" s="23" t="s">
        <v>511</v>
      </c>
      <c r="C63" s="23" t="s">
        <v>151</v>
      </c>
      <c r="D63" s="23" t="s">
        <v>166</v>
      </c>
      <c r="E63" s="24" t="s">
        <v>512</v>
      </c>
      <c r="F63" s="25">
        <v>5.3599272349272358</v>
      </c>
      <c r="G63" s="26" t="s">
        <v>274</v>
      </c>
      <c r="H63" s="26">
        <f>Resource_Rates_Table[[#This Row],[Resource Regular Rate]]*1.1</f>
        <v>5.8959199584199595</v>
      </c>
      <c r="I63" s="27">
        <f>Resource_Rates_Table[[#This Row],[Resource Regular Rate]]*1.25</f>
        <v>6.6999090436590443</v>
      </c>
      <c r="J63" s="27" t="s">
        <v>27</v>
      </c>
    </row>
    <row r="64" spans="2:10" ht="150">
      <c r="B64" s="23" t="s">
        <v>513</v>
      </c>
      <c r="C64" s="23" t="s">
        <v>151</v>
      </c>
      <c r="D64" s="23" t="s">
        <v>167</v>
      </c>
      <c r="E64" s="24" t="s">
        <v>514</v>
      </c>
      <c r="F64" s="25">
        <v>10.914760914760917</v>
      </c>
      <c r="G64" s="26" t="s">
        <v>274</v>
      </c>
      <c r="H64" s="26">
        <f>Resource_Rates_Table[[#This Row],[Resource Regular Rate]]*1.1</f>
        <v>12.00623700623701</v>
      </c>
      <c r="I64" s="27">
        <f>Resource_Rates_Table[[#This Row],[Resource Regular Rate]]*1.25</f>
        <v>13.643451143451147</v>
      </c>
      <c r="J64" s="27" t="s">
        <v>27</v>
      </c>
    </row>
    <row r="65" spans="2:10" ht="135">
      <c r="B65" s="23" t="s">
        <v>515</v>
      </c>
      <c r="C65" s="23" t="s">
        <v>151</v>
      </c>
      <c r="D65" s="23" t="s">
        <v>168</v>
      </c>
      <c r="E65" s="24" t="s">
        <v>516</v>
      </c>
      <c r="F65" s="25">
        <v>15.28066528066528</v>
      </c>
      <c r="G65" s="26" t="s">
        <v>274</v>
      </c>
      <c r="H65" s="26">
        <f>Resource_Rates_Table[[#This Row],[Resource Regular Rate]]*1.1</f>
        <v>16.80873180873181</v>
      </c>
      <c r="I65" s="27">
        <f>Resource_Rates_Table[[#This Row],[Resource Regular Rate]]*1.25</f>
        <v>19.100831600831601</v>
      </c>
      <c r="J65" s="27" t="s">
        <v>27</v>
      </c>
    </row>
    <row r="66" spans="2:10" ht="60">
      <c r="B66" s="23" t="s">
        <v>517</v>
      </c>
      <c r="C66" s="23" t="s">
        <v>151</v>
      </c>
      <c r="D66" s="23" t="s">
        <v>169</v>
      </c>
      <c r="E66" s="24" t="s">
        <v>518</v>
      </c>
      <c r="F66" s="25">
        <v>18.190000000000001</v>
      </c>
      <c r="G66" s="26" t="s">
        <v>274</v>
      </c>
      <c r="H66" s="26">
        <f>Resource_Rates_Table[[#This Row],[Resource Regular Rate]]*1.1</f>
        <v>20.009000000000004</v>
      </c>
      <c r="I66" s="27">
        <f>Resource_Rates_Table[[#This Row],[Resource Regular Rate]]*1.25</f>
        <v>22.737500000000001</v>
      </c>
      <c r="J66" s="27" t="s">
        <v>27</v>
      </c>
    </row>
    <row r="67" spans="2:10" ht="105">
      <c r="B67" s="23" t="s">
        <v>519</v>
      </c>
      <c r="C67" s="23" t="s">
        <v>151</v>
      </c>
      <c r="D67" s="23" t="s">
        <v>170</v>
      </c>
      <c r="E67" s="24" t="s">
        <v>520</v>
      </c>
      <c r="F67" s="25">
        <v>4.6452702702702702</v>
      </c>
      <c r="G67" s="26" t="s">
        <v>274</v>
      </c>
      <c r="H67" s="26">
        <f>Resource_Rates_Table[[#This Row],[Resource Regular Rate]]*1.1</f>
        <v>5.1097972972972974</v>
      </c>
      <c r="I67" s="27">
        <f>Resource_Rates_Table[[#This Row],[Resource Regular Rate]]*1.25</f>
        <v>5.8065878378378377</v>
      </c>
      <c r="J67" s="27" t="s">
        <v>27</v>
      </c>
    </row>
    <row r="68" spans="2:10" ht="135">
      <c r="B68" s="23" t="s">
        <v>521</v>
      </c>
      <c r="C68" s="23" t="s">
        <v>151</v>
      </c>
      <c r="D68" s="23" t="s">
        <v>171</v>
      </c>
      <c r="E68" s="24" t="s">
        <v>522</v>
      </c>
      <c r="F68" s="25">
        <v>9.4594594594594614</v>
      </c>
      <c r="G68" s="26" t="s">
        <v>274</v>
      </c>
      <c r="H68" s="26">
        <f>Resource_Rates_Table[[#This Row],[Resource Regular Rate]]*1.1</f>
        <v>10.405405405405409</v>
      </c>
      <c r="I68" s="27">
        <f>Resource_Rates_Table[[#This Row],[Resource Regular Rate]]*1.25</f>
        <v>11.824324324324326</v>
      </c>
      <c r="J68" s="27" t="s">
        <v>27</v>
      </c>
    </row>
    <row r="69" spans="2:10" ht="105">
      <c r="B69" s="23" t="s">
        <v>523</v>
      </c>
      <c r="C69" s="23" t="s">
        <v>151</v>
      </c>
      <c r="D69" s="23" t="s">
        <v>172</v>
      </c>
      <c r="E69" s="24" t="s">
        <v>524</v>
      </c>
      <c r="F69" s="25">
        <v>13.097713097713099</v>
      </c>
      <c r="G69" s="26" t="s">
        <v>274</v>
      </c>
      <c r="H69" s="26">
        <f>Resource_Rates_Table[[#This Row],[Resource Regular Rate]]*1.1</f>
        <v>14.407484407484409</v>
      </c>
      <c r="I69" s="27">
        <f>Resource_Rates_Table[[#This Row],[Resource Regular Rate]]*1.25</f>
        <v>16.372141372141375</v>
      </c>
      <c r="J69" s="27" t="s">
        <v>27</v>
      </c>
    </row>
    <row r="70" spans="2:10" ht="90">
      <c r="B70" s="23" t="s">
        <v>525</v>
      </c>
      <c r="C70" s="23" t="s">
        <v>151</v>
      </c>
      <c r="D70" s="23" t="s">
        <v>173</v>
      </c>
      <c r="E70" s="24" t="s">
        <v>526</v>
      </c>
      <c r="F70" s="25">
        <v>4.6452702702702702</v>
      </c>
      <c r="G70" s="26" t="s">
        <v>274</v>
      </c>
      <c r="H70" s="26">
        <f>Resource_Rates_Table[[#This Row],[Resource Regular Rate]]*1.1</f>
        <v>5.1097972972972974</v>
      </c>
      <c r="I70" s="27">
        <f>Resource_Rates_Table[[#This Row],[Resource Regular Rate]]*1.25</f>
        <v>5.8065878378378377</v>
      </c>
      <c r="J70" s="27" t="s">
        <v>27</v>
      </c>
    </row>
    <row r="71" spans="2:10" ht="120">
      <c r="B71" s="23" t="s">
        <v>527</v>
      </c>
      <c r="C71" s="23" t="s">
        <v>151</v>
      </c>
      <c r="D71" s="23" t="s">
        <v>174</v>
      </c>
      <c r="E71" s="24" t="s">
        <v>528</v>
      </c>
      <c r="F71" s="25">
        <v>9.4594594594594614</v>
      </c>
      <c r="G71" s="26" t="s">
        <v>274</v>
      </c>
      <c r="H71" s="26">
        <f>Resource_Rates_Table[[#This Row],[Resource Regular Rate]]*1.1</f>
        <v>10.405405405405409</v>
      </c>
      <c r="I71" s="27">
        <f>Resource_Rates_Table[[#This Row],[Resource Regular Rate]]*1.25</f>
        <v>11.824324324324326</v>
      </c>
      <c r="J71" s="27" t="s">
        <v>27</v>
      </c>
    </row>
    <row r="72" spans="2:10" ht="120">
      <c r="B72" s="23" t="s">
        <v>529</v>
      </c>
      <c r="C72" s="23" t="s">
        <v>151</v>
      </c>
      <c r="D72" s="23" t="s">
        <v>175</v>
      </c>
      <c r="E72" s="24" t="s">
        <v>530</v>
      </c>
      <c r="F72" s="25">
        <v>13.097713097713099</v>
      </c>
      <c r="G72" s="26" t="s">
        <v>274</v>
      </c>
      <c r="H72" s="26">
        <f>Resource_Rates_Table[[#This Row],[Resource Regular Rate]]*1.1</f>
        <v>14.407484407484409</v>
      </c>
      <c r="I72" s="27">
        <f>Resource_Rates_Table[[#This Row],[Resource Regular Rate]]*1.25</f>
        <v>16.372141372141375</v>
      </c>
      <c r="J72" s="27" t="s">
        <v>27</v>
      </c>
    </row>
    <row r="73" spans="2:10" ht="90">
      <c r="B73" s="23" t="s">
        <v>531</v>
      </c>
      <c r="C73" s="23" t="s">
        <v>151</v>
      </c>
      <c r="D73" s="23" t="s">
        <v>176</v>
      </c>
      <c r="E73" s="24" t="s">
        <v>526</v>
      </c>
      <c r="F73" s="25">
        <v>4.6452702702702702</v>
      </c>
      <c r="G73" s="26" t="s">
        <v>274</v>
      </c>
      <c r="H73" s="26">
        <f>Resource_Rates_Table[[#This Row],[Resource Regular Rate]]*1.1</f>
        <v>5.1097972972972974</v>
      </c>
      <c r="I73" s="27">
        <f>Resource_Rates_Table[[#This Row],[Resource Regular Rate]]*1.25</f>
        <v>5.8065878378378377</v>
      </c>
      <c r="J73" s="27" t="s">
        <v>27</v>
      </c>
    </row>
    <row r="74" spans="2:10" ht="120">
      <c r="B74" s="23" t="s">
        <v>532</v>
      </c>
      <c r="C74" s="23" t="s">
        <v>151</v>
      </c>
      <c r="D74" s="23" t="s">
        <v>177</v>
      </c>
      <c r="E74" s="24" t="s">
        <v>528</v>
      </c>
      <c r="F74" s="25">
        <v>9.4594594594594614</v>
      </c>
      <c r="G74" s="26" t="s">
        <v>274</v>
      </c>
      <c r="H74" s="26">
        <f>Resource_Rates_Table[[#This Row],[Resource Regular Rate]]*1.1</f>
        <v>10.405405405405409</v>
      </c>
      <c r="I74" s="27">
        <f>Resource_Rates_Table[[#This Row],[Resource Regular Rate]]*1.25</f>
        <v>11.824324324324326</v>
      </c>
      <c r="J74" s="27" t="s">
        <v>27</v>
      </c>
    </row>
    <row r="75" spans="2:10" ht="120">
      <c r="B75" s="23" t="s">
        <v>533</v>
      </c>
      <c r="C75" s="23" t="s">
        <v>151</v>
      </c>
      <c r="D75" s="23" t="s">
        <v>178</v>
      </c>
      <c r="E75" s="24" t="s">
        <v>530</v>
      </c>
      <c r="F75" s="25">
        <v>13.097713097713099</v>
      </c>
      <c r="G75" s="26" t="s">
        <v>274</v>
      </c>
      <c r="H75" s="26">
        <f>Resource_Rates_Table[[#This Row],[Resource Regular Rate]]*1.1</f>
        <v>14.407484407484409</v>
      </c>
      <c r="I75" s="27">
        <f>Resource_Rates_Table[[#This Row],[Resource Regular Rate]]*1.25</f>
        <v>16.372141372141375</v>
      </c>
      <c r="J75" s="27" t="s">
        <v>27</v>
      </c>
    </row>
    <row r="76" spans="2:10" ht="120">
      <c r="B76" s="23" t="s">
        <v>534</v>
      </c>
      <c r="C76" s="23" t="s">
        <v>151</v>
      </c>
      <c r="D76" s="23" t="s">
        <v>179</v>
      </c>
      <c r="E76" s="24" t="s">
        <v>535</v>
      </c>
      <c r="F76" s="25">
        <v>5.3599272349272358</v>
      </c>
      <c r="G76" s="26" t="s">
        <v>274</v>
      </c>
      <c r="H76" s="26">
        <f>Resource_Rates_Table[[#This Row],[Resource Regular Rate]]*1.1</f>
        <v>5.8959199584199595</v>
      </c>
      <c r="I76" s="27">
        <f>Resource_Rates_Table[[#This Row],[Resource Regular Rate]]*1.25</f>
        <v>6.6999090436590443</v>
      </c>
      <c r="J76" s="27" t="s">
        <v>27</v>
      </c>
    </row>
    <row r="77" spans="2:10" ht="105">
      <c r="B77" s="23" t="s">
        <v>536</v>
      </c>
      <c r="C77" s="23" t="s">
        <v>151</v>
      </c>
      <c r="D77" s="23" t="s">
        <v>180</v>
      </c>
      <c r="E77" s="24" t="s">
        <v>537</v>
      </c>
      <c r="F77" s="25">
        <v>10.914760914760917</v>
      </c>
      <c r="G77" s="26" t="s">
        <v>274</v>
      </c>
      <c r="H77" s="26">
        <f>Resource_Rates_Table[[#This Row],[Resource Regular Rate]]*1.1</f>
        <v>12.00623700623701</v>
      </c>
      <c r="I77" s="27">
        <f>Resource_Rates_Table[[#This Row],[Resource Regular Rate]]*1.25</f>
        <v>13.643451143451147</v>
      </c>
      <c r="J77" s="27" t="s">
        <v>27</v>
      </c>
    </row>
    <row r="78" spans="2:10" ht="105">
      <c r="B78" s="23" t="s">
        <v>538</v>
      </c>
      <c r="C78" s="23" t="s">
        <v>151</v>
      </c>
      <c r="D78" s="23" t="s">
        <v>181</v>
      </c>
      <c r="E78" s="24" t="s">
        <v>539</v>
      </c>
      <c r="F78" s="25">
        <v>15.28066528066528</v>
      </c>
      <c r="G78" s="26" t="s">
        <v>274</v>
      </c>
      <c r="H78" s="26">
        <f>Resource_Rates_Table[[#This Row],[Resource Regular Rate]]*1.1</f>
        <v>16.80873180873181</v>
      </c>
      <c r="I78" s="27">
        <f>Resource_Rates_Table[[#This Row],[Resource Regular Rate]]*1.25</f>
        <v>19.100831600831601</v>
      </c>
      <c r="J78" s="27" t="s">
        <v>27</v>
      </c>
    </row>
    <row r="79" spans="2:10" ht="90">
      <c r="B79" s="23" t="s">
        <v>540</v>
      </c>
      <c r="C79" s="23" t="s">
        <v>151</v>
      </c>
      <c r="D79" s="23" t="s">
        <v>182</v>
      </c>
      <c r="E79" s="24" t="s">
        <v>526</v>
      </c>
      <c r="F79" s="25">
        <v>4.6452702702702702</v>
      </c>
      <c r="G79" s="26" t="s">
        <v>274</v>
      </c>
      <c r="H79" s="26">
        <f>Resource_Rates_Table[[#This Row],[Resource Regular Rate]]*1.1</f>
        <v>5.1097972972972974</v>
      </c>
      <c r="I79" s="27">
        <f>Resource_Rates_Table[[#This Row],[Resource Regular Rate]]*1.25</f>
        <v>5.8065878378378377</v>
      </c>
      <c r="J79" s="27" t="s">
        <v>27</v>
      </c>
    </row>
    <row r="80" spans="2:10" ht="120">
      <c r="B80" s="23" t="s">
        <v>541</v>
      </c>
      <c r="C80" s="23" t="s">
        <v>151</v>
      </c>
      <c r="D80" s="23" t="s">
        <v>183</v>
      </c>
      <c r="E80" s="24" t="s">
        <v>528</v>
      </c>
      <c r="F80" s="25">
        <v>9.4594594594594614</v>
      </c>
      <c r="G80" s="26" t="s">
        <v>274</v>
      </c>
      <c r="H80" s="26">
        <f>Resource_Rates_Table[[#This Row],[Resource Regular Rate]]*1.1</f>
        <v>10.405405405405409</v>
      </c>
      <c r="I80" s="27">
        <f>Resource_Rates_Table[[#This Row],[Resource Regular Rate]]*1.25</f>
        <v>11.824324324324326</v>
      </c>
      <c r="J80" s="27" t="s">
        <v>27</v>
      </c>
    </row>
    <row r="81" spans="2:10" ht="120">
      <c r="B81" s="23" t="s">
        <v>542</v>
      </c>
      <c r="C81" s="23" t="s">
        <v>151</v>
      </c>
      <c r="D81" s="23" t="s">
        <v>184</v>
      </c>
      <c r="E81" s="24" t="s">
        <v>530</v>
      </c>
      <c r="F81" s="25">
        <v>13.097713097713099</v>
      </c>
      <c r="G81" s="26" t="s">
        <v>274</v>
      </c>
      <c r="H81" s="26">
        <f>Resource_Rates_Table[[#This Row],[Resource Regular Rate]]*1.1</f>
        <v>14.407484407484409</v>
      </c>
      <c r="I81" s="27">
        <f>Resource_Rates_Table[[#This Row],[Resource Regular Rate]]*1.25</f>
        <v>16.372141372141375</v>
      </c>
      <c r="J81" s="27" t="s">
        <v>27</v>
      </c>
    </row>
    <row r="82" spans="2:10" ht="45">
      <c r="B82" s="23" t="s">
        <v>543</v>
      </c>
      <c r="C82" s="23" t="s">
        <v>151</v>
      </c>
      <c r="D82" s="23" t="s">
        <v>185</v>
      </c>
      <c r="E82" s="24" t="s">
        <v>544</v>
      </c>
      <c r="F82" s="25">
        <v>3.9306133056133059</v>
      </c>
      <c r="G82" s="26" t="s">
        <v>274</v>
      </c>
      <c r="H82" s="26">
        <f>Resource_Rates_Table[[#This Row],[Resource Regular Rate]]*1.1</f>
        <v>4.323674636174637</v>
      </c>
      <c r="I82" s="27">
        <f>Resource_Rates_Table[[#This Row],[Resource Regular Rate]]*1.25</f>
        <v>4.9132666320166321</v>
      </c>
      <c r="J82" s="27" t="s">
        <v>27</v>
      </c>
    </row>
    <row r="83" spans="2:10" ht="60">
      <c r="B83" s="23" t="s">
        <v>545</v>
      </c>
      <c r="C83" s="23" t="s">
        <v>151</v>
      </c>
      <c r="D83" s="23" t="s">
        <v>186</v>
      </c>
      <c r="E83" s="24" t="s">
        <v>546</v>
      </c>
      <c r="F83" s="25">
        <v>5.4573804573804585</v>
      </c>
      <c r="G83" s="26" t="s">
        <v>274</v>
      </c>
      <c r="H83" s="26">
        <f>Resource_Rates_Table[[#This Row],[Resource Regular Rate]]*1.1</f>
        <v>6.0031185031185048</v>
      </c>
      <c r="I83" s="27">
        <f>Resource_Rates_Table[[#This Row],[Resource Regular Rate]]*1.25</f>
        <v>6.8217255717255734</v>
      </c>
      <c r="J83" s="27" t="s">
        <v>27</v>
      </c>
    </row>
    <row r="84" spans="2:10" ht="75">
      <c r="B84" s="23" t="s">
        <v>547</v>
      </c>
      <c r="C84" s="23" t="s">
        <v>151</v>
      </c>
      <c r="D84" s="23" t="s">
        <v>187</v>
      </c>
      <c r="E84" s="24" t="s">
        <v>548</v>
      </c>
      <c r="F84" s="25">
        <v>4.6452702702702702</v>
      </c>
      <c r="G84" s="26" t="s">
        <v>274</v>
      </c>
      <c r="H84" s="26">
        <f>Resource_Rates_Table[[#This Row],[Resource Regular Rate]]*1.1</f>
        <v>5.1097972972972974</v>
      </c>
      <c r="I84" s="27">
        <f>Resource_Rates_Table[[#This Row],[Resource Regular Rate]]*1.25</f>
        <v>5.8065878378378377</v>
      </c>
      <c r="J84" s="27" t="s">
        <v>27</v>
      </c>
    </row>
    <row r="85" spans="2:10" ht="105">
      <c r="B85" s="23" t="s">
        <v>549</v>
      </c>
      <c r="C85" s="23" t="s">
        <v>151</v>
      </c>
      <c r="D85" s="23" t="s">
        <v>188</v>
      </c>
      <c r="E85" s="24" t="s">
        <v>550</v>
      </c>
      <c r="F85" s="25">
        <v>9.4594594594594614</v>
      </c>
      <c r="G85" s="26" t="s">
        <v>274</v>
      </c>
      <c r="H85" s="26">
        <f>Resource_Rates_Table[[#This Row],[Resource Regular Rate]]*1.1</f>
        <v>10.405405405405409</v>
      </c>
      <c r="I85" s="27">
        <f>Resource_Rates_Table[[#This Row],[Resource Regular Rate]]*1.25</f>
        <v>11.824324324324326</v>
      </c>
      <c r="J85" s="27" t="s">
        <v>27</v>
      </c>
    </row>
    <row r="86" spans="2:10" ht="120">
      <c r="B86" s="23" t="s">
        <v>551</v>
      </c>
      <c r="C86" s="23" t="s">
        <v>151</v>
      </c>
      <c r="D86" s="23" t="s">
        <v>189</v>
      </c>
      <c r="E86" s="24" t="s">
        <v>552</v>
      </c>
      <c r="F86" s="25">
        <v>13.097713097713099</v>
      </c>
      <c r="G86" s="26" t="s">
        <v>274</v>
      </c>
      <c r="H86" s="26">
        <f>Resource_Rates_Table[[#This Row],[Resource Regular Rate]]*1.1</f>
        <v>14.407484407484409</v>
      </c>
      <c r="I86" s="27">
        <f>Resource_Rates_Table[[#This Row],[Resource Regular Rate]]*1.25</f>
        <v>16.372141372141375</v>
      </c>
      <c r="J86" s="27" t="s">
        <v>27</v>
      </c>
    </row>
    <row r="87" spans="2:10" ht="60">
      <c r="B87" s="23" t="s">
        <v>553</v>
      </c>
      <c r="C87" s="23" t="s">
        <v>151</v>
      </c>
      <c r="D87" s="23" t="s">
        <v>190</v>
      </c>
      <c r="E87" s="24" t="s">
        <v>554</v>
      </c>
      <c r="F87" s="25">
        <v>18.190000000000001</v>
      </c>
      <c r="G87" s="26" t="s">
        <v>274</v>
      </c>
      <c r="H87" s="26">
        <f>Resource_Rates_Table[[#This Row],[Resource Regular Rate]]*1.1</f>
        <v>20.009000000000004</v>
      </c>
      <c r="I87" s="27">
        <f>Resource_Rates_Table[[#This Row],[Resource Regular Rate]]*1.25</f>
        <v>22.737500000000001</v>
      </c>
      <c r="J87" s="27" t="s">
        <v>27</v>
      </c>
    </row>
    <row r="88" spans="2:10">
      <c r="B88" s="23" t="s">
        <v>555</v>
      </c>
      <c r="C88" s="23" t="s">
        <v>191</v>
      </c>
      <c r="D88" s="23" t="s">
        <v>192</v>
      </c>
      <c r="E88" s="24" t="s">
        <v>556</v>
      </c>
      <c r="F88" s="25">
        <v>25</v>
      </c>
      <c r="G88" s="26">
        <f t="shared" ref="G88:G89" si="6">F88*1.5</f>
        <v>37.5</v>
      </c>
      <c r="H88" s="26">
        <f>Resource_Rates_Table[[#This Row],[Resource Regular Rate]]*1.1</f>
        <v>27.500000000000004</v>
      </c>
      <c r="I88" s="27">
        <f>Resource_Rates_Table[[#This Row],[Resource Regular Rate]]*1.25</f>
        <v>31.25</v>
      </c>
      <c r="J88" s="27" t="s">
        <v>26</v>
      </c>
    </row>
    <row r="89" spans="2:10">
      <c r="B89" s="23" t="s">
        <v>557</v>
      </c>
      <c r="C89" s="23" t="s">
        <v>191</v>
      </c>
      <c r="D89" s="23" t="s">
        <v>193</v>
      </c>
      <c r="E89" s="24" t="s">
        <v>556</v>
      </c>
      <c r="F89" s="25">
        <v>30</v>
      </c>
      <c r="G89" s="26">
        <f t="shared" si="6"/>
        <v>45</v>
      </c>
      <c r="H89" s="26">
        <f>Resource_Rates_Table[[#This Row],[Resource Regular Rate]]*1.1</f>
        <v>33</v>
      </c>
      <c r="I89" s="27">
        <f>Resource_Rates_Table[[#This Row],[Resource Regular Rate]]*1.25</f>
        <v>37.5</v>
      </c>
      <c r="J89" s="27" t="s">
        <v>26</v>
      </c>
    </row>
    <row r="90" spans="2:10">
      <c r="B90" s="23" t="s">
        <v>558</v>
      </c>
      <c r="C90" s="23" t="s">
        <v>191</v>
      </c>
      <c r="D90" s="23" t="s">
        <v>194</v>
      </c>
      <c r="E90" s="24" t="s">
        <v>556</v>
      </c>
      <c r="F90" s="25">
        <v>35</v>
      </c>
      <c r="G90" s="26">
        <f>F90*1.5</f>
        <v>52.5</v>
      </c>
      <c r="H90" s="26">
        <f>Resource_Rates_Table[[#This Row],[Resource Regular Rate]]*1.1</f>
        <v>38.5</v>
      </c>
      <c r="I90" s="27">
        <f>Resource_Rates_Table[[#This Row],[Resource Regular Rate]]*1.25</f>
        <v>43.75</v>
      </c>
      <c r="J90" s="27" t="s">
        <v>26</v>
      </c>
    </row>
    <row r="91" spans="2:10">
      <c r="B91" s="23" t="s">
        <v>559</v>
      </c>
      <c r="C91" s="23" t="s">
        <v>195</v>
      </c>
      <c r="D91" s="23" t="s">
        <v>196</v>
      </c>
      <c r="E91" s="24" t="s">
        <v>556</v>
      </c>
      <c r="F91" s="25">
        <v>20</v>
      </c>
      <c r="G91" s="26">
        <f>F91*1.5</f>
        <v>30</v>
      </c>
      <c r="H91" s="26">
        <f>Resource_Rates_Table[[#This Row],[Resource Regular Rate]]*1.1</f>
        <v>22</v>
      </c>
      <c r="I91" s="27">
        <f>Resource_Rates_Table[[#This Row],[Resource Regular Rate]]*1.25</f>
        <v>25</v>
      </c>
      <c r="J91" s="27" t="s">
        <v>26</v>
      </c>
    </row>
    <row r="92" spans="2:10">
      <c r="B92" s="23" t="s">
        <v>560</v>
      </c>
      <c r="C92" s="23" t="s">
        <v>195</v>
      </c>
      <c r="D92" s="23" t="s">
        <v>197</v>
      </c>
      <c r="E92" s="24" t="s">
        <v>556</v>
      </c>
      <c r="F92" s="25">
        <v>30</v>
      </c>
      <c r="G92" s="26">
        <f>F92*1.5</f>
        <v>45</v>
      </c>
      <c r="H92" s="26">
        <f>Resource_Rates_Table[[#This Row],[Resource Regular Rate]]*1.1</f>
        <v>33</v>
      </c>
      <c r="I92" s="27">
        <f>Resource_Rates_Table[[#This Row],[Resource Regular Rate]]*1.25</f>
        <v>37.5</v>
      </c>
      <c r="J92" s="27" t="s">
        <v>26</v>
      </c>
    </row>
    <row r="93" spans="2:10" ht="68.25" customHeight="1">
      <c r="B93" s="23"/>
      <c r="C93" s="23" t="s">
        <v>198</v>
      </c>
      <c r="D93" s="23" t="s">
        <v>199</v>
      </c>
      <c r="E93" s="24" t="s">
        <v>561</v>
      </c>
      <c r="F93" s="25">
        <v>42.699999999999996</v>
      </c>
      <c r="G93" s="26" t="s">
        <v>274</v>
      </c>
      <c r="H93" s="26">
        <f>Resource_Rates_Table[[#This Row],[Resource Regular Rate]]*1.1</f>
        <v>46.97</v>
      </c>
      <c r="I93" s="27">
        <f>Resource_Rates_Table[[#This Row],[Resource Regular Rate]]*1.25</f>
        <v>53.374999999999993</v>
      </c>
      <c r="J93" s="27" t="s">
        <v>26</v>
      </c>
    </row>
    <row r="94" spans="2:10" ht="97.5" customHeight="1">
      <c r="B94" s="23"/>
      <c r="C94" s="23" t="s">
        <v>198</v>
      </c>
      <c r="D94" s="23" t="s">
        <v>200</v>
      </c>
      <c r="E94" s="24" t="s">
        <v>562</v>
      </c>
      <c r="F94" s="25">
        <v>50.64</v>
      </c>
      <c r="G94" s="26" t="s">
        <v>274</v>
      </c>
      <c r="H94" s="26">
        <f>Resource_Rates_Table[[#This Row],[Resource Regular Rate]]*1.1</f>
        <v>55.704000000000008</v>
      </c>
      <c r="I94" s="27">
        <f>Resource_Rates_Table[[#This Row],[Resource Regular Rate]]*1.25</f>
        <v>63.3</v>
      </c>
      <c r="J94" s="27" t="s">
        <v>26</v>
      </c>
    </row>
    <row r="95" spans="2:10" ht="87.75" customHeight="1">
      <c r="B95" s="23"/>
      <c r="C95" s="23" t="s">
        <v>198</v>
      </c>
      <c r="D95" s="23" t="s">
        <v>201</v>
      </c>
      <c r="E95" s="24" t="s">
        <v>563</v>
      </c>
      <c r="F95" s="25">
        <v>64.180000000000007</v>
      </c>
      <c r="G95" s="26" t="s">
        <v>274</v>
      </c>
      <c r="H95" s="26">
        <f>Resource_Rates_Table[[#This Row],[Resource Regular Rate]]*1.1</f>
        <v>70.598000000000013</v>
      </c>
      <c r="I95" s="27">
        <f>Resource_Rates_Table[[#This Row],[Resource Regular Rate]]*1.25</f>
        <v>80.225000000000009</v>
      </c>
      <c r="J95" s="27" t="s">
        <v>26</v>
      </c>
    </row>
    <row r="96" spans="2:10" ht="94.5" customHeight="1">
      <c r="B96" s="23"/>
      <c r="C96" s="23" t="s">
        <v>198</v>
      </c>
      <c r="D96" s="23" t="s">
        <v>202</v>
      </c>
      <c r="E96" s="24" t="s">
        <v>564</v>
      </c>
      <c r="F96" s="25">
        <v>65.150000000000006</v>
      </c>
      <c r="G96" s="26">
        <f t="shared" ref="G96:G100" si="7">F96*1.5</f>
        <v>97.725000000000009</v>
      </c>
      <c r="H96" s="26">
        <f>Resource_Rates_Table[[#This Row],[Resource Regular Rate]]*1.1</f>
        <v>71.665000000000006</v>
      </c>
      <c r="I96" s="27">
        <f>Resource_Rates_Table[[#This Row],[Resource Regular Rate]]*1.25</f>
        <v>81.4375</v>
      </c>
      <c r="J96" s="27" t="s">
        <v>26</v>
      </c>
    </row>
    <row r="97" spans="2:10" ht="116.25" customHeight="1">
      <c r="B97" s="23"/>
      <c r="C97" s="23" t="s">
        <v>198</v>
      </c>
      <c r="D97" s="23" t="s">
        <v>203</v>
      </c>
      <c r="E97" s="24" t="s">
        <v>565</v>
      </c>
      <c r="F97" s="25">
        <v>80.320000000000007</v>
      </c>
      <c r="G97" s="26">
        <f t="shared" si="7"/>
        <v>120.48000000000002</v>
      </c>
      <c r="H97" s="26">
        <f>Resource_Rates_Table[[#This Row],[Resource Regular Rate]]*1.1</f>
        <v>88.352000000000018</v>
      </c>
      <c r="I97" s="27">
        <f>Resource_Rates_Table[[#This Row],[Resource Regular Rate]]*1.25</f>
        <v>100.4</v>
      </c>
      <c r="J97" s="27" t="s">
        <v>26</v>
      </c>
    </row>
    <row r="98" spans="2:10" ht="91.5" customHeight="1">
      <c r="B98" s="23"/>
      <c r="C98" s="23" t="s">
        <v>198</v>
      </c>
      <c r="D98" s="23" t="s">
        <v>204</v>
      </c>
      <c r="E98" s="24" t="s">
        <v>566</v>
      </c>
      <c r="F98" s="25">
        <v>89.42</v>
      </c>
      <c r="G98" s="26">
        <f t="shared" si="7"/>
        <v>134.13</v>
      </c>
      <c r="H98" s="26">
        <f>Resource_Rates_Table[[#This Row],[Resource Regular Rate]]*1.1</f>
        <v>98.362000000000009</v>
      </c>
      <c r="I98" s="27">
        <f>Resource_Rates_Table[[#This Row],[Resource Regular Rate]]*1.25</f>
        <v>111.77500000000001</v>
      </c>
      <c r="J98" s="27" t="s">
        <v>26</v>
      </c>
    </row>
    <row r="99" spans="2:10" ht="183" customHeight="1">
      <c r="B99" s="23"/>
      <c r="C99" s="23" t="s">
        <v>198</v>
      </c>
      <c r="D99" s="23" t="s">
        <v>205</v>
      </c>
      <c r="E99" s="24" t="s">
        <v>567</v>
      </c>
      <c r="F99" s="25">
        <v>107.30000000000001</v>
      </c>
      <c r="G99" s="26">
        <f t="shared" si="7"/>
        <v>160.95000000000002</v>
      </c>
      <c r="H99" s="26">
        <f>Resource_Rates_Table[[#This Row],[Resource Regular Rate]]*1.1</f>
        <v>118.03000000000002</v>
      </c>
      <c r="I99" s="27">
        <f>Resource_Rates_Table[[#This Row],[Resource Regular Rate]]*1.25</f>
        <v>134.125</v>
      </c>
      <c r="J99" s="27" t="s">
        <v>26</v>
      </c>
    </row>
    <row r="100" spans="2:10" ht="183" customHeight="1">
      <c r="B100" s="23"/>
      <c r="C100" s="23" t="s">
        <v>198</v>
      </c>
      <c r="D100" s="23" t="s">
        <v>206</v>
      </c>
      <c r="E100" s="24" t="s">
        <v>568</v>
      </c>
      <c r="F100" s="25">
        <v>124.49000000000001</v>
      </c>
      <c r="G100" s="26">
        <f t="shared" si="7"/>
        <v>186.73500000000001</v>
      </c>
      <c r="H100" s="26" t="s">
        <v>274</v>
      </c>
      <c r="I100" s="27" t="s">
        <v>274</v>
      </c>
      <c r="J100" s="27" t="s">
        <v>26</v>
      </c>
    </row>
    <row r="101" spans="2:10" ht="104.25" customHeight="1">
      <c r="B101" s="23" t="s">
        <v>569</v>
      </c>
      <c r="C101" s="23" t="s">
        <v>207</v>
      </c>
      <c r="D101" s="23" t="s">
        <v>208</v>
      </c>
      <c r="E101" s="24" t="s">
        <v>570</v>
      </c>
      <c r="F101" s="25">
        <v>14.553014553014552</v>
      </c>
      <c r="G101" s="26" t="s">
        <v>274</v>
      </c>
      <c r="H101" s="26">
        <f>Resource_Rates_Table[[#This Row],[Resource Regular Rate]]*1.1</f>
        <v>16.008316008316008</v>
      </c>
      <c r="I101" s="27">
        <f>Resource_Rates_Table[[#This Row],[Resource Regular Rate]]*1.25</f>
        <v>18.19126819126819</v>
      </c>
      <c r="J101" s="27" t="s">
        <v>27</v>
      </c>
    </row>
    <row r="102" spans="2:10" ht="139.5" customHeight="1">
      <c r="B102" s="23" t="s">
        <v>571</v>
      </c>
      <c r="C102" s="23" t="s">
        <v>207</v>
      </c>
      <c r="D102" s="23" t="s">
        <v>209</v>
      </c>
      <c r="E102" s="24" t="s">
        <v>572</v>
      </c>
      <c r="F102" s="25">
        <v>18.191268191268197</v>
      </c>
      <c r="G102" s="26" t="s">
        <v>274</v>
      </c>
      <c r="H102" s="26">
        <f>Resource_Rates_Table[[#This Row],[Resource Regular Rate]]*1.1</f>
        <v>20.010395010395019</v>
      </c>
      <c r="I102" s="27">
        <f>Resource_Rates_Table[[#This Row],[Resource Regular Rate]]*1.25</f>
        <v>22.739085239085245</v>
      </c>
      <c r="J102" s="27" t="s">
        <v>27</v>
      </c>
    </row>
    <row r="103" spans="2:10">
      <c r="B103" s="23" t="s">
        <v>573</v>
      </c>
      <c r="C103" s="23" t="s">
        <v>207</v>
      </c>
      <c r="D103" s="23" t="s">
        <v>210</v>
      </c>
      <c r="E103" s="24" t="s">
        <v>556</v>
      </c>
      <c r="F103" s="25">
        <v>6</v>
      </c>
      <c r="G103" s="26">
        <f t="shared" ref="G103:G106" si="8">F103*1.5</f>
        <v>9</v>
      </c>
      <c r="H103" s="26" t="s">
        <v>274</v>
      </c>
      <c r="I103" s="27" t="s">
        <v>274</v>
      </c>
      <c r="J103" s="27" t="s">
        <v>27</v>
      </c>
    </row>
    <row r="104" spans="2:10">
      <c r="B104" s="23" t="s">
        <v>574</v>
      </c>
      <c r="C104" s="23" t="s">
        <v>207</v>
      </c>
      <c r="D104" s="23" t="s">
        <v>211</v>
      </c>
      <c r="E104" s="24" t="s">
        <v>556</v>
      </c>
      <c r="F104" s="25">
        <v>3</v>
      </c>
      <c r="G104" s="26">
        <f t="shared" si="8"/>
        <v>4.5</v>
      </c>
      <c r="H104" s="26" t="s">
        <v>274</v>
      </c>
      <c r="I104" s="27" t="s">
        <v>274</v>
      </c>
      <c r="J104" s="27" t="s">
        <v>27</v>
      </c>
    </row>
    <row r="105" spans="2:10">
      <c r="B105" s="23" t="s">
        <v>575</v>
      </c>
      <c r="C105" s="23" t="s">
        <v>207</v>
      </c>
      <c r="D105" s="23" t="s">
        <v>212</v>
      </c>
      <c r="E105" s="24" t="s">
        <v>556</v>
      </c>
      <c r="F105" s="25">
        <v>8</v>
      </c>
      <c r="G105" s="26">
        <f t="shared" si="8"/>
        <v>12</v>
      </c>
      <c r="H105" s="26" t="s">
        <v>274</v>
      </c>
      <c r="I105" s="27" t="s">
        <v>274</v>
      </c>
      <c r="J105" s="27" t="s">
        <v>27</v>
      </c>
    </row>
    <row r="106" spans="2:10">
      <c r="B106" s="23" t="s">
        <v>576</v>
      </c>
      <c r="C106" s="23" t="s">
        <v>207</v>
      </c>
      <c r="D106" s="23" t="s">
        <v>213</v>
      </c>
      <c r="E106" s="24" t="s">
        <v>556</v>
      </c>
      <c r="F106" s="25">
        <v>10</v>
      </c>
      <c r="G106" s="26">
        <f t="shared" si="8"/>
        <v>15</v>
      </c>
      <c r="H106" s="26" t="s">
        <v>274</v>
      </c>
      <c r="I106" s="27" t="s">
        <v>274</v>
      </c>
      <c r="J106" s="27" t="s">
        <v>27</v>
      </c>
    </row>
    <row r="107" spans="2:10" ht="167.25" customHeight="1">
      <c r="B107" s="23"/>
      <c r="C107" s="23" t="s">
        <v>207</v>
      </c>
      <c r="D107" s="23" t="s">
        <v>214</v>
      </c>
      <c r="E107" s="24" t="s">
        <v>577</v>
      </c>
      <c r="F107" s="25">
        <v>104.43</v>
      </c>
      <c r="G107" s="26">
        <f t="shared" ref="G107:G112" si="9">F107*1.5</f>
        <v>156.64500000000001</v>
      </c>
      <c r="H107" s="27" t="s">
        <v>274</v>
      </c>
      <c r="I107" s="27" t="s">
        <v>274</v>
      </c>
      <c r="J107" s="27" t="s">
        <v>26</v>
      </c>
    </row>
    <row r="108" spans="2:10" ht="100.5" customHeight="1">
      <c r="B108" s="23"/>
      <c r="C108" s="23" t="s">
        <v>207</v>
      </c>
      <c r="D108" s="23" t="s">
        <v>215</v>
      </c>
      <c r="E108" s="24" t="s">
        <v>578</v>
      </c>
      <c r="F108" s="25">
        <v>104.43</v>
      </c>
      <c r="G108" s="26">
        <f t="shared" si="9"/>
        <v>156.64500000000001</v>
      </c>
      <c r="H108" s="27" t="s">
        <v>274</v>
      </c>
      <c r="I108" s="27" t="s">
        <v>274</v>
      </c>
      <c r="J108" s="27" t="s">
        <v>26</v>
      </c>
    </row>
    <row r="109" spans="2:10" ht="103.5" customHeight="1">
      <c r="B109" s="23"/>
      <c r="C109" s="23" t="s">
        <v>207</v>
      </c>
      <c r="D109" s="23" t="s">
        <v>285</v>
      </c>
      <c r="E109" s="24" t="s">
        <v>579</v>
      </c>
      <c r="F109" s="25">
        <v>50.583695652173915</v>
      </c>
      <c r="G109" s="26">
        <f t="shared" si="9"/>
        <v>75.87554347826088</v>
      </c>
      <c r="H109" s="26" t="s">
        <v>274</v>
      </c>
      <c r="I109" s="27" t="s">
        <v>274</v>
      </c>
      <c r="J109" s="27" t="s">
        <v>26</v>
      </c>
    </row>
    <row r="110" spans="2:10" ht="103.5" customHeight="1">
      <c r="B110" s="23"/>
      <c r="C110" s="23" t="s">
        <v>207</v>
      </c>
      <c r="D110" s="23" t="s">
        <v>286</v>
      </c>
      <c r="E110" s="24" t="s">
        <v>579</v>
      </c>
      <c r="F110" s="25">
        <v>59.08</v>
      </c>
      <c r="G110" s="26">
        <f t="shared" si="9"/>
        <v>88.62</v>
      </c>
      <c r="H110" s="26" t="s">
        <v>274</v>
      </c>
      <c r="I110" s="27" t="s">
        <v>274</v>
      </c>
      <c r="J110" s="27" t="s">
        <v>26</v>
      </c>
    </row>
    <row r="111" spans="2:10" ht="90.75" customHeight="1">
      <c r="B111" s="23"/>
      <c r="C111" s="23" t="s">
        <v>207</v>
      </c>
      <c r="D111" s="23" t="s">
        <v>287</v>
      </c>
      <c r="E111" s="24" t="s">
        <v>580</v>
      </c>
      <c r="F111" s="25">
        <v>86.39</v>
      </c>
      <c r="G111" s="26">
        <f t="shared" si="9"/>
        <v>129.58500000000001</v>
      </c>
      <c r="H111" s="27" t="s">
        <v>274</v>
      </c>
      <c r="I111" s="27" t="s">
        <v>274</v>
      </c>
      <c r="J111" s="27" t="s">
        <v>26</v>
      </c>
    </row>
    <row r="112" spans="2:10" ht="124.5" customHeight="1">
      <c r="B112" s="23"/>
      <c r="C112" s="23" t="s">
        <v>207</v>
      </c>
      <c r="D112" s="23" t="s">
        <v>219</v>
      </c>
      <c r="E112" s="24" t="s">
        <v>581</v>
      </c>
      <c r="F112" s="25">
        <v>104.43</v>
      </c>
      <c r="G112" s="26">
        <f t="shared" si="9"/>
        <v>156.64500000000001</v>
      </c>
      <c r="H112" s="27" t="s">
        <v>274</v>
      </c>
      <c r="I112" s="27" t="s">
        <v>274</v>
      </c>
      <c r="J112" s="27" t="s">
        <v>26</v>
      </c>
    </row>
    <row r="114" spans="2:10">
      <c r="B114" s="7" t="s">
        <v>582</v>
      </c>
      <c r="C114" s="7"/>
      <c r="D114" s="7"/>
      <c r="E114" s="7"/>
      <c r="F114" s="7"/>
      <c r="G114" s="7"/>
      <c r="H114" s="7"/>
      <c r="I114" s="7"/>
      <c r="J114" s="7"/>
    </row>
    <row r="115" spans="2:10">
      <c r="B115" s="11" t="s">
        <v>428</v>
      </c>
      <c r="C115" s="12" t="s">
        <v>30</v>
      </c>
      <c r="D115" s="12" t="s">
        <v>31</v>
      </c>
      <c r="E115" s="12" t="s">
        <v>429</v>
      </c>
      <c r="F115" s="12" t="s">
        <v>430</v>
      </c>
      <c r="G115" s="12" t="s">
        <v>431</v>
      </c>
      <c r="H115" s="12" t="s">
        <v>432</v>
      </c>
      <c r="I115" s="13" t="s">
        <v>433</v>
      </c>
      <c r="J115" s="13"/>
    </row>
    <row r="116" spans="2:10" ht="30">
      <c r="B116" s="23" t="s">
        <v>583</v>
      </c>
      <c r="C116" s="23" t="s">
        <v>583</v>
      </c>
      <c r="D116" s="23" t="s">
        <v>584</v>
      </c>
      <c r="E116" s="28" t="s">
        <v>585</v>
      </c>
      <c r="F116" s="25">
        <v>52.5</v>
      </c>
      <c r="G116" s="26">
        <v>70</v>
      </c>
      <c r="H116" s="26" t="s">
        <v>274</v>
      </c>
      <c r="I116" s="26" t="s">
        <v>274</v>
      </c>
      <c r="J116" s="26"/>
    </row>
    <row r="117" spans="2:10" ht="30">
      <c r="B117" s="23" t="s">
        <v>583</v>
      </c>
      <c r="C117" s="23" t="s">
        <v>583</v>
      </c>
      <c r="D117" s="23" t="s">
        <v>586</v>
      </c>
      <c r="E117" s="28" t="s">
        <v>587</v>
      </c>
      <c r="F117" s="25">
        <v>65</v>
      </c>
      <c r="G117" s="26">
        <v>85</v>
      </c>
      <c r="H117" s="26" t="s">
        <v>274</v>
      </c>
      <c r="I117" s="26" t="s">
        <v>274</v>
      </c>
      <c r="J117" s="26"/>
    </row>
    <row r="118" spans="2:10" ht="30">
      <c r="B118" s="23" t="s">
        <v>583</v>
      </c>
      <c r="C118" s="23" t="s">
        <v>583</v>
      </c>
      <c r="D118" s="23" t="s">
        <v>588</v>
      </c>
      <c r="E118" s="28" t="s">
        <v>589</v>
      </c>
      <c r="F118" s="26">
        <v>65</v>
      </c>
      <c r="G118" s="26">
        <v>85</v>
      </c>
      <c r="H118" s="26" t="s">
        <v>274</v>
      </c>
      <c r="I118" s="26" t="s">
        <v>274</v>
      </c>
      <c r="J118" s="26"/>
    </row>
    <row r="119" spans="2:10">
      <c r="B119" s="23" t="s">
        <v>583</v>
      </c>
      <c r="C119" s="23" t="s">
        <v>583</v>
      </c>
      <c r="D119" s="23" t="s">
        <v>590</v>
      </c>
      <c r="E119" s="28" t="s">
        <v>591</v>
      </c>
      <c r="F119" s="25">
        <v>65</v>
      </c>
      <c r="G119" s="26">
        <v>80</v>
      </c>
      <c r="H119" s="26" t="s">
        <v>274</v>
      </c>
      <c r="I119" s="26" t="s">
        <v>274</v>
      </c>
      <c r="J119" s="26"/>
    </row>
    <row r="120" spans="2:10">
      <c r="B120" s="6"/>
      <c r="C120" s="6"/>
      <c r="D120" s="9" t="s">
        <v>592</v>
      </c>
      <c r="E120" s="6"/>
      <c r="F120" s="6"/>
      <c r="G120" s="6"/>
      <c r="H120" s="6"/>
      <c r="I120" s="6"/>
      <c r="J120" s="6"/>
    </row>
  </sheetData>
  <sheetProtection algorithmName="SHA-512" hashValue="zkERYC+TWCE3hSf5uOGbYStwn7l77j/Jd5iU+t7QjAH1e6qKmlf5Puq6tlKJ6j4b4B/jYRAsxxZKkBC0BmSHog==" saltValue="l8XM3oztC7L0kxzfRoqxCQ==" spinCount="100000" sheet="1" objects="1" scenarios="1"/>
  <phoneticPr fontId="17" type="noConversion"/>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2:U313"/>
  <sheetViews>
    <sheetView showGridLines="0" zoomScale="80" zoomScaleNormal="80" workbookViewId="0">
      <selection activeCell="B249" sqref="B249"/>
    </sheetView>
  </sheetViews>
  <sheetFormatPr defaultColWidth="8.85546875" defaultRowHeight="15"/>
  <cols>
    <col min="2" max="2" width="57" bestFit="1" customWidth="1"/>
    <col min="3" max="5" width="15.42578125" customWidth="1"/>
    <col min="6" max="6" width="10.42578125" customWidth="1"/>
    <col min="7" max="7" width="38" bestFit="1" customWidth="1"/>
    <col min="8" max="8" width="15.85546875" bestFit="1" customWidth="1"/>
    <col min="9" max="9" width="10.42578125" customWidth="1"/>
    <col min="10" max="10" width="19.42578125" bestFit="1" customWidth="1"/>
    <col min="12" max="12" width="30.42578125" bestFit="1" customWidth="1"/>
    <col min="13" max="13" width="19.42578125" bestFit="1" customWidth="1"/>
    <col min="14" max="14" width="19" bestFit="1" customWidth="1"/>
    <col min="15" max="15" width="16.42578125" bestFit="1" customWidth="1"/>
    <col min="16" max="16" width="74.140625" bestFit="1" customWidth="1"/>
    <col min="17" max="17" width="36" bestFit="1" customWidth="1"/>
    <col min="18" max="18" width="22.140625" bestFit="1" customWidth="1"/>
    <col min="19" max="21" width="18.42578125" bestFit="1" customWidth="1"/>
  </cols>
  <sheetData>
    <row r="2" spans="2:16">
      <c r="B2" s="7" t="s">
        <v>593</v>
      </c>
      <c r="C2" s="7"/>
      <c r="D2" s="7"/>
      <c r="E2" s="7"/>
      <c r="G2" s="7"/>
      <c r="L2" s="7"/>
      <c r="M2" s="7"/>
      <c r="N2" s="7"/>
    </row>
    <row r="3" spans="2:16">
      <c r="B3" s="4" t="s">
        <v>30</v>
      </c>
      <c r="C3" s="4" t="s">
        <v>594</v>
      </c>
      <c r="D3" s="4" t="s">
        <v>595</v>
      </c>
      <c r="E3" s="4" t="s">
        <v>596</v>
      </c>
      <c r="G3" s="4" t="s">
        <v>597</v>
      </c>
      <c r="L3" s="4" t="s">
        <v>598</v>
      </c>
      <c r="M3" s="4" t="s">
        <v>312</v>
      </c>
      <c r="N3" s="4" t="s">
        <v>599</v>
      </c>
    </row>
    <row r="4" spans="2:16">
      <c r="B4" s="2" t="s">
        <v>103</v>
      </c>
      <c r="C4" s="2">
        <f>MATCH(B4,'Resource Descriptions'!$C$6:$C$112,0)-1</f>
        <v>0</v>
      </c>
      <c r="D4" s="2">
        <f>MATCH(B4,'Resource Descriptions'!$C$6:$C$112,1)-1</f>
        <v>10</v>
      </c>
      <c r="E4" s="2">
        <f t="shared" ref="E4:E13" si="0">D4-C4+1</f>
        <v>11</v>
      </c>
      <c r="G4" s="2" t="s">
        <v>600</v>
      </c>
      <c r="L4" s="2" t="s">
        <v>601</v>
      </c>
      <c r="M4" s="2" t="s">
        <v>601</v>
      </c>
      <c r="N4" s="2" t="s">
        <v>602</v>
      </c>
    </row>
    <row r="5" spans="2:16">
      <c r="B5" s="2" t="s">
        <v>115</v>
      </c>
      <c r="C5" s="2">
        <f>MATCH(B5,'Resource Descriptions'!$C$6:$C$112,0)-1</f>
        <v>11</v>
      </c>
      <c r="D5" s="2">
        <f>MATCH(B5,'Resource Descriptions'!$C$6:$C$112,1)-1</f>
        <v>12</v>
      </c>
      <c r="E5" s="2">
        <f t="shared" ref="E5" si="1">D5-C5+1</f>
        <v>2</v>
      </c>
      <c r="G5" s="2" t="s">
        <v>603</v>
      </c>
      <c r="L5" s="2" t="s">
        <v>604</v>
      </c>
      <c r="M5" s="2" t="s">
        <v>17</v>
      </c>
      <c r="N5" s="2" t="s">
        <v>605</v>
      </c>
    </row>
    <row r="6" spans="2:16">
      <c r="B6" s="2" t="s">
        <v>118</v>
      </c>
      <c r="C6" s="2">
        <f>MATCH(B6,'Resource Descriptions'!$C$6:$C$112,0)-1</f>
        <v>13</v>
      </c>
      <c r="D6" s="2">
        <f>MATCH(B6,'Resource Descriptions'!$C$6:$C$112,1)-1</f>
        <v>15</v>
      </c>
      <c r="E6" s="2">
        <f t="shared" si="0"/>
        <v>3</v>
      </c>
      <c r="G6" s="2" t="s">
        <v>606</v>
      </c>
      <c r="L6" s="2" t="s">
        <v>607</v>
      </c>
      <c r="M6" s="2" t="s">
        <v>207</v>
      </c>
      <c r="N6" s="2" t="s">
        <v>608</v>
      </c>
    </row>
    <row r="7" spans="2:16">
      <c r="B7" s="2" t="s">
        <v>122</v>
      </c>
      <c r="C7" s="2">
        <f>MATCH(B7,'Resource Descriptions'!$C$6:$C$112,0)-1</f>
        <v>16</v>
      </c>
      <c r="D7" s="2">
        <f>MATCH(B7,'Resource Descriptions'!$C$6:$C$112,1)-1</f>
        <v>19</v>
      </c>
      <c r="E7" s="2">
        <f t="shared" ref="E7:E10" si="2">D7-C7+1</f>
        <v>4</v>
      </c>
      <c r="G7" s="2" t="s">
        <v>609</v>
      </c>
      <c r="L7" s="2" t="s">
        <v>610</v>
      </c>
      <c r="M7" s="2" t="s">
        <v>340</v>
      </c>
      <c r="N7" s="2" t="s">
        <v>611</v>
      </c>
    </row>
    <row r="8" spans="2:16">
      <c r="B8" s="2" t="s">
        <v>127</v>
      </c>
      <c r="C8" s="2">
        <f>MATCH(B8,'Resource Descriptions'!$C$6:$C$112,0)-1</f>
        <v>20</v>
      </c>
      <c r="D8" s="2">
        <f>MATCH(B8,'Resource Descriptions'!$C$6:$C$112,1)-1</f>
        <v>26</v>
      </c>
      <c r="E8" s="2">
        <f t="shared" si="2"/>
        <v>7</v>
      </c>
      <c r="G8" s="2" t="s">
        <v>612</v>
      </c>
      <c r="L8" s="2" t="s">
        <v>613</v>
      </c>
      <c r="M8" s="2" t="s">
        <v>341</v>
      </c>
      <c r="N8" s="2" t="s">
        <v>614</v>
      </c>
    </row>
    <row r="9" spans="2:16">
      <c r="B9" s="2" t="s">
        <v>135</v>
      </c>
      <c r="C9" s="2">
        <f>MATCH(B9,'Resource Descriptions'!$C$6:$C$112,0)-1</f>
        <v>27</v>
      </c>
      <c r="D9" s="2">
        <f>MATCH(B9,'Resource Descriptions'!$C$6:$C$112,1)-1</f>
        <v>34</v>
      </c>
      <c r="E9" s="2">
        <f t="shared" si="2"/>
        <v>8</v>
      </c>
      <c r="G9" s="2" t="s">
        <v>419</v>
      </c>
      <c r="L9" s="2" t="s">
        <v>615</v>
      </c>
      <c r="M9" s="2" t="s">
        <v>191</v>
      </c>
      <c r="N9" s="2" t="s">
        <v>616</v>
      </c>
    </row>
    <row r="10" spans="2:16">
      <c r="B10" s="2" t="s">
        <v>142</v>
      </c>
      <c r="C10" s="2">
        <f>MATCH(B10,'Resource Descriptions'!$C$6:$C$112,0)-1</f>
        <v>35</v>
      </c>
      <c r="D10" s="2">
        <f>MATCH(B10,'Resource Descriptions'!$C$6:$C$112,1)-1</f>
        <v>42</v>
      </c>
      <c r="E10" s="2">
        <f t="shared" si="2"/>
        <v>8</v>
      </c>
      <c r="G10" s="2" t="s">
        <v>617</v>
      </c>
      <c r="L10" s="2" t="s">
        <v>618</v>
      </c>
      <c r="M10" s="2" t="s">
        <v>195</v>
      </c>
      <c r="N10" s="2" t="s">
        <v>619</v>
      </c>
    </row>
    <row r="11" spans="2:16">
      <c r="B11" s="2" t="s">
        <v>151</v>
      </c>
      <c r="C11" s="2">
        <f>MATCH(B11,'Resource Descriptions'!$C$6:$C$112,0)-1</f>
        <v>43</v>
      </c>
      <c r="D11" s="2">
        <f>MATCH(B11,'Resource Descriptions'!$C$6:$C$112,1)-1</f>
        <v>81</v>
      </c>
      <c r="E11" s="2">
        <f>D11-C11+1</f>
        <v>39</v>
      </c>
      <c r="L11" s="2" t="s">
        <v>608</v>
      </c>
      <c r="M11" s="2" t="s">
        <v>343</v>
      </c>
      <c r="N11" s="2" t="s">
        <v>620</v>
      </c>
    </row>
    <row r="12" spans="2:16">
      <c r="B12" s="2" t="s">
        <v>191</v>
      </c>
      <c r="C12" s="2">
        <f>MATCH(B12,'Resource Descriptions'!$C$6:$C$112,0)-1</f>
        <v>82</v>
      </c>
      <c r="D12" s="2">
        <f>MATCH(B12,'Resource Descriptions'!$C$6:$C$112,1)-1</f>
        <v>84</v>
      </c>
      <c r="E12" s="2">
        <f t="shared" si="0"/>
        <v>3</v>
      </c>
      <c r="L12" s="2" t="s">
        <v>611</v>
      </c>
      <c r="M12" s="2" t="s">
        <v>621</v>
      </c>
      <c r="N12" s="2" t="s">
        <v>622</v>
      </c>
    </row>
    <row r="13" spans="2:16">
      <c r="B13" s="2" t="s">
        <v>195</v>
      </c>
      <c r="C13" s="2">
        <f>MATCH(B13,'Resource Descriptions'!$C$6:$C$112,0)-1</f>
        <v>85</v>
      </c>
      <c r="D13" s="2">
        <f>MATCH(B13,'Resource Descriptions'!$C$6:$C$112,1)-1</f>
        <v>86</v>
      </c>
      <c r="E13" s="2">
        <f t="shared" si="0"/>
        <v>2</v>
      </c>
    </row>
    <row r="14" spans="2:16">
      <c r="B14" s="2" t="s">
        <v>198</v>
      </c>
      <c r="C14" s="2">
        <f>MATCH(B14,'Resource Descriptions'!$C$6:$C$112,0)-1</f>
        <v>87</v>
      </c>
      <c r="D14" s="2">
        <f>MATCH(B14,'Resource Descriptions'!$C$6:$C$112,1)-1</f>
        <v>94</v>
      </c>
      <c r="E14" s="2">
        <f t="shared" ref="E14" si="3">D14-C14+1</f>
        <v>8</v>
      </c>
      <c r="L14" s="7" t="s">
        <v>623</v>
      </c>
      <c r="M14" s="7"/>
      <c r="N14" s="7"/>
      <c r="O14" s="7"/>
      <c r="P14" s="7"/>
    </row>
    <row r="15" spans="2:16">
      <c r="B15" s="2" t="s">
        <v>207</v>
      </c>
      <c r="C15" s="2">
        <f>MATCH(B15,'Resource Descriptions'!$C$6:$C$112,0)-1</f>
        <v>95</v>
      </c>
      <c r="D15" s="2">
        <f>MATCH(B15,'Resource Descriptions'!$C$6:$C$112,1)-1</f>
        <v>106</v>
      </c>
      <c r="E15" s="2">
        <f>D15-C15+1</f>
        <v>12</v>
      </c>
      <c r="L15" s="4" t="s">
        <v>624</v>
      </c>
      <c r="M15" s="4" t="s">
        <v>625</v>
      </c>
      <c r="N15" s="4" t="s">
        <v>626</v>
      </c>
      <c r="O15" s="4" t="s">
        <v>627</v>
      </c>
      <c r="P15" s="4" t="s">
        <v>628</v>
      </c>
    </row>
    <row r="16" spans="2:16">
      <c r="B16" s="2" t="s">
        <v>629</v>
      </c>
      <c r="C16" s="2" t="s">
        <v>630</v>
      </c>
      <c r="D16" s="2"/>
      <c r="E16" s="2"/>
      <c r="G16" s="7" t="s">
        <v>631</v>
      </c>
      <c r="H16" s="7"/>
      <c r="I16" s="7"/>
      <c r="J16" s="7"/>
      <c r="L16" s="2">
        <v>1</v>
      </c>
      <c r="M16" s="105">
        <v>2999</v>
      </c>
      <c r="N16" s="105" t="b">
        <f>AND(Baseline!$E$8&gt;='Data Tables'!L16,Baseline!$E$8&lt;='Data Tables'!M16)</f>
        <v>0</v>
      </c>
      <c r="O16" s="105" t="s">
        <v>632</v>
      </c>
      <c r="P16" s="106">
        <v>795</v>
      </c>
    </row>
    <row r="17" spans="2:16">
      <c r="B17" s="63" t="s">
        <v>633</v>
      </c>
      <c r="G17" s="11" t="s">
        <v>23</v>
      </c>
      <c r="H17" s="12" t="s">
        <v>594</v>
      </c>
      <c r="I17" s="12" t="s">
        <v>595</v>
      </c>
      <c r="J17" s="13" t="s">
        <v>596</v>
      </c>
      <c r="L17" s="105">
        <v>3000</v>
      </c>
      <c r="M17" s="105">
        <v>4999</v>
      </c>
      <c r="N17" s="105" t="b">
        <f>AND(Baseline!$E$8&gt;='Data Tables'!L17,Baseline!$E$8&lt;='Data Tables'!M17)</f>
        <v>0</v>
      </c>
      <c r="O17" s="105" t="s">
        <v>634</v>
      </c>
      <c r="P17" s="106">
        <v>1800</v>
      </c>
    </row>
    <row r="18" spans="2:16">
      <c r="B18" s="7" t="s">
        <v>635</v>
      </c>
      <c r="C18" s="7"/>
      <c r="G18" s="15" t="s">
        <v>119</v>
      </c>
      <c r="H18" s="2">
        <f t="shared" ref="H18:H49" si="4">MATCH(G18,$B$20:$B$313,0)-1</f>
        <v>0</v>
      </c>
      <c r="I18" s="2">
        <f t="shared" ref="I18:I49" si="5">MATCH(G18,$B$20:$B$313,1)-1</f>
        <v>1</v>
      </c>
      <c r="J18" s="16">
        <f t="shared" ref="J18:J26" si="6">I18-H18+1</f>
        <v>2</v>
      </c>
      <c r="L18" s="105">
        <v>5000</v>
      </c>
      <c r="M18" s="105">
        <v>9999</v>
      </c>
      <c r="N18" s="105" t="b">
        <f>AND(Baseline!$E$8&gt;='Data Tables'!L18,Baseline!$E$8&lt;='Data Tables'!M18)</f>
        <v>0</v>
      </c>
      <c r="O18" s="105" t="s">
        <v>636</v>
      </c>
      <c r="P18" s="106">
        <v>2500</v>
      </c>
    </row>
    <row r="19" spans="2:16">
      <c r="B19" s="11" t="s">
        <v>23</v>
      </c>
      <c r="C19" s="13" t="s">
        <v>637</v>
      </c>
      <c r="G19" s="15" t="s">
        <v>107</v>
      </c>
      <c r="H19" s="2">
        <f t="shared" si="4"/>
        <v>2</v>
      </c>
      <c r="I19" s="2">
        <f t="shared" si="5"/>
        <v>3</v>
      </c>
      <c r="J19" s="16">
        <f t="shared" si="6"/>
        <v>2</v>
      </c>
      <c r="L19" s="105">
        <v>10000</v>
      </c>
      <c r="M19" s="105">
        <v>39999</v>
      </c>
      <c r="N19" s="105" t="b">
        <f>AND(Baseline!$E$8&gt;='Data Tables'!L19,Baseline!$E$8&lt;='Data Tables'!M19)</f>
        <v>0</v>
      </c>
      <c r="O19" s="105" t="s">
        <v>638</v>
      </c>
      <c r="P19" s="106">
        <v>5000</v>
      </c>
    </row>
    <row r="20" spans="2:16">
      <c r="B20" s="15" t="s">
        <v>119</v>
      </c>
      <c r="C20" s="16" t="s">
        <v>389</v>
      </c>
      <c r="G20" s="15" t="s">
        <v>105</v>
      </c>
      <c r="H20" s="2">
        <f t="shared" si="4"/>
        <v>4</v>
      </c>
      <c r="I20" s="2">
        <f t="shared" si="5"/>
        <v>5</v>
      </c>
      <c r="J20" s="16">
        <f t="shared" si="6"/>
        <v>2</v>
      </c>
      <c r="L20" s="105">
        <v>40000</v>
      </c>
      <c r="M20" s="105">
        <v>60000</v>
      </c>
      <c r="N20" s="105" t="b">
        <f>AND(Baseline!$E$8&gt;='Data Tables'!L20,Baseline!$E$8&lt;='Data Tables'!M20)</f>
        <v>0</v>
      </c>
      <c r="O20" s="105" t="s">
        <v>639</v>
      </c>
      <c r="P20" s="106">
        <v>7500</v>
      </c>
    </row>
    <row r="21" spans="2:16">
      <c r="B21" s="15" t="s">
        <v>119</v>
      </c>
      <c r="C21" s="16" t="s">
        <v>640</v>
      </c>
      <c r="G21" s="15" t="s">
        <v>104</v>
      </c>
      <c r="H21" s="2">
        <f t="shared" si="4"/>
        <v>6</v>
      </c>
      <c r="I21" s="2">
        <f t="shared" si="5"/>
        <v>7</v>
      </c>
      <c r="J21" s="16">
        <f t="shared" si="6"/>
        <v>2</v>
      </c>
      <c r="L21" s="4"/>
      <c r="M21" s="4" t="s">
        <v>331</v>
      </c>
      <c r="N21" s="4" t="s">
        <v>641</v>
      </c>
      <c r="O21" s="4" t="s">
        <v>642</v>
      </c>
      <c r="P21" s="4"/>
    </row>
    <row r="22" spans="2:16">
      <c r="B22" s="15" t="s">
        <v>107</v>
      </c>
      <c r="C22" s="16" t="s">
        <v>389</v>
      </c>
      <c r="G22" s="15" t="s">
        <v>214</v>
      </c>
      <c r="H22" s="2">
        <f t="shared" si="4"/>
        <v>8</v>
      </c>
      <c r="I22" s="2">
        <f t="shared" si="5"/>
        <v>9</v>
      </c>
      <c r="J22" s="16">
        <f>I22-H22+1</f>
        <v>2</v>
      </c>
      <c r="L22" s="107" t="s">
        <v>643</v>
      </c>
      <c r="M22" s="106">
        <v>1.91</v>
      </c>
      <c r="N22" s="108">
        <f>(O22-M22)/O22</f>
        <v>0.45272206303724932</v>
      </c>
      <c r="O22" s="106">
        <v>3.49</v>
      </c>
      <c r="P22" s="106"/>
    </row>
    <row r="23" spans="2:16">
      <c r="B23" s="15" t="s">
        <v>107</v>
      </c>
      <c r="C23" s="16" t="s">
        <v>640</v>
      </c>
      <c r="G23" s="15" t="s">
        <v>111</v>
      </c>
      <c r="H23" s="2">
        <f t="shared" si="4"/>
        <v>10</v>
      </c>
      <c r="I23" s="2">
        <f t="shared" si="5"/>
        <v>11</v>
      </c>
      <c r="J23" s="16">
        <f t="shared" si="6"/>
        <v>2</v>
      </c>
    </row>
    <row r="24" spans="2:16">
      <c r="B24" s="15" t="s">
        <v>105</v>
      </c>
      <c r="C24" s="16" t="s">
        <v>389</v>
      </c>
      <c r="G24" s="15" t="s">
        <v>139</v>
      </c>
      <c r="H24" s="2">
        <f t="shared" si="4"/>
        <v>12</v>
      </c>
      <c r="I24" s="2">
        <f t="shared" si="5"/>
        <v>15</v>
      </c>
      <c r="J24" s="16">
        <f t="shared" si="6"/>
        <v>4</v>
      </c>
      <c r="M24" s="4" t="s">
        <v>644</v>
      </c>
      <c r="N24" s="4" t="s">
        <v>645</v>
      </c>
      <c r="O24" s="4" t="s">
        <v>646</v>
      </c>
      <c r="P24" s="4" t="s">
        <v>647</v>
      </c>
    </row>
    <row r="25" spans="2:16">
      <c r="B25" s="15" t="s">
        <v>105</v>
      </c>
      <c r="C25" s="16" t="s">
        <v>640</v>
      </c>
      <c r="G25" s="15" t="s">
        <v>140</v>
      </c>
      <c r="H25" s="2">
        <f t="shared" si="4"/>
        <v>16</v>
      </c>
      <c r="I25" s="2">
        <f t="shared" si="5"/>
        <v>19</v>
      </c>
      <c r="J25" s="16">
        <f t="shared" si="6"/>
        <v>4</v>
      </c>
      <c r="M25" s="168" t="b">
        <v>1</v>
      </c>
      <c r="N25" s="168" t="b">
        <f>OR($N$16=M25,$N$17=M25,$N$18=M25,$N$19=M25,$N$20=M25,Baseline!$D$6="ZBaaS")</f>
        <v>0</v>
      </c>
      <c r="O25" s="168" t="str">
        <f>IFERROR(IF(OR(Baseline!D8&gt;0,Baseline!E8&gt;0)=TRUE,Startup!M8/Startup!D8,"Enter QTYs on Baseline"),"Enter QTYs on Baseline")</f>
        <v>Enter QTYs on Baseline</v>
      </c>
      <c r="P25" s="168" t="str">
        <f>IFERROR(IF(OR(Baseline!D8&gt;0,Baseline!E8&gt;0)=TRUE,VLOOKUP(TRUE,N16:P20,3,FALSE),"Enter QTYs on Baseline"),"Enter QTYs on Baseline")</f>
        <v>Enter QTYs on Baseline</v>
      </c>
    </row>
    <row r="26" spans="2:16">
      <c r="B26" s="15" t="s">
        <v>104</v>
      </c>
      <c r="C26" s="16" t="s">
        <v>389</v>
      </c>
      <c r="G26" s="15" t="s">
        <v>141</v>
      </c>
      <c r="H26" s="2">
        <f t="shared" si="4"/>
        <v>20</v>
      </c>
      <c r="I26" s="2">
        <f t="shared" si="5"/>
        <v>23</v>
      </c>
      <c r="J26" s="16">
        <f t="shared" si="6"/>
        <v>4</v>
      </c>
      <c r="M26" s="168" t="b">
        <v>0</v>
      </c>
      <c r="N26" s="168" t="b">
        <f>OR(Baseline!$D$6&lt;&gt;"ZBaaS")</f>
        <v>1</v>
      </c>
      <c r="O26" s="168">
        <f>IFERROR(IF(Startup!I8="Specified Margin",Startup!G8/(1-Startup!J8),"Enter Sell Rate"),"TBD")</f>
        <v>0</v>
      </c>
      <c r="P26" s="168">
        <f>IFERROR(Startup!D8*Startup!K8,"TBD")</f>
        <v>0</v>
      </c>
    </row>
    <row r="27" spans="2:16">
      <c r="B27" s="15" t="s">
        <v>104</v>
      </c>
      <c r="C27" s="16" t="s">
        <v>640</v>
      </c>
      <c r="G27" s="15" t="s">
        <v>128</v>
      </c>
      <c r="H27" s="2">
        <f t="shared" si="4"/>
        <v>24</v>
      </c>
      <c r="I27" s="2">
        <f t="shared" si="5"/>
        <v>27</v>
      </c>
      <c r="J27" s="16">
        <f t="shared" ref="J27:J34" si="7">I27-H27+1</f>
        <v>4</v>
      </c>
    </row>
    <row r="28" spans="2:16">
      <c r="B28" s="15" t="s">
        <v>214</v>
      </c>
      <c r="C28" s="16" t="s">
        <v>389</v>
      </c>
      <c r="G28" s="15" t="s">
        <v>129</v>
      </c>
      <c r="H28" s="2">
        <f t="shared" si="4"/>
        <v>28</v>
      </c>
      <c r="I28" s="2">
        <f t="shared" si="5"/>
        <v>31</v>
      </c>
      <c r="J28" s="16">
        <f t="shared" si="7"/>
        <v>4</v>
      </c>
    </row>
    <row r="29" spans="2:16">
      <c r="B29" s="15" t="s">
        <v>214</v>
      </c>
      <c r="C29" s="16" t="s">
        <v>640</v>
      </c>
      <c r="G29" s="15" t="s">
        <v>120</v>
      </c>
      <c r="H29" s="2">
        <f t="shared" si="4"/>
        <v>32</v>
      </c>
      <c r="I29" s="2">
        <f t="shared" si="5"/>
        <v>33</v>
      </c>
      <c r="J29" s="16">
        <f t="shared" si="7"/>
        <v>2</v>
      </c>
    </row>
    <row r="30" spans="2:16">
      <c r="B30" s="15" t="s">
        <v>111</v>
      </c>
      <c r="C30" s="16" t="s">
        <v>389</v>
      </c>
      <c r="G30" s="15" t="s">
        <v>130</v>
      </c>
      <c r="H30" s="2">
        <f t="shared" si="4"/>
        <v>34</v>
      </c>
      <c r="I30" s="2">
        <f t="shared" si="5"/>
        <v>35</v>
      </c>
      <c r="J30" s="16">
        <f t="shared" si="7"/>
        <v>2</v>
      </c>
    </row>
    <row r="31" spans="2:16">
      <c r="B31" s="15" t="s">
        <v>111</v>
      </c>
      <c r="C31" s="16" t="s">
        <v>640</v>
      </c>
      <c r="G31" s="15" t="s">
        <v>136</v>
      </c>
      <c r="H31" s="2">
        <f t="shared" si="4"/>
        <v>36</v>
      </c>
      <c r="I31" s="2">
        <f t="shared" si="5"/>
        <v>37</v>
      </c>
      <c r="J31" s="16">
        <f t="shared" si="7"/>
        <v>2</v>
      </c>
    </row>
    <row r="32" spans="2:16">
      <c r="B32" s="15" t="s">
        <v>139</v>
      </c>
      <c r="C32" s="16" t="s">
        <v>648</v>
      </c>
      <c r="G32" s="15" t="s">
        <v>137</v>
      </c>
      <c r="H32" s="2">
        <f t="shared" si="4"/>
        <v>38</v>
      </c>
      <c r="I32" s="2">
        <f t="shared" si="5"/>
        <v>39</v>
      </c>
      <c r="J32" s="16">
        <f t="shared" si="7"/>
        <v>2</v>
      </c>
    </row>
    <row r="33" spans="2:10">
      <c r="B33" s="15" t="s">
        <v>139</v>
      </c>
      <c r="C33" s="16" t="s">
        <v>640</v>
      </c>
      <c r="G33" s="15" t="s">
        <v>138</v>
      </c>
      <c r="H33" s="2">
        <f t="shared" si="4"/>
        <v>40</v>
      </c>
      <c r="I33" s="2">
        <f t="shared" si="5"/>
        <v>41</v>
      </c>
      <c r="J33" s="16">
        <f t="shared" si="7"/>
        <v>2</v>
      </c>
    </row>
    <row r="34" spans="2:10">
      <c r="B34" s="15" t="s">
        <v>139</v>
      </c>
      <c r="C34" s="16" t="s">
        <v>649</v>
      </c>
      <c r="G34" s="15" t="s">
        <v>152</v>
      </c>
      <c r="H34" s="2">
        <f t="shared" si="4"/>
        <v>42</v>
      </c>
      <c r="I34" s="2">
        <f t="shared" si="5"/>
        <v>44</v>
      </c>
      <c r="J34" s="16">
        <f t="shared" si="7"/>
        <v>3</v>
      </c>
    </row>
    <row r="35" spans="2:10">
      <c r="B35" s="15" t="s">
        <v>139</v>
      </c>
      <c r="C35" s="16" t="s">
        <v>650</v>
      </c>
      <c r="G35" s="15" t="s">
        <v>153</v>
      </c>
      <c r="H35" s="2">
        <f t="shared" si="4"/>
        <v>45</v>
      </c>
      <c r="I35" s="2">
        <f t="shared" si="5"/>
        <v>47</v>
      </c>
      <c r="J35" s="16">
        <f t="shared" ref="J35:J42" si="8">I35-H35+1</f>
        <v>3</v>
      </c>
    </row>
    <row r="36" spans="2:10">
      <c r="B36" s="15" t="s">
        <v>140</v>
      </c>
      <c r="C36" s="16" t="s">
        <v>648</v>
      </c>
      <c r="G36" s="15" t="s">
        <v>154</v>
      </c>
      <c r="H36" s="2">
        <f t="shared" si="4"/>
        <v>48</v>
      </c>
      <c r="I36" s="2">
        <f t="shared" si="5"/>
        <v>50</v>
      </c>
      <c r="J36" s="16">
        <f t="shared" si="8"/>
        <v>3</v>
      </c>
    </row>
    <row r="37" spans="2:10">
      <c r="B37" s="15" t="s">
        <v>140</v>
      </c>
      <c r="C37" s="16" t="s">
        <v>640</v>
      </c>
      <c r="G37" s="15" t="s">
        <v>155</v>
      </c>
      <c r="H37" s="2">
        <f t="shared" si="4"/>
        <v>51</v>
      </c>
      <c r="I37" s="2">
        <f t="shared" si="5"/>
        <v>53</v>
      </c>
      <c r="J37" s="16">
        <f t="shared" si="8"/>
        <v>3</v>
      </c>
    </row>
    <row r="38" spans="2:10">
      <c r="B38" s="15" t="s">
        <v>140</v>
      </c>
      <c r="C38" s="16" t="s">
        <v>649</v>
      </c>
      <c r="G38" s="15" t="s">
        <v>156</v>
      </c>
      <c r="H38" s="2">
        <f t="shared" si="4"/>
        <v>54</v>
      </c>
      <c r="I38" s="2">
        <f t="shared" si="5"/>
        <v>56</v>
      </c>
      <c r="J38" s="16">
        <f t="shared" si="8"/>
        <v>3</v>
      </c>
    </row>
    <row r="39" spans="2:10">
      <c r="B39" s="15" t="s">
        <v>140</v>
      </c>
      <c r="C39" s="16" t="s">
        <v>650</v>
      </c>
      <c r="G39" s="15" t="s">
        <v>157</v>
      </c>
      <c r="H39" s="2">
        <f t="shared" si="4"/>
        <v>57</v>
      </c>
      <c r="I39" s="2">
        <f t="shared" si="5"/>
        <v>59</v>
      </c>
      <c r="J39" s="16">
        <f t="shared" si="8"/>
        <v>3</v>
      </c>
    </row>
    <row r="40" spans="2:10">
      <c r="B40" s="15" t="s">
        <v>141</v>
      </c>
      <c r="C40" s="16" t="s">
        <v>648</v>
      </c>
      <c r="G40" s="15" t="s">
        <v>158</v>
      </c>
      <c r="H40" s="2">
        <f t="shared" si="4"/>
        <v>60</v>
      </c>
      <c r="I40" s="2">
        <f t="shared" si="5"/>
        <v>62</v>
      </c>
      <c r="J40" s="16">
        <f t="shared" si="8"/>
        <v>3</v>
      </c>
    </row>
    <row r="41" spans="2:10">
      <c r="B41" s="15" t="s">
        <v>141</v>
      </c>
      <c r="C41" s="16" t="s">
        <v>640</v>
      </c>
      <c r="G41" s="15" t="s">
        <v>159</v>
      </c>
      <c r="H41" s="2">
        <f t="shared" si="4"/>
        <v>63</v>
      </c>
      <c r="I41" s="2">
        <f t="shared" si="5"/>
        <v>65</v>
      </c>
      <c r="J41" s="16">
        <f t="shared" si="8"/>
        <v>3</v>
      </c>
    </row>
    <row r="42" spans="2:10">
      <c r="B42" s="15" t="s">
        <v>141</v>
      </c>
      <c r="C42" s="16" t="s">
        <v>649</v>
      </c>
      <c r="G42" s="15" t="s">
        <v>160</v>
      </c>
      <c r="H42" s="2">
        <f t="shared" si="4"/>
        <v>66</v>
      </c>
      <c r="I42" s="2">
        <f t="shared" si="5"/>
        <v>68</v>
      </c>
      <c r="J42" s="16">
        <f t="shared" si="8"/>
        <v>3</v>
      </c>
    </row>
    <row r="43" spans="2:10">
      <c r="B43" s="15" t="s">
        <v>141</v>
      </c>
      <c r="C43" s="16" t="s">
        <v>650</v>
      </c>
      <c r="G43" s="15" t="s">
        <v>161</v>
      </c>
      <c r="H43" s="2">
        <f t="shared" si="4"/>
        <v>69</v>
      </c>
      <c r="I43" s="2">
        <f t="shared" si="5"/>
        <v>71</v>
      </c>
      <c r="J43" s="16">
        <f t="shared" ref="J43:J50" si="9">I43-H43+1</f>
        <v>3</v>
      </c>
    </row>
    <row r="44" spans="2:10">
      <c r="B44" s="15" t="s">
        <v>128</v>
      </c>
      <c r="C44" s="16" t="s">
        <v>648</v>
      </c>
      <c r="G44" s="15" t="s">
        <v>162</v>
      </c>
      <c r="H44" s="2">
        <f t="shared" si="4"/>
        <v>72</v>
      </c>
      <c r="I44" s="2">
        <f t="shared" si="5"/>
        <v>74</v>
      </c>
      <c r="J44" s="16">
        <f t="shared" si="9"/>
        <v>3</v>
      </c>
    </row>
    <row r="45" spans="2:10">
      <c r="B45" s="15" t="s">
        <v>128</v>
      </c>
      <c r="C45" s="16" t="s">
        <v>640</v>
      </c>
      <c r="G45" s="15" t="s">
        <v>163</v>
      </c>
      <c r="H45" s="2">
        <f t="shared" si="4"/>
        <v>75</v>
      </c>
      <c r="I45" s="2">
        <f t="shared" si="5"/>
        <v>77</v>
      </c>
      <c r="J45" s="16">
        <f t="shared" si="9"/>
        <v>3</v>
      </c>
    </row>
    <row r="46" spans="2:10">
      <c r="B46" s="15" t="s">
        <v>128</v>
      </c>
      <c r="C46" s="16" t="s">
        <v>649</v>
      </c>
      <c r="G46" s="15" t="s">
        <v>164</v>
      </c>
      <c r="H46" s="2">
        <f t="shared" si="4"/>
        <v>78</v>
      </c>
      <c r="I46" s="2">
        <f t="shared" si="5"/>
        <v>80</v>
      </c>
      <c r="J46" s="16">
        <f t="shared" si="9"/>
        <v>3</v>
      </c>
    </row>
    <row r="47" spans="2:10">
      <c r="B47" s="15" t="s">
        <v>128</v>
      </c>
      <c r="C47" s="16" t="s">
        <v>650</v>
      </c>
      <c r="G47" s="15" t="s">
        <v>165</v>
      </c>
      <c r="H47" s="2">
        <f t="shared" si="4"/>
        <v>81</v>
      </c>
      <c r="I47" s="2">
        <f t="shared" si="5"/>
        <v>83</v>
      </c>
      <c r="J47" s="16">
        <f t="shared" si="9"/>
        <v>3</v>
      </c>
    </row>
    <row r="48" spans="2:10">
      <c r="B48" s="15" t="s">
        <v>129</v>
      </c>
      <c r="C48" s="16" t="s">
        <v>648</v>
      </c>
      <c r="G48" s="15" t="s">
        <v>166</v>
      </c>
      <c r="H48" s="2">
        <f t="shared" si="4"/>
        <v>84</v>
      </c>
      <c r="I48" s="2">
        <f t="shared" si="5"/>
        <v>86</v>
      </c>
      <c r="J48" s="16">
        <f t="shared" si="9"/>
        <v>3</v>
      </c>
    </row>
    <row r="49" spans="2:10">
      <c r="B49" s="15" t="s">
        <v>129</v>
      </c>
      <c r="C49" s="16" t="s">
        <v>640</v>
      </c>
      <c r="G49" s="15" t="s">
        <v>167</v>
      </c>
      <c r="H49" s="2">
        <f t="shared" si="4"/>
        <v>87</v>
      </c>
      <c r="I49" s="2">
        <f t="shared" si="5"/>
        <v>89</v>
      </c>
      <c r="J49" s="16">
        <f t="shared" si="9"/>
        <v>3</v>
      </c>
    </row>
    <row r="50" spans="2:10">
      <c r="B50" s="15" t="s">
        <v>129</v>
      </c>
      <c r="C50" s="16" t="s">
        <v>649</v>
      </c>
      <c r="G50" s="15" t="s">
        <v>168</v>
      </c>
      <c r="H50" s="2">
        <f t="shared" ref="H50:H81" si="10">MATCH(G50,$B$20:$B$313,0)-1</f>
        <v>90</v>
      </c>
      <c r="I50" s="2">
        <f t="shared" ref="I50:I81" si="11">MATCH(G50,$B$20:$B$313,1)-1</f>
        <v>92</v>
      </c>
      <c r="J50" s="16">
        <f t="shared" si="9"/>
        <v>3</v>
      </c>
    </row>
    <row r="51" spans="2:10">
      <c r="B51" s="15" t="s">
        <v>129</v>
      </c>
      <c r="C51" s="16" t="s">
        <v>650</v>
      </c>
      <c r="G51" s="15" t="s">
        <v>169</v>
      </c>
      <c r="H51" s="2">
        <f t="shared" si="10"/>
        <v>93</v>
      </c>
      <c r="I51" s="2">
        <f t="shared" si="11"/>
        <v>95</v>
      </c>
      <c r="J51" s="16">
        <f>I51-H51+1</f>
        <v>3</v>
      </c>
    </row>
    <row r="52" spans="2:10">
      <c r="B52" s="15" t="s">
        <v>120</v>
      </c>
      <c r="C52" s="16" t="s">
        <v>389</v>
      </c>
      <c r="G52" s="15" t="s">
        <v>170</v>
      </c>
      <c r="H52" s="2">
        <f t="shared" si="10"/>
        <v>96</v>
      </c>
      <c r="I52" s="2">
        <f t="shared" si="11"/>
        <v>98</v>
      </c>
      <c r="J52" s="16">
        <f t="shared" ref="J52:J59" si="12">I52-H52+1</f>
        <v>3</v>
      </c>
    </row>
    <row r="53" spans="2:10">
      <c r="B53" s="15" t="s">
        <v>120</v>
      </c>
      <c r="C53" s="16" t="s">
        <v>640</v>
      </c>
      <c r="G53" s="15" t="s">
        <v>171</v>
      </c>
      <c r="H53" s="2">
        <f t="shared" si="10"/>
        <v>99</v>
      </c>
      <c r="I53" s="2">
        <f t="shared" si="11"/>
        <v>101</v>
      </c>
      <c r="J53" s="16">
        <f t="shared" si="12"/>
        <v>3</v>
      </c>
    </row>
    <row r="54" spans="2:10">
      <c r="B54" s="15" t="s">
        <v>130</v>
      </c>
      <c r="C54" s="16" t="s">
        <v>389</v>
      </c>
      <c r="G54" s="15" t="s">
        <v>172</v>
      </c>
      <c r="H54" s="2">
        <f t="shared" si="10"/>
        <v>102</v>
      </c>
      <c r="I54" s="2">
        <f t="shared" si="11"/>
        <v>104</v>
      </c>
      <c r="J54" s="16">
        <f t="shared" si="12"/>
        <v>3</v>
      </c>
    </row>
    <row r="55" spans="2:10">
      <c r="B55" s="15" t="s">
        <v>130</v>
      </c>
      <c r="C55" s="16" t="s">
        <v>640</v>
      </c>
      <c r="G55" s="15" t="s">
        <v>173</v>
      </c>
      <c r="H55" s="2">
        <f t="shared" si="10"/>
        <v>105</v>
      </c>
      <c r="I55" s="2">
        <f t="shared" si="11"/>
        <v>107</v>
      </c>
      <c r="J55" s="16">
        <f t="shared" si="12"/>
        <v>3</v>
      </c>
    </row>
    <row r="56" spans="2:10">
      <c r="B56" s="15" t="s">
        <v>136</v>
      </c>
      <c r="C56" s="16" t="s">
        <v>389</v>
      </c>
      <c r="G56" s="15" t="s">
        <v>174</v>
      </c>
      <c r="H56" s="2">
        <f t="shared" si="10"/>
        <v>108</v>
      </c>
      <c r="I56" s="2">
        <f t="shared" si="11"/>
        <v>110</v>
      </c>
      <c r="J56" s="16">
        <f t="shared" si="12"/>
        <v>3</v>
      </c>
    </row>
    <row r="57" spans="2:10">
      <c r="B57" s="15" t="s">
        <v>136</v>
      </c>
      <c r="C57" s="16" t="s">
        <v>640</v>
      </c>
      <c r="G57" s="15" t="s">
        <v>175</v>
      </c>
      <c r="H57" s="2">
        <f t="shared" si="10"/>
        <v>111</v>
      </c>
      <c r="I57" s="2">
        <f t="shared" si="11"/>
        <v>113</v>
      </c>
      <c r="J57" s="16">
        <f t="shared" si="12"/>
        <v>3</v>
      </c>
    </row>
    <row r="58" spans="2:10">
      <c r="B58" s="15" t="s">
        <v>137</v>
      </c>
      <c r="C58" s="16" t="s">
        <v>389</v>
      </c>
      <c r="G58" s="15" t="s">
        <v>208</v>
      </c>
      <c r="H58" s="2">
        <f t="shared" si="10"/>
        <v>114</v>
      </c>
      <c r="I58" s="2">
        <f t="shared" si="11"/>
        <v>115</v>
      </c>
      <c r="J58" s="16">
        <f t="shared" si="12"/>
        <v>2</v>
      </c>
    </row>
    <row r="59" spans="2:10">
      <c r="B59" s="15" t="s">
        <v>137</v>
      </c>
      <c r="C59" s="16" t="s">
        <v>640</v>
      </c>
      <c r="G59" s="15" t="s">
        <v>176</v>
      </c>
      <c r="H59" s="2">
        <f t="shared" si="10"/>
        <v>116</v>
      </c>
      <c r="I59" s="2">
        <f t="shared" si="11"/>
        <v>118</v>
      </c>
      <c r="J59" s="16">
        <f t="shared" si="12"/>
        <v>3</v>
      </c>
    </row>
    <row r="60" spans="2:10">
      <c r="B60" s="15" t="s">
        <v>138</v>
      </c>
      <c r="C60" s="16" t="s">
        <v>389</v>
      </c>
      <c r="G60" s="15" t="s">
        <v>177</v>
      </c>
      <c r="H60" s="2">
        <f t="shared" si="10"/>
        <v>119</v>
      </c>
      <c r="I60" s="2">
        <f t="shared" si="11"/>
        <v>121</v>
      </c>
      <c r="J60" s="16">
        <f t="shared" ref="J60:J66" si="13">I60-H60+1</f>
        <v>3</v>
      </c>
    </row>
    <row r="61" spans="2:10">
      <c r="B61" s="15" t="s">
        <v>138</v>
      </c>
      <c r="C61" s="16" t="s">
        <v>640</v>
      </c>
      <c r="G61" s="15" t="s">
        <v>178</v>
      </c>
      <c r="H61" s="2">
        <f t="shared" si="10"/>
        <v>122</v>
      </c>
      <c r="I61" s="2">
        <f t="shared" si="11"/>
        <v>124</v>
      </c>
      <c r="J61" s="16">
        <f t="shared" si="13"/>
        <v>3</v>
      </c>
    </row>
    <row r="62" spans="2:10">
      <c r="B62" s="15" t="s">
        <v>152</v>
      </c>
      <c r="C62" s="16" t="s">
        <v>648</v>
      </c>
      <c r="G62" s="15" t="s">
        <v>179</v>
      </c>
      <c r="H62" s="2">
        <f t="shared" si="10"/>
        <v>125</v>
      </c>
      <c r="I62" s="2">
        <f t="shared" si="11"/>
        <v>127</v>
      </c>
      <c r="J62" s="16">
        <f t="shared" si="13"/>
        <v>3</v>
      </c>
    </row>
    <row r="63" spans="2:10">
      <c r="B63" s="15" t="s">
        <v>152</v>
      </c>
      <c r="C63" s="16" t="s">
        <v>649</v>
      </c>
      <c r="G63" s="15" t="s">
        <v>180</v>
      </c>
      <c r="H63" s="2">
        <f t="shared" si="10"/>
        <v>128</v>
      </c>
      <c r="I63" s="2">
        <f t="shared" si="11"/>
        <v>130</v>
      </c>
      <c r="J63" s="16">
        <f>I63-H63+1</f>
        <v>3</v>
      </c>
    </row>
    <row r="64" spans="2:10">
      <c r="B64" s="15" t="s">
        <v>152</v>
      </c>
      <c r="C64" s="16" t="s">
        <v>650</v>
      </c>
      <c r="G64" s="15" t="s">
        <v>181</v>
      </c>
      <c r="H64" s="2">
        <f t="shared" si="10"/>
        <v>131</v>
      </c>
      <c r="I64" s="2">
        <f t="shared" si="11"/>
        <v>133</v>
      </c>
      <c r="J64" s="16">
        <f t="shared" si="13"/>
        <v>3</v>
      </c>
    </row>
    <row r="65" spans="2:10">
      <c r="B65" s="15" t="s">
        <v>153</v>
      </c>
      <c r="C65" s="16" t="s">
        <v>648</v>
      </c>
      <c r="G65" s="15" t="s">
        <v>182</v>
      </c>
      <c r="H65" s="2">
        <f t="shared" si="10"/>
        <v>134</v>
      </c>
      <c r="I65" s="2">
        <f t="shared" si="11"/>
        <v>136</v>
      </c>
      <c r="J65" s="16">
        <f t="shared" si="13"/>
        <v>3</v>
      </c>
    </row>
    <row r="66" spans="2:10">
      <c r="B66" s="15" t="s">
        <v>153</v>
      </c>
      <c r="C66" s="16" t="s">
        <v>649</v>
      </c>
      <c r="G66" s="15" t="s">
        <v>183</v>
      </c>
      <c r="H66" s="2">
        <f t="shared" si="10"/>
        <v>137</v>
      </c>
      <c r="I66" s="2">
        <f t="shared" si="11"/>
        <v>139</v>
      </c>
      <c r="J66" s="16">
        <f t="shared" si="13"/>
        <v>3</v>
      </c>
    </row>
    <row r="67" spans="2:10">
      <c r="B67" s="15" t="s">
        <v>153</v>
      </c>
      <c r="C67" s="16" t="s">
        <v>650</v>
      </c>
      <c r="G67" s="15" t="s">
        <v>184</v>
      </c>
      <c r="H67" s="2">
        <f t="shared" si="10"/>
        <v>140</v>
      </c>
      <c r="I67" s="2">
        <f t="shared" si="11"/>
        <v>142</v>
      </c>
      <c r="J67" s="16">
        <f t="shared" ref="J67:J83" si="14">I67-H67+1</f>
        <v>3</v>
      </c>
    </row>
    <row r="68" spans="2:10">
      <c r="B68" s="15" t="s">
        <v>154</v>
      </c>
      <c r="C68" s="16" t="s">
        <v>648</v>
      </c>
      <c r="G68" s="15" t="s">
        <v>185</v>
      </c>
      <c r="H68" s="2">
        <f t="shared" si="10"/>
        <v>143</v>
      </c>
      <c r="I68" s="2">
        <f t="shared" si="11"/>
        <v>145</v>
      </c>
      <c r="J68" s="16">
        <f t="shared" si="14"/>
        <v>3</v>
      </c>
    </row>
    <row r="69" spans="2:10">
      <c r="B69" s="15" t="s">
        <v>154</v>
      </c>
      <c r="C69" s="16" t="s">
        <v>649</v>
      </c>
      <c r="G69" s="15" t="s">
        <v>186</v>
      </c>
      <c r="H69" s="2">
        <f t="shared" si="10"/>
        <v>146</v>
      </c>
      <c r="I69" s="2">
        <f t="shared" si="11"/>
        <v>148</v>
      </c>
      <c r="J69" s="16">
        <f t="shared" si="14"/>
        <v>3</v>
      </c>
    </row>
    <row r="70" spans="2:10">
      <c r="B70" s="15" t="s">
        <v>154</v>
      </c>
      <c r="C70" s="16" t="s">
        <v>650</v>
      </c>
      <c r="G70" s="15" t="s">
        <v>209</v>
      </c>
      <c r="H70" s="2">
        <f t="shared" si="10"/>
        <v>149</v>
      </c>
      <c r="I70" s="2">
        <f t="shared" si="11"/>
        <v>150</v>
      </c>
      <c r="J70" s="16">
        <f t="shared" si="14"/>
        <v>2</v>
      </c>
    </row>
    <row r="71" spans="2:10">
      <c r="B71" s="15" t="s">
        <v>155</v>
      </c>
      <c r="C71" s="16" t="s">
        <v>648</v>
      </c>
      <c r="G71" s="15" t="s">
        <v>187</v>
      </c>
      <c r="H71" s="2">
        <f t="shared" si="10"/>
        <v>151</v>
      </c>
      <c r="I71" s="2">
        <f t="shared" si="11"/>
        <v>153</v>
      </c>
      <c r="J71" s="16">
        <f t="shared" si="14"/>
        <v>3</v>
      </c>
    </row>
    <row r="72" spans="2:10">
      <c r="B72" s="15" t="s">
        <v>155</v>
      </c>
      <c r="C72" s="16" t="s">
        <v>649</v>
      </c>
      <c r="G72" s="15" t="s">
        <v>188</v>
      </c>
      <c r="H72" s="2">
        <f t="shared" si="10"/>
        <v>154</v>
      </c>
      <c r="I72" s="2">
        <f t="shared" si="11"/>
        <v>156</v>
      </c>
      <c r="J72" s="16">
        <f t="shared" si="14"/>
        <v>3</v>
      </c>
    </row>
    <row r="73" spans="2:10">
      <c r="B73" s="15" t="s">
        <v>155</v>
      </c>
      <c r="C73" s="16" t="s">
        <v>650</v>
      </c>
      <c r="G73" s="15" t="s">
        <v>189</v>
      </c>
      <c r="H73" s="2">
        <f t="shared" si="10"/>
        <v>157</v>
      </c>
      <c r="I73" s="2">
        <f t="shared" si="11"/>
        <v>159</v>
      </c>
      <c r="J73" s="16">
        <f t="shared" si="14"/>
        <v>3</v>
      </c>
    </row>
    <row r="74" spans="2:10">
      <c r="B74" s="15" t="s">
        <v>156</v>
      </c>
      <c r="C74" s="16" t="s">
        <v>648</v>
      </c>
      <c r="G74" s="15" t="s">
        <v>190</v>
      </c>
      <c r="H74" s="2">
        <f t="shared" si="10"/>
        <v>160</v>
      </c>
      <c r="I74" s="2">
        <f t="shared" si="11"/>
        <v>162</v>
      </c>
      <c r="J74" s="16">
        <f t="shared" si="14"/>
        <v>3</v>
      </c>
    </row>
    <row r="75" spans="2:10">
      <c r="B75" s="15" t="s">
        <v>156</v>
      </c>
      <c r="C75" s="16" t="s">
        <v>649</v>
      </c>
      <c r="G75" s="15" t="s">
        <v>192</v>
      </c>
      <c r="H75" s="2">
        <f t="shared" si="10"/>
        <v>163</v>
      </c>
      <c r="I75" s="2">
        <f t="shared" si="11"/>
        <v>164</v>
      </c>
      <c r="J75" s="16">
        <f t="shared" si="14"/>
        <v>2</v>
      </c>
    </row>
    <row r="76" spans="2:10">
      <c r="B76" s="15" t="s">
        <v>156</v>
      </c>
      <c r="C76" s="16" t="s">
        <v>650</v>
      </c>
      <c r="G76" s="15" t="s">
        <v>193</v>
      </c>
      <c r="H76" s="2">
        <f t="shared" si="10"/>
        <v>165</v>
      </c>
      <c r="I76" s="2">
        <f t="shared" si="11"/>
        <v>166</v>
      </c>
      <c r="J76" s="16">
        <f t="shared" si="14"/>
        <v>2</v>
      </c>
    </row>
    <row r="77" spans="2:10">
      <c r="B77" s="15" t="s">
        <v>157</v>
      </c>
      <c r="C77" s="16" t="s">
        <v>648</v>
      </c>
      <c r="G77" s="15" t="s">
        <v>194</v>
      </c>
      <c r="H77" s="2">
        <f t="shared" si="10"/>
        <v>167</v>
      </c>
      <c r="I77" s="2">
        <f t="shared" si="11"/>
        <v>168</v>
      </c>
      <c r="J77" s="16">
        <f t="shared" si="14"/>
        <v>2</v>
      </c>
    </row>
    <row r="78" spans="2:10">
      <c r="B78" s="15" t="s">
        <v>157</v>
      </c>
      <c r="C78" s="16" t="s">
        <v>649</v>
      </c>
      <c r="G78" s="15" t="s">
        <v>116</v>
      </c>
      <c r="H78" s="2">
        <f t="shared" si="10"/>
        <v>169</v>
      </c>
      <c r="I78" s="2">
        <f t="shared" si="11"/>
        <v>170</v>
      </c>
      <c r="J78" s="16">
        <f t="shared" si="14"/>
        <v>2</v>
      </c>
    </row>
    <row r="79" spans="2:10">
      <c r="B79" s="15" t="s">
        <v>157</v>
      </c>
      <c r="C79" s="16" t="s">
        <v>650</v>
      </c>
      <c r="G79" s="15" t="s">
        <v>117</v>
      </c>
      <c r="H79" s="2">
        <f t="shared" si="10"/>
        <v>171</v>
      </c>
      <c r="I79" s="2">
        <f t="shared" si="11"/>
        <v>172</v>
      </c>
      <c r="J79" s="16">
        <f t="shared" si="14"/>
        <v>2</v>
      </c>
    </row>
    <row r="80" spans="2:10">
      <c r="B80" s="15" t="s">
        <v>158</v>
      </c>
      <c r="C80" s="16" t="s">
        <v>648</v>
      </c>
      <c r="G80" s="15" t="s">
        <v>206</v>
      </c>
      <c r="H80" s="2">
        <f t="shared" si="10"/>
        <v>173</v>
      </c>
      <c r="I80" s="2">
        <f t="shared" si="11"/>
        <v>174</v>
      </c>
      <c r="J80" s="16">
        <f t="shared" si="14"/>
        <v>2</v>
      </c>
    </row>
    <row r="81" spans="2:21">
      <c r="B81" s="15" t="s">
        <v>158</v>
      </c>
      <c r="C81" s="16" t="s">
        <v>649</v>
      </c>
      <c r="G81" s="15" t="s">
        <v>202</v>
      </c>
      <c r="H81" s="2">
        <f t="shared" si="10"/>
        <v>175</v>
      </c>
      <c r="I81" s="2">
        <f t="shared" si="11"/>
        <v>178</v>
      </c>
      <c r="J81" s="16">
        <f t="shared" si="14"/>
        <v>4</v>
      </c>
    </row>
    <row r="82" spans="2:21">
      <c r="B82" s="15" t="s">
        <v>158</v>
      </c>
      <c r="C82" s="16" t="s">
        <v>650</v>
      </c>
      <c r="G82" s="15" t="s">
        <v>203</v>
      </c>
      <c r="H82" s="2">
        <f t="shared" ref="H82:H115" si="15">MATCH(G82,$B$20:$B$313,0)-1</f>
        <v>179</v>
      </c>
      <c r="I82" s="2">
        <f t="shared" ref="I82:I115" si="16">MATCH(G82,$B$20:$B$313,1)-1</f>
        <v>182</v>
      </c>
      <c r="J82" s="16">
        <f t="shared" si="14"/>
        <v>4</v>
      </c>
    </row>
    <row r="83" spans="2:21">
      <c r="B83" s="15" t="s">
        <v>159</v>
      </c>
      <c r="C83" s="16" t="s">
        <v>648</v>
      </c>
      <c r="G83" s="15" t="s">
        <v>204</v>
      </c>
      <c r="H83" s="2">
        <f t="shared" si="15"/>
        <v>183</v>
      </c>
      <c r="I83" s="2">
        <f t="shared" si="16"/>
        <v>186</v>
      </c>
      <c r="J83" s="16">
        <f t="shared" si="14"/>
        <v>4</v>
      </c>
    </row>
    <row r="84" spans="2:21">
      <c r="B84" s="15" t="s">
        <v>159</v>
      </c>
      <c r="C84" s="16" t="s">
        <v>649</v>
      </c>
      <c r="G84" s="15" t="s">
        <v>205</v>
      </c>
      <c r="H84" s="2">
        <f t="shared" si="15"/>
        <v>187</v>
      </c>
      <c r="I84" s="2">
        <f t="shared" si="16"/>
        <v>190</v>
      </c>
      <c r="J84" s="16">
        <f t="shared" ref="J84:J108" si="17">I84-H84+1</f>
        <v>4</v>
      </c>
    </row>
    <row r="85" spans="2:21">
      <c r="B85" s="15" t="s">
        <v>159</v>
      </c>
      <c r="C85" s="16" t="s">
        <v>650</v>
      </c>
      <c r="G85" s="15" t="s">
        <v>121</v>
      </c>
      <c r="H85" s="2">
        <f t="shared" si="15"/>
        <v>191</v>
      </c>
      <c r="I85" s="2">
        <f t="shared" si="16"/>
        <v>192</v>
      </c>
      <c r="J85" s="16">
        <f t="shared" si="17"/>
        <v>2</v>
      </c>
      <c r="O85" s="7"/>
      <c r="P85" s="7"/>
      <c r="Q85" s="7"/>
      <c r="R85" s="7"/>
      <c r="S85" s="7"/>
    </row>
    <row r="86" spans="2:21">
      <c r="B86" s="15" t="s">
        <v>160</v>
      </c>
      <c r="C86" s="16" t="s">
        <v>648</v>
      </c>
      <c r="G86" s="15" t="s">
        <v>199</v>
      </c>
      <c r="H86" s="2">
        <f t="shared" si="15"/>
        <v>193</v>
      </c>
      <c r="I86" s="2">
        <f t="shared" si="16"/>
        <v>195</v>
      </c>
      <c r="J86" s="16">
        <f t="shared" si="17"/>
        <v>3</v>
      </c>
      <c r="O86" s="4" t="s">
        <v>651</v>
      </c>
      <c r="P86" s="4" t="s">
        <v>652</v>
      </c>
      <c r="Q86" s="4" t="s">
        <v>653</v>
      </c>
      <c r="R86" s="4" t="s">
        <v>654</v>
      </c>
      <c r="S86" s="4" t="s">
        <v>655</v>
      </c>
    </row>
    <row r="87" spans="2:21">
      <c r="B87" s="15" t="s">
        <v>160</v>
      </c>
      <c r="C87" s="16" t="s">
        <v>649</v>
      </c>
      <c r="G87" s="15" t="s">
        <v>200</v>
      </c>
      <c r="H87" s="2">
        <f t="shared" si="15"/>
        <v>196</v>
      </c>
      <c r="I87" s="2">
        <f t="shared" si="16"/>
        <v>198</v>
      </c>
      <c r="J87" s="16">
        <f t="shared" si="17"/>
        <v>3</v>
      </c>
      <c r="O87" s="2">
        <v>1</v>
      </c>
      <c r="P87" s="2" t="s">
        <v>656</v>
      </c>
      <c r="Q87" s="2" t="s">
        <v>657</v>
      </c>
      <c r="R87" s="2" t="s">
        <v>658</v>
      </c>
      <c r="S87" s="31" t="b">
        <f>OR(Baseline!J3&gt;0.2)</f>
        <v>1</v>
      </c>
    </row>
    <row r="88" spans="2:21">
      <c r="B88" s="15" t="s">
        <v>160</v>
      </c>
      <c r="C88" s="16" t="s">
        <v>650</v>
      </c>
      <c r="G88" s="15" t="s">
        <v>201</v>
      </c>
      <c r="H88" s="2">
        <f t="shared" si="15"/>
        <v>199</v>
      </c>
      <c r="I88" s="2">
        <f t="shared" si="16"/>
        <v>201</v>
      </c>
      <c r="J88" s="16">
        <f t="shared" si="17"/>
        <v>3</v>
      </c>
      <c r="O88" s="2">
        <v>2</v>
      </c>
      <c r="P88" s="2" t="s">
        <v>659</v>
      </c>
      <c r="Q88" s="2" t="s">
        <v>660</v>
      </c>
      <c r="R88" s="2" t="s">
        <v>658</v>
      </c>
      <c r="S88" s="31" t="b">
        <f ca="1">OR(Baseline!J5&gt;0.12)</f>
        <v>0</v>
      </c>
    </row>
    <row r="89" spans="2:21">
      <c r="B89" s="15" t="s">
        <v>161</v>
      </c>
      <c r="C89" s="16" t="s">
        <v>648</v>
      </c>
      <c r="G89" s="15" t="s">
        <v>143</v>
      </c>
      <c r="H89" s="2">
        <f t="shared" si="15"/>
        <v>202</v>
      </c>
      <c r="I89" s="2">
        <f t="shared" si="16"/>
        <v>204</v>
      </c>
      <c r="J89" s="16">
        <f t="shared" si="17"/>
        <v>3</v>
      </c>
      <c r="O89" s="2">
        <v>3</v>
      </c>
      <c r="P89" s="2" t="s">
        <v>661</v>
      </c>
      <c r="Q89" s="2" t="s">
        <v>662</v>
      </c>
      <c r="R89" s="2" t="s">
        <v>663</v>
      </c>
      <c r="S89" s="31" t="b">
        <f>AND(Baseline!D24&gt;0,Baseline!D24&lt;50000)</f>
        <v>1</v>
      </c>
    </row>
    <row r="90" spans="2:21">
      <c r="B90" s="15" t="s">
        <v>161</v>
      </c>
      <c r="C90" s="16" t="s">
        <v>649</v>
      </c>
      <c r="G90" s="15" t="s">
        <v>144</v>
      </c>
      <c r="H90" s="2">
        <f t="shared" si="15"/>
        <v>205</v>
      </c>
      <c r="I90" s="2">
        <f t="shared" si="16"/>
        <v>207</v>
      </c>
      <c r="J90" s="16">
        <f t="shared" si="17"/>
        <v>3</v>
      </c>
      <c r="O90" s="2">
        <v>4</v>
      </c>
      <c r="P90" s="2" t="s">
        <v>664</v>
      </c>
      <c r="Q90" s="2" t="s">
        <v>665</v>
      </c>
      <c r="R90" s="2" t="s">
        <v>666</v>
      </c>
      <c r="S90" s="31" t="b">
        <f>OR(AND(Baseline!D24&gt;50000.01,Baseline!D24&lt;100000))</f>
        <v>0</v>
      </c>
    </row>
    <row r="91" spans="2:21">
      <c r="B91" s="15" t="s">
        <v>161</v>
      </c>
      <c r="C91" s="16" t="s">
        <v>650</v>
      </c>
      <c r="G91" s="15" t="s">
        <v>146</v>
      </c>
      <c r="H91" s="2">
        <f t="shared" si="15"/>
        <v>211</v>
      </c>
      <c r="I91" s="2">
        <f t="shared" si="16"/>
        <v>207</v>
      </c>
      <c r="J91" s="16">
        <f t="shared" si="17"/>
        <v>-3</v>
      </c>
      <c r="O91" s="2">
        <v>5</v>
      </c>
      <c r="P91" s="2" t="s">
        <v>667</v>
      </c>
      <c r="Q91" s="2" t="s">
        <v>668</v>
      </c>
      <c r="R91" s="2" t="s">
        <v>274</v>
      </c>
      <c r="S91" s="31" t="b">
        <f>OR(Baseline!D24&gt;100000.01)</f>
        <v>0</v>
      </c>
    </row>
    <row r="92" spans="2:21">
      <c r="B92" s="15" t="s">
        <v>162</v>
      </c>
      <c r="C92" s="16" t="s">
        <v>648</v>
      </c>
      <c r="G92" s="15" t="s">
        <v>145</v>
      </c>
      <c r="H92" s="2">
        <f t="shared" si="15"/>
        <v>208</v>
      </c>
      <c r="I92" s="2">
        <f t="shared" si="16"/>
        <v>210</v>
      </c>
      <c r="J92" s="16">
        <f t="shared" si="17"/>
        <v>3</v>
      </c>
      <c r="O92" s="2">
        <v>6</v>
      </c>
      <c r="P92" s="2" t="s">
        <v>661</v>
      </c>
      <c r="Q92" s="2" t="s">
        <v>669</v>
      </c>
      <c r="R92" s="2" t="s">
        <v>670</v>
      </c>
      <c r="S92" s="31" t="b">
        <f>AND(Baseline!D24&gt;0,Baseline!D24&lt;50000)</f>
        <v>1</v>
      </c>
    </row>
    <row r="93" spans="2:21">
      <c r="B93" s="15" t="s">
        <v>162</v>
      </c>
      <c r="C93" s="16" t="s">
        <v>649</v>
      </c>
      <c r="G93" s="15" t="s">
        <v>210</v>
      </c>
      <c r="H93" s="2">
        <f t="shared" si="15"/>
        <v>214</v>
      </c>
      <c r="I93" s="2">
        <f t="shared" si="16"/>
        <v>215</v>
      </c>
      <c r="J93" s="16">
        <f t="shared" si="17"/>
        <v>2</v>
      </c>
      <c r="O93" s="2">
        <v>7</v>
      </c>
      <c r="P93" s="2" t="s">
        <v>671</v>
      </c>
      <c r="Q93" s="2" t="s">
        <v>672</v>
      </c>
      <c r="R93" s="2" t="s">
        <v>274</v>
      </c>
      <c r="S93" s="31" t="b">
        <f>OR(Baseline!D24&gt;50000.01)</f>
        <v>0</v>
      </c>
    </row>
    <row r="94" spans="2:21">
      <c r="B94" s="15" t="s">
        <v>162</v>
      </c>
      <c r="C94" s="16" t="s">
        <v>650</v>
      </c>
      <c r="G94" s="15" t="s">
        <v>211</v>
      </c>
      <c r="H94" s="2">
        <f t="shared" si="15"/>
        <v>216</v>
      </c>
      <c r="I94" s="2">
        <f t="shared" si="16"/>
        <v>217</v>
      </c>
      <c r="J94" s="16">
        <f t="shared" si="17"/>
        <v>2</v>
      </c>
      <c r="O94" s="1"/>
      <c r="P94" s="1"/>
      <c r="Q94" s="1"/>
      <c r="R94" s="1"/>
      <c r="S94" s="1"/>
    </row>
    <row r="95" spans="2:21">
      <c r="B95" s="15" t="s">
        <v>163</v>
      </c>
      <c r="C95" s="16" t="s">
        <v>648</v>
      </c>
      <c r="G95" s="15" t="s">
        <v>212</v>
      </c>
      <c r="H95" s="2">
        <f t="shared" si="15"/>
        <v>218</v>
      </c>
      <c r="I95" s="2">
        <f t="shared" si="16"/>
        <v>219</v>
      </c>
      <c r="J95" s="16">
        <f t="shared" si="17"/>
        <v>2</v>
      </c>
      <c r="O95" s="7"/>
      <c r="P95" s="7"/>
      <c r="Q95" s="7"/>
      <c r="R95" s="7"/>
      <c r="S95" s="7"/>
      <c r="T95" s="7"/>
      <c r="U95" s="7"/>
    </row>
    <row r="96" spans="2:21">
      <c r="B96" s="15" t="s">
        <v>163</v>
      </c>
      <c r="C96" s="16" t="s">
        <v>649</v>
      </c>
      <c r="G96" s="15" t="s">
        <v>213</v>
      </c>
      <c r="H96" s="2">
        <f t="shared" si="15"/>
        <v>220</v>
      </c>
      <c r="I96" s="2">
        <f t="shared" si="16"/>
        <v>221</v>
      </c>
      <c r="J96" s="16">
        <f>I96-H96+1</f>
        <v>2</v>
      </c>
      <c r="O96" s="20" t="s">
        <v>655</v>
      </c>
      <c r="P96" s="20" t="s">
        <v>673</v>
      </c>
      <c r="Q96" s="20" t="s">
        <v>674</v>
      </c>
      <c r="R96" s="20" t="s">
        <v>675</v>
      </c>
      <c r="S96" s="20" t="s">
        <v>676</v>
      </c>
      <c r="T96" s="20" t="s">
        <v>677</v>
      </c>
      <c r="U96" s="20" t="s">
        <v>677</v>
      </c>
    </row>
    <row r="97" spans="2:21">
      <c r="B97" s="15" t="s">
        <v>163</v>
      </c>
      <c r="C97" s="16" t="s">
        <v>650</v>
      </c>
      <c r="G97" s="15" t="s">
        <v>283</v>
      </c>
      <c r="H97" s="2">
        <f>MATCH(G97,$B$20:$B$313,0)-1</f>
        <v>222</v>
      </c>
      <c r="I97" s="2">
        <f t="shared" ref="I97:I98" si="18">MATCH(G97,$B$20:$B$313,1)-1</f>
        <v>225</v>
      </c>
      <c r="J97" s="16">
        <f t="shared" ref="J97:J98" si="19">I97-H97+1</f>
        <v>4</v>
      </c>
      <c r="O97" s="21" t="b">
        <f>OR(Baseline!E24=0)</f>
        <v>0</v>
      </c>
      <c r="P97" s="21"/>
      <c r="Q97" s="21" t="s">
        <v>678</v>
      </c>
      <c r="R97" s="21" t="s">
        <v>274</v>
      </c>
      <c r="S97" s="21" t="s">
        <v>274</v>
      </c>
      <c r="T97" s="21" t="s">
        <v>679</v>
      </c>
      <c r="U97" s="21" t="s">
        <v>680</v>
      </c>
    </row>
    <row r="98" spans="2:21">
      <c r="B98" s="15" t="s">
        <v>164</v>
      </c>
      <c r="C98" s="16" t="s">
        <v>648</v>
      </c>
      <c r="G98" s="15" t="s">
        <v>284</v>
      </c>
      <c r="H98" s="2">
        <f t="shared" si="15"/>
        <v>226</v>
      </c>
      <c r="I98" s="2">
        <f t="shared" si="18"/>
        <v>229</v>
      </c>
      <c r="J98" s="16">
        <f t="shared" si="19"/>
        <v>4</v>
      </c>
      <c r="O98" s="21" t="b">
        <f ca="1">AND(S87=TRUE,S88=TRUE,S89=TRUE)</f>
        <v>0</v>
      </c>
      <c r="P98" s="21" t="s">
        <v>681</v>
      </c>
      <c r="Q98" s="21" t="s">
        <v>682</v>
      </c>
      <c r="R98" s="21" t="s">
        <v>274</v>
      </c>
      <c r="S98" s="21" t="s">
        <v>274</v>
      </c>
      <c r="T98" s="21" t="s">
        <v>679</v>
      </c>
      <c r="U98" s="21" t="s">
        <v>680</v>
      </c>
    </row>
    <row r="99" spans="2:21" ht="30">
      <c r="B99" s="15" t="s">
        <v>164</v>
      </c>
      <c r="C99" s="16" t="s">
        <v>649</v>
      </c>
      <c r="G99" s="15" t="s">
        <v>215</v>
      </c>
      <c r="H99" s="2">
        <f t="shared" si="15"/>
        <v>230</v>
      </c>
      <c r="I99" s="2">
        <f t="shared" si="16"/>
        <v>231</v>
      </c>
      <c r="J99" s="16">
        <f t="shared" si="17"/>
        <v>2</v>
      </c>
      <c r="O99" s="21" t="b">
        <f ca="1">AND(S87=TRUE,S88=TRUE,S90=TRUE)</f>
        <v>0</v>
      </c>
      <c r="P99" s="21" t="s">
        <v>683</v>
      </c>
      <c r="Q99" s="21" t="s">
        <v>684</v>
      </c>
      <c r="R99" s="22" t="s">
        <v>685</v>
      </c>
      <c r="S99" s="21" t="s">
        <v>274</v>
      </c>
      <c r="T99" s="22" t="s">
        <v>686</v>
      </c>
      <c r="U99" s="21" t="s">
        <v>274</v>
      </c>
    </row>
    <row r="100" spans="2:21">
      <c r="B100" s="15" t="s">
        <v>164</v>
      </c>
      <c r="C100" s="16" t="s">
        <v>650</v>
      </c>
      <c r="G100" s="15" t="s">
        <v>285</v>
      </c>
      <c r="H100" s="2">
        <f t="shared" si="15"/>
        <v>232</v>
      </c>
      <c r="I100" s="2">
        <f t="shared" si="16"/>
        <v>233</v>
      </c>
      <c r="J100" s="16">
        <f>I100-H100+1</f>
        <v>2</v>
      </c>
      <c r="O100" s="21"/>
      <c r="P100" s="21"/>
      <c r="Q100" s="21"/>
      <c r="R100" s="22"/>
      <c r="S100" s="21"/>
      <c r="T100" s="22"/>
      <c r="U100" s="21"/>
    </row>
    <row r="101" spans="2:21" ht="30">
      <c r="B101" s="15" t="s">
        <v>165</v>
      </c>
      <c r="C101" s="16" t="s">
        <v>648</v>
      </c>
      <c r="G101" s="15" t="s">
        <v>286</v>
      </c>
      <c r="H101" s="2">
        <f t="shared" si="15"/>
        <v>234</v>
      </c>
      <c r="I101" s="2">
        <f t="shared" si="16"/>
        <v>235</v>
      </c>
      <c r="J101" s="16">
        <f>I101-H101+1</f>
        <v>2</v>
      </c>
      <c r="O101" s="21" t="b">
        <f ca="1">AND(S87=TRUE,S88=TRUE,S91=TRUE)</f>
        <v>0</v>
      </c>
      <c r="P101" s="21" t="s">
        <v>687</v>
      </c>
      <c r="Q101" s="21" t="s">
        <v>688</v>
      </c>
      <c r="R101" s="22" t="s">
        <v>685</v>
      </c>
      <c r="S101" s="22" t="s">
        <v>689</v>
      </c>
      <c r="T101" s="22" t="s">
        <v>686</v>
      </c>
      <c r="U101" s="22" t="s">
        <v>690</v>
      </c>
    </row>
    <row r="102" spans="2:21">
      <c r="B102" s="15" t="s">
        <v>165</v>
      </c>
      <c r="C102" s="16" t="s">
        <v>649</v>
      </c>
      <c r="G102" s="15" t="s">
        <v>287</v>
      </c>
      <c r="H102" s="2">
        <f t="shared" si="15"/>
        <v>236</v>
      </c>
      <c r="I102" s="2">
        <f t="shared" si="16"/>
        <v>237</v>
      </c>
      <c r="J102" s="16">
        <f t="shared" si="17"/>
        <v>2</v>
      </c>
      <c r="O102" s="21"/>
      <c r="P102" s="21"/>
      <c r="Q102" s="21"/>
      <c r="R102" s="22"/>
      <c r="S102" s="22"/>
      <c r="T102" s="22"/>
      <c r="U102" s="22"/>
    </row>
    <row r="103" spans="2:21" ht="30">
      <c r="B103" s="15" t="s">
        <v>165</v>
      </c>
      <c r="C103" s="16" t="s">
        <v>650</v>
      </c>
      <c r="G103" s="15" t="s">
        <v>123</v>
      </c>
      <c r="H103" s="2">
        <f t="shared" si="15"/>
        <v>240</v>
      </c>
      <c r="I103" s="2">
        <f t="shared" si="16"/>
        <v>237</v>
      </c>
      <c r="J103" s="16">
        <f t="shared" si="17"/>
        <v>-2</v>
      </c>
      <c r="O103" s="21" t="b">
        <f ca="1">AND(OR(S87=FALSE,S88=FALSE),S92=TRUE)</f>
        <v>1</v>
      </c>
      <c r="P103" s="21" t="s">
        <v>691</v>
      </c>
      <c r="Q103" s="21" t="s">
        <v>692</v>
      </c>
      <c r="R103" s="22" t="s">
        <v>693</v>
      </c>
      <c r="S103" s="21" t="s">
        <v>689</v>
      </c>
      <c r="T103" s="22" t="s">
        <v>694</v>
      </c>
      <c r="U103" s="22" t="s">
        <v>695</v>
      </c>
    </row>
    <row r="104" spans="2:21">
      <c r="B104" s="15" t="s">
        <v>166</v>
      </c>
      <c r="C104" s="16" t="s">
        <v>648</v>
      </c>
      <c r="G104" s="15" t="s">
        <v>124</v>
      </c>
      <c r="H104" s="2">
        <f t="shared" si="15"/>
        <v>244</v>
      </c>
      <c r="I104" s="2">
        <f t="shared" si="16"/>
        <v>237</v>
      </c>
      <c r="J104" s="16">
        <f t="shared" si="17"/>
        <v>-6</v>
      </c>
      <c r="O104" s="21"/>
      <c r="P104" s="21"/>
      <c r="Q104" s="21"/>
      <c r="R104" s="22" t="s">
        <v>696</v>
      </c>
      <c r="S104" s="21"/>
      <c r="T104" s="22"/>
      <c r="U104" s="22"/>
    </row>
    <row r="105" spans="2:21">
      <c r="B105" s="15" t="s">
        <v>166</v>
      </c>
      <c r="C105" s="16" t="s">
        <v>649</v>
      </c>
      <c r="G105" s="15" t="s">
        <v>125</v>
      </c>
      <c r="H105" s="2">
        <f t="shared" si="15"/>
        <v>248</v>
      </c>
      <c r="I105" s="2">
        <f t="shared" si="16"/>
        <v>237</v>
      </c>
      <c r="J105" s="16">
        <f t="shared" si="17"/>
        <v>-10</v>
      </c>
      <c r="O105" s="21"/>
      <c r="P105" s="21"/>
      <c r="Q105" s="21"/>
      <c r="R105" s="22" t="s">
        <v>697</v>
      </c>
      <c r="S105" s="21"/>
      <c r="T105" s="22"/>
      <c r="U105" s="22"/>
    </row>
    <row r="106" spans="2:21">
      <c r="B106" s="15" t="s">
        <v>166</v>
      </c>
      <c r="C106" s="16" t="s">
        <v>650</v>
      </c>
      <c r="G106" s="15" t="s">
        <v>126</v>
      </c>
      <c r="H106" s="2">
        <f t="shared" si="15"/>
        <v>252</v>
      </c>
      <c r="I106" s="2">
        <f t="shared" si="16"/>
        <v>237</v>
      </c>
      <c r="J106" s="16">
        <f t="shared" si="17"/>
        <v>-14</v>
      </c>
      <c r="O106" s="21"/>
      <c r="P106" s="21"/>
      <c r="Q106" s="21"/>
      <c r="R106" s="22" t="s">
        <v>698</v>
      </c>
      <c r="S106" s="21"/>
      <c r="T106" s="22"/>
      <c r="U106" s="22"/>
    </row>
    <row r="107" spans="2:21">
      <c r="B107" s="15" t="s">
        <v>167</v>
      </c>
      <c r="C107" s="16" t="s">
        <v>648</v>
      </c>
      <c r="G107" s="15" t="s">
        <v>219</v>
      </c>
      <c r="H107" s="2">
        <f t="shared" si="15"/>
        <v>238</v>
      </c>
      <c r="I107" s="2">
        <f t="shared" si="16"/>
        <v>239</v>
      </c>
      <c r="J107" s="16">
        <f t="shared" si="17"/>
        <v>2</v>
      </c>
      <c r="O107" s="21"/>
      <c r="P107" s="21"/>
      <c r="Q107" s="21"/>
      <c r="R107" s="22" t="s">
        <v>699</v>
      </c>
      <c r="S107" s="21"/>
      <c r="T107" s="22"/>
      <c r="U107" s="22"/>
    </row>
    <row r="108" spans="2:21">
      <c r="B108" s="15" t="s">
        <v>167</v>
      </c>
      <c r="C108" s="16" t="s">
        <v>649</v>
      </c>
      <c r="G108" s="15" t="s">
        <v>147</v>
      </c>
      <c r="H108" s="2">
        <f t="shared" si="15"/>
        <v>256</v>
      </c>
      <c r="I108" s="2">
        <f t="shared" si="16"/>
        <v>258</v>
      </c>
      <c r="J108" s="16">
        <f t="shared" si="17"/>
        <v>3</v>
      </c>
      <c r="O108" s="21"/>
      <c r="P108" s="21"/>
      <c r="Q108" s="21"/>
      <c r="R108" s="22" t="s">
        <v>700</v>
      </c>
      <c r="S108" s="21"/>
      <c r="T108" s="22"/>
      <c r="U108" s="22"/>
    </row>
    <row r="109" spans="2:21">
      <c r="B109" s="15" t="s">
        <v>167</v>
      </c>
      <c r="C109" s="16" t="s">
        <v>650</v>
      </c>
      <c r="G109" s="68" t="s">
        <v>701</v>
      </c>
      <c r="H109" s="2">
        <f t="shared" si="15"/>
        <v>259</v>
      </c>
      <c r="I109" s="2">
        <f t="shared" si="16"/>
        <v>261</v>
      </c>
      <c r="J109" s="16">
        <f t="shared" ref="J109:J121" si="20">I109-H109+1</f>
        <v>3</v>
      </c>
      <c r="O109" s="21"/>
      <c r="P109" s="21"/>
      <c r="Q109" s="21"/>
      <c r="R109" s="22" t="s">
        <v>702</v>
      </c>
      <c r="S109" s="21"/>
      <c r="T109" s="22"/>
      <c r="U109" s="22"/>
    </row>
    <row r="110" spans="2:21">
      <c r="B110" s="15" t="s">
        <v>168</v>
      </c>
      <c r="C110" s="16" t="s">
        <v>648</v>
      </c>
      <c r="G110" s="15" t="s">
        <v>148</v>
      </c>
      <c r="H110" s="2">
        <f t="shared" si="15"/>
        <v>262</v>
      </c>
      <c r="I110" s="2">
        <f t="shared" si="16"/>
        <v>264</v>
      </c>
      <c r="J110" s="16">
        <f t="shared" si="20"/>
        <v>3</v>
      </c>
      <c r="O110" s="21"/>
      <c r="P110" s="21"/>
      <c r="Q110" s="21"/>
      <c r="R110" s="22" t="s">
        <v>703</v>
      </c>
      <c r="S110" s="21"/>
      <c r="T110" s="22"/>
      <c r="U110" s="22"/>
    </row>
    <row r="111" spans="2:21">
      <c r="B111" s="15" t="s">
        <v>168</v>
      </c>
      <c r="C111" s="16" t="s">
        <v>649</v>
      </c>
      <c r="G111" s="15" t="s">
        <v>149</v>
      </c>
      <c r="H111" s="2">
        <f t="shared" si="15"/>
        <v>265</v>
      </c>
      <c r="I111" s="2">
        <f t="shared" si="16"/>
        <v>267</v>
      </c>
      <c r="J111" s="16">
        <f t="shared" si="20"/>
        <v>3</v>
      </c>
      <c r="O111" s="21"/>
      <c r="P111" s="21"/>
      <c r="Q111" s="21"/>
      <c r="R111" s="22" t="s">
        <v>704</v>
      </c>
      <c r="S111" s="21"/>
      <c r="T111" s="22"/>
      <c r="U111" s="22"/>
    </row>
    <row r="112" spans="2:21">
      <c r="B112" s="15" t="s">
        <v>168</v>
      </c>
      <c r="C112" s="16" t="s">
        <v>650</v>
      </c>
      <c r="G112" s="15" t="s">
        <v>108</v>
      </c>
      <c r="H112" s="2">
        <f t="shared" si="15"/>
        <v>268</v>
      </c>
      <c r="I112" s="2">
        <f t="shared" si="16"/>
        <v>269</v>
      </c>
      <c r="J112" s="16">
        <f t="shared" si="20"/>
        <v>2</v>
      </c>
      <c r="O112" s="21"/>
      <c r="P112" s="21"/>
      <c r="Q112" s="21"/>
      <c r="R112" s="22" t="s">
        <v>705</v>
      </c>
      <c r="S112" s="21"/>
      <c r="T112" s="22"/>
      <c r="U112" s="22"/>
    </row>
    <row r="113" spans="2:21">
      <c r="B113" s="15" t="s">
        <v>169</v>
      </c>
      <c r="C113" s="16" t="s">
        <v>648</v>
      </c>
      <c r="G113" s="15" t="s">
        <v>109</v>
      </c>
      <c r="H113" s="2">
        <f t="shared" si="15"/>
        <v>270</v>
      </c>
      <c r="I113" s="2">
        <f t="shared" si="16"/>
        <v>271</v>
      </c>
      <c r="J113" s="16">
        <f t="shared" si="20"/>
        <v>2</v>
      </c>
      <c r="O113" s="21"/>
      <c r="P113" s="21"/>
      <c r="Q113" s="21"/>
      <c r="R113" s="22" t="s">
        <v>706</v>
      </c>
      <c r="S113" s="21"/>
      <c r="T113" s="22"/>
      <c r="U113" s="22"/>
    </row>
    <row r="114" spans="2:21" ht="30">
      <c r="B114" s="15" t="s">
        <v>169</v>
      </c>
      <c r="C114" s="16" t="s">
        <v>649</v>
      </c>
      <c r="G114" s="15" t="s">
        <v>110</v>
      </c>
      <c r="H114" s="2">
        <f t="shared" si="15"/>
        <v>272</v>
      </c>
      <c r="I114" s="2">
        <f t="shared" si="16"/>
        <v>273</v>
      </c>
      <c r="J114" s="16">
        <f t="shared" si="20"/>
        <v>2</v>
      </c>
      <c r="O114" s="21" t="b">
        <f ca="1">AND(OR(S87=FALSE,S88=FALSE),S93=TRUE)</f>
        <v>0</v>
      </c>
      <c r="P114" s="21" t="s">
        <v>707</v>
      </c>
      <c r="Q114" s="21" t="s">
        <v>708</v>
      </c>
      <c r="R114" s="22" t="s">
        <v>693</v>
      </c>
      <c r="S114" s="22" t="s">
        <v>689</v>
      </c>
      <c r="T114" s="22" t="s">
        <v>694</v>
      </c>
      <c r="U114" s="22" t="s">
        <v>690</v>
      </c>
    </row>
    <row r="115" spans="2:21">
      <c r="B115" s="15" t="s">
        <v>169</v>
      </c>
      <c r="C115" s="16" t="s">
        <v>650</v>
      </c>
      <c r="G115" s="15" t="s">
        <v>106</v>
      </c>
      <c r="H115" s="2">
        <f t="shared" si="15"/>
        <v>274</v>
      </c>
      <c r="I115" s="2">
        <f t="shared" si="16"/>
        <v>275</v>
      </c>
      <c r="J115" s="16">
        <f t="shared" si="20"/>
        <v>2</v>
      </c>
      <c r="O115" s="21"/>
      <c r="P115" s="21"/>
      <c r="Q115" s="21"/>
      <c r="R115" s="22" t="s">
        <v>696</v>
      </c>
      <c r="S115" s="22"/>
      <c r="T115" s="22"/>
      <c r="U115" s="22"/>
    </row>
    <row r="116" spans="2:21">
      <c r="B116" s="15" t="s">
        <v>170</v>
      </c>
      <c r="C116" s="16" t="s">
        <v>648</v>
      </c>
      <c r="G116" s="15" t="s">
        <v>134</v>
      </c>
      <c r="H116" s="2">
        <f t="shared" ref="H116:H121" si="21">MATCH(G116,$B$20:$B$313,0)-1</f>
        <v>276</v>
      </c>
      <c r="I116" s="2">
        <f t="shared" ref="I116:I121" si="22">MATCH(G116,$B$20:$B$313,1)-1</f>
        <v>277</v>
      </c>
      <c r="J116" s="16">
        <f t="shared" si="20"/>
        <v>2</v>
      </c>
      <c r="O116" s="21"/>
      <c r="P116" s="21"/>
      <c r="Q116" s="21"/>
      <c r="R116" s="22" t="s">
        <v>697</v>
      </c>
      <c r="S116" s="22"/>
      <c r="T116" s="22"/>
      <c r="U116" s="22"/>
    </row>
    <row r="117" spans="2:21">
      <c r="B117" s="15" t="s">
        <v>170</v>
      </c>
      <c r="C117" s="16" t="s">
        <v>649</v>
      </c>
      <c r="G117" s="15" t="s">
        <v>131</v>
      </c>
      <c r="H117" s="2">
        <f t="shared" si="21"/>
        <v>278</v>
      </c>
      <c r="I117" s="2">
        <f t="shared" si="22"/>
        <v>281</v>
      </c>
      <c r="J117" s="16">
        <f t="shared" si="20"/>
        <v>4</v>
      </c>
      <c r="O117" s="21"/>
      <c r="P117" s="21"/>
      <c r="Q117" s="21"/>
      <c r="R117" s="22" t="s">
        <v>698</v>
      </c>
      <c r="S117" s="22"/>
      <c r="T117" s="22"/>
      <c r="U117" s="22"/>
    </row>
    <row r="118" spans="2:21">
      <c r="B118" s="15" t="s">
        <v>170</v>
      </c>
      <c r="C118" s="16" t="s">
        <v>650</v>
      </c>
      <c r="G118" s="15" t="s">
        <v>132</v>
      </c>
      <c r="H118" s="2">
        <f t="shared" si="21"/>
        <v>282</v>
      </c>
      <c r="I118" s="2">
        <f t="shared" si="22"/>
        <v>285</v>
      </c>
      <c r="J118" s="16">
        <f t="shared" si="20"/>
        <v>4</v>
      </c>
      <c r="O118" s="21"/>
      <c r="P118" s="21"/>
      <c r="Q118" s="21"/>
      <c r="R118" s="22" t="s">
        <v>699</v>
      </c>
      <c r="S118" s="22"/>
      <c r="T118" s="22"/>
      <c r="U118" s="22"/>
    </row>
    <row r="119" spans="2:21">
      <c r="B119" s="15" t="s">
        <v>171</v>
      </c>
      <c r="C119" s="16" t="s">
        <v>648</v>
      </c>
      <c r="G119" s="15" t="s">
        <v>133</v>
      </c>
      <c r="H119" s="2">
        <f t="shared" si="21"/>
        <v>286</v>
      </c>
      <c r="I119" s="2">
        <f t="shared" si="22"/>
        <v>289</v>
      </c>
      <c r="J119" s="16">
        <f t="shared" si="20"/>
        <v>4</v>
      </c>
      <c r="O119" s="21"/>
      <c r="P119" s="21"/>
      <c r="Q119" s="21"/>
      <c r="R119" s="22" t="s">
        <v>700</v>
      </c>
      <c r="S119" s="22"/>
      <c r="T119" s="22"/>
      <c r="U119" s="22"/>
    </row>
    <row r="120" spans="2:21">
      <c r="B120" s="15" t="s">
        <v>171</v>
      </c>
      <c r="C120" s="16" t="s">
        <v>649</v>
      </c>
      <c r="G120" s="15" t="s">
        <v>196</v>
      </c>
      <c r="H120" s="2">
        <f t="shared" si="21"/>
        <v>290</v>
      </c>
      <c r="I120" s="2">
        <f t="shared" si="22"/>
        <v>291</v>
      </c>
      <c r="J120" s="16">
        <f t="shared" si="20"/>
        <v>2</v>
      </c>
      <c r="O120" s="21"/>
      <c r="P120" s="21"/>
      <c r="Q120" s="21"/>
      <c r="R120" s="22" t="s">
        <v>702</v>
      </c>
      <c r="S120" s="22"/>
      <c r="T120" s="22"/>
      <c r="U120" s="22"/>
    </row>
    <row r="121" spans="2:21">
      <c r="B121" s="15" t="s">
        <v>171</v>
      </c>
      <c r="C121" s="16" t="s">
        <v>650</v>
      </c>
      <c r="G121" s="15" t="s">
        <v>197</v>
      </c>
      <c r="H121" s="2">
        <f t="shared" si="21"/>
        <v>292</v>
      </c>
      <c r="I121" s="2">
        <f t="shared" si="22"/>
        <v>293</v>
      </c>
      <c r="J121" s="16">
        <f t="shared" si="20"/>
        <v>2</v>
      </c>
      <c r="O121" s="21"/>
      <c r="P121" s="21"/>
      <c r="Q121" s="21"/>
      <c r="R121" s="22" t="s">
        <v>703</v>
      </c>
      <c r="S121" s="22"/>
      <c r="T121" s="22"/>
      <c r="U121" s="22"/>
    </row>
    <row r="122" spans="2:21">
      <c r="B122" s="15" t="s">
        <v>172</v>
      </c>
      <c r="C122" s="16" t="s">
        <v>648</v>
      </c>
      <c r="O122" s="21"/>
      <c r="P122" s="21"/>
      <c r="Q122" s="21"/>
      <c r="R122" s="22" t="s">
        <v>704</v>
      </c>
      <c r="S122" s="22"/>
      <c r="T122" s="22"/>
      <c r="U122" s="22"/>
    </row>
    <row r="123" spans="2:21">
      <c r="B123" s="15" t="s">
        <v>172</v>
      </c>
      <c r="C123" s="16" t="s">
        <v>649</v>
      </c>
      <c r="O123" s="21"/>
      <c r="P123" s="21"/>
      <c r="Q123" s="21"/>
      <c r="R123" s="21" t="s">
        <v>705</v>
      </c>
      <c r="S123" s="22"/>
      <c r="T123" s="22"/>
      <c r="U123" s="22"/>
    </row>
    <row r="124" spans="2:21">
      <c r="B124" s="15" t="s">
        <v>172</v>
      </c>
      <c r="C124" s="16" t="s">
        <v>650</v>
      </c>
      <c r="O124" s="21"/>
      <c r="P124" s="21"/>
      <c r="Q124" s="21"/>
      <c r="R124" s="21" t="s">
        <v>706</v>
      </c>
      <c r="S124" s="22"/>
      <c r="T124" s="22"/>
      <c r="U124" s="22"/>
    </row>
    <row r="125" spans="2:21">
      <c r="B125" s="15" t="s">
        <v>173</v>
      </c>
      <c r="C125" s="16" t="s">
        <v>648</v>
      </c>
    </row>
    <row r="126" spans="2:21">
      <c r="B126" s="15" t="s">
        <v>173</v>
      </c>
      <c r="C126" s="16" t="s">
        <v>649</v>
      </c>
    </row>
    <row r="127" spans="2:21">
      <c r="B127" s="15" t="s">
        <v>173</v>
      </c>
      <c r="C127" s="16" t="s">
        <v>650</v>
      </c>
    </row>
    <row r="128" spans="2:21">
      <c r="B128" s="15" t="s">
        <v>174</v>
      </c>
      <c r="C128" s="16" t="s">
        <v>648</v>
      </c>
    </row>
    <row r="129" spans="2:3">
      <c r="B129" s="15" t="s">
        <v>174</v>
      </c>
      <c r="C129" s="16" t="s">
        <v>649</v>
      </c>
    </row>
    <row r="130" spans="2:3">
      <c r="B130" s="15" t="s">
        <v>174</v>
      </c>
      <c r="C130" s="16" t="s">
        <v>650</v>
      </c>
    </row>
    <row r="131" spans="2:3">
      <c r="B131" s="15" t="s">
        <v>175</v>
      </c>
      <c r="C131" s="16" t="s">
        <v>648</v>
      </c>
    </row>
    <row r="132" spans="2:3">
      <c r="B132" s="15" t="s">
        <v>175</v>
      </c>
      <c r="C132" s="16" t="s">
        <v>649</v>
      </c>
    </row>
    <row r="133" spans="2:3">
      <c r="B133" s="15" t="s">
        <v>175</v>
      </c>
      <c r="C133" s="16" t="s">
        <v>650</v>
      </c>
    </row>
    <row r="134" spans="2:3">
      <c r="B134" s="15" t="s">
        <v>208</v>
      </c>
      <c r="C134" s="16" t="s">
        <v>389</v>
      </c>
    </row>
    <row r="135" spans="2:3">
      <c r="B135" s="15" t="s">
        <v>208</v>
      </c>
      <c r="C135" s="16" t="s">
        <v>640</v>
      </c>
    </row>
    <row r="136" spans="2:3">
      <c r="B136" s="15" t="s">
        <v>176</v>
      </c>
      <c r="C136" s="16" t="s">
        <v>648</v>
      </c>
    </row>
    <row r="137" spans="2:3">
      <c r="B137" s="15" t="s">
        <v>176</v>
      </c>
      <c r="C137" s="16" t="s">
        <v>649</v>
      </c>
    </row>
    <row r="138" spans="2:3">
      <c r="B138" s="15" t="s">
        <v>176</v>
      </c>
      <c r="C138" s="16" t="s">
        <v>650</v>
      </c>
    </row>
    <row r="139" spans="2:3">
      <c r="B139" s="15" t="s">
        <v>177</v>
      </c>
      <c r="C139" s="16" t="s">
        <v>648</v>
      </c>
    </row>
    <row r="140" spans="2:3">
      <c r="B140" s="15" t="s">
        <v>177</v>
      </c>
      <c r="C140" s="16" t="s">
        <v>649</v>
      </c>
    </row>
    <row r="141" spans="2:3">
      <c r="B141" s="15" t="s">
        <v>177</v>
      </c>
      <c r="C141" s="16" t="s">
        <v>650</v>
      </c>
    </row>
    <row r="142" spans="2:3">
      <c r="B142" s="15" t="s">
        <v>178</v>
      </c>
      <c r="C142" s="16" t="s">
        <v>648</v>
      </c>
    </row>
    <row r="143" spans="2:3">
      <c r="B143" s="15" t="s">
        <v>178</v>
      </c>
      <c r="C143" s="16" t="s">
        <v>649</v>
      </c>
    </row>
    <row r="144" spans="2:3">
      <c r="B144" s="15" t="s">
        <v>178</v>
      </c>
      <c r="C144" s="16" t="s">
        <v>650</v>
      </c>
    </row>
    <row r="145" spans="2:3">
      <c r="B145" s="15" t="s">
        <v>179</v>
      </c>
      <c r="C145" s="16" t="s">
        <v>648</v>
      </c>
    </row>
    <row r="146" spans="2:3">
      <c r="B146" s="15" t="s">
        <v>179</v>
      </c>
      <c r="C146" s="16" t="s">
        <v>649</v>
      </c>
    </row>
    <row r="147" spans="2:3">
      <c r="B147" s="15" t="s">
        <v>179</v>
      </c>
      <c r="C147" s="16" t="s">
        <v>650</v>
      </c>
    </row>
    <row r="148" spans="2:3">
      <c r="B148" s="15" t="s">
        <v>180</v>
      </c>
      <c r="C148" s="16" t="s">
        <v>648</v>
      </c>
    </row>
    <row r="149" spans="2:3">
      <c r="B149" s="15" t="s">
        <v>180</v>
      </c>
      <c r="C149" s="16" t="s">
        <v>649</v>
      </c>
    </row>
    <row r="150" spans="2:3">
      <c r="B150" s="15" t="s">
        <v>180</v>
      </c>
      <c r="C150" s="16" t="s">
        <v>650</v>
      </c>
    </row>
    <row r="151" spans="2:3">
      <c r="B151" s="15" t="s">
        <v>181</v>
      </c>
      <c r="C151" s="16" t="s">
        <v>648</v>
      </c>
    </row>
    <row r="152" spans="2:3">
      <c r="B152" s="15" t="s">
        <v>181</v>
      </c>
      <c r="C152" s="16" t="s">
        <v>649</v>
      </c>
    </row>
    <row r="153" spans="2:3">
      <c r="B153" s="15" t="s">
        <v>181</v>
      </c>
      <c r="C153" s="16" t="s">
        <v>650</v>
      </c>
    </row>
    <row r="154" spans="2:3">
      <c r="B154" s="15" t="s">
        <v>182</v>
      </c>
      <c r="C154" s="16" t="s">
        <v>648</v>
      </c>
    </row>
    <row r="155" spans="2:3">
      <c r="B155" s="15" t="s">
        <v>182</v>
      </c>
      <c r="C155" s="16" t="s">
        <v>649</v>
      </c>
    </row>
    <row r="156" spans="2:3">
      <c r="B156" s="15" t="s">
        <v>182</v>
      </c>
      <c r="C156" s="16" t="s">
        <v>650</v>
      </c>
    </row>
    <row r="157" spans="2:3">
      <c r="B157" s="15" t="s">
        <v>183</v>
      </c>
      <c r="C157" s="16" t="s">
        <v>648</v>
      </c>
    </row>
    <row r="158" spans="2:3">
      <c r="B158" s="15" t="s">
        <v>183</v>
      </c>
      <c r="C158" s="16" t="s">
        <v>649</v>
      </c>
    </row>
    <row r="159" spans="2:3">
      <c r="B159" s="15" t="s">
        <v>183</v>
      </c>
      <c r="C159" s="16" t="s">
        <v>650</v>
      </c>
    </row>
    <row r="160" spans="2:3">
      <c r="B160" s="15" t="s">
        <v>184</v>
      </c>
      <c r="C160" s="16" t="s">
        <v>648</v>
      </c>
    </row>
    <row r="161" spans="2:3">
      <c r="B161" s="15" t="s">
        <v>184</v>
      </c>
      <c r="C161" s="16" t="s">
        <v>649</v>
      </c>
    </row>
    <row r="162" spans="2:3">
      <c r="B162" s="15" t="s">
        <v>184</v>
      </c>
      <c r="C162" s="16" t="s">
        <v>650</v>
      </c>
    </row>
    <row r="163" spans="2:3">
      <c r="B163" s="15" t="s">
        <v>185</v>
      </c>
      <c r="C163" s="16" t="s">
        <v>648</v>
      </c>
    </row>
    <row r="164" spans="2:3">
      <c r="B164" s="15" t="s">
        <v>185</v>
      </c>
      <c r="C164" s="16" t="s">
        <v>649</v>
      </c>
    </row>
    <row r="165" spans="2:3">
      <c r="B165" s="15" t="s">
        <v>185</v>
      </c>
      <c r="C165" s="16" t="s">
        <v>650</v>
      </c>
    </row>
    <row r="166" spans="2:3">
      <c r="B166" s="15" t="s">
        <v>186</v>
      </c>
      <c r="C166" s="16" t="s">
        <v>648</v>
      </c>
    </row>
    <row r="167" spans="2:3">
      <c r="B167" s="15" t="s">
        <v>186</v>
      </c>
      <c r="C167" s="16" t="s">
        <v>649</v>
      </c>
    </row>
    <row r="168" spans="2:3">
      <c r="B168" s="15" t="s">
        <v>186</v>
      </c>
      <c r="C168" s="16" t="s">
        <v>650</v>
      </c>
    </row>
    <row r="169" spans="2:3">
      <c r="B169" s="15" t="s">
        <v>209</v>
      </c>
      <c r="C169" s="16" t="s">
        <v>389</v>
      </c>
    </row>
    <row r="170" spans="2:3">
      <c r="B170" s="15" t="s">
        <v>209</v>
      </c>
      <c r="C170" s="16" t="s">
        <v>640</v>
      </c>
    </row>
    <row r="171" spans="2:3">
      <c r="B171" s="15" t="s">
        <v>187</v>
      </c>
      <c r="C171" s="16" t="s">
        <v>648</v>
      </c>
    </row>
    <row r="172" spans="2:3">
      <c r="B172" s="15" t="s">
        <v>187</v>
      </c>
      <c r="C172" s="16" t="s">
        <v>649</v>
      </c>
    </row>
    <row r="173" spans="2:3">
      <c r="B173" s="15" t="s">
        <v>187</v>
      </c>
      <c r="C173" s="16" t="s">
        <v>650</v>
      </c>
    </row>
    <row r="174" spans="2:3">
      <c r="B174" s="15" t="s">
        <v>188</v>
      </c>
      <c r="C174" s="16" t="s">
        <v>648</v>
      </c>
    </row>
    <row r="175" spans="2:3">
      <c r="B175" s="15" t="s">
        <v>188</v>
      </c>
      <c r="C175" s="16" t="s">
        <v>649</v>
      </c>
    </row>
    <row r="176" spans="2:3">
      <c r="B176" s="15" t="s">
        <v>188</v>
      </c>
      <c r="C176" s="16" t="s">
        <v>650</v>
      </c>
    </row>
    <row r="177" spans="2:3">
      <c r="B177" s="15" t="s">
        <v>189</v>
      </c>
      <c r="C177" s="16" t="s">
        <v>648</v>
      </c>
    </row>
    <row r="178" spans="2:3">
      <c r="B178" s="15" t="s">
        <v>189</v>
      </c>
      <c r="C178" s="16" t="s">
        <v>649</v>
      </c>
    </row>
    <row r="179" spans="2:3">
      <c r="B179" s="15" t="s">
        <v>189</v>
      </c>
      <c r="C179" s="16" t="s">
        <v>650</v>
      </c>
    </row>
    <row r="180" spans="2:3">
      <c r="B180" s="15" t="s">
        <v>190</v>
      </c>
      <c r="C180" s="16" t="s">
        <v>648</v>
      </c>
    </row>
    <row r="181" spans="2:3">
      <c r="B181" s="15" t="s">
        <v>190</v>
      </c>
      <c r="C181" s="16" t="s">
        <v>649</v>
      </c>
    </row>
    <row r="182" spans="2:3">
      <c r="B182" s="15" t="s">
        <v>190</v>
      </c>
      <c r="C182" s="16" t="s">
        <v>650</v>
      </c>
    </row>
    <row r="183" spans="2:3">
      <c r="B183" s="15" t="s">
        <v>192</v>
      </c>
      <c r="C183" s="16" t="s">
        <v>389</v>
      </c>
    </row>
    <row r="184" spans="2:3">
      <c r="B184" s="15" t="s">
        <v>192</v>
      </c>
      <c r="C184" s="16" t="s">
        <v>640</v>
      </c>
    </row>
    <row r="185" spans="2:3">
      <c r="B185" s="15" t="s">
        <v>193</v>
      </c>
      <c r="C185" s="16" t="s">
        <v>389</v>
      </c>
    </row>
    <row r="186" spans="2:3">
      <c r="B186" s="15" t="s">
        <v>193</v>
      </c>
      <c r="C186" s="16" t="s">
        <v>640</v>
      </c>
    </row>
    <row r="187" spans="2:3">
      <c r="B187" s="15" t="s">
        <v>194</v>
      </c>
      <c r="C187" s="16" t="s">
        <v>389</v>
      </c>
    </row>
    <row r="188" spans="2:3">
      <c r="B188" s="15" t="s">
        <v>194</v>
      </c>
      <c r="C188" s="16" t="s">
        <v>640</v>
      </c>
    </row>
    <row r="189" spans="2:3">
      <c r="B189" s="15" t="s">
        <v>116</v>
      </c>
      <c r="C189" s="16" t="s">
        <v>389</v>
      </c>
    </row>
    <row r="190" spans="2:3">
      <c r="B190" s="15" t="s">
        <v>116</v>
      </c>
      <c r="C190" s="16" t="s">
        <v>640</v>
      </c>
    </row>
    <row r="191" spans="2:3">
      <c r="B191" s="15" t="s">
        <v>117</v>
      </c>
      <c r="C191" s="16" t="s">
        <v>389</v>
      </c>
    </row>
    <row r="192" spans="2:3">
      <c r="B192" s="15" t="s">
        <v>117</v>
      </c>
      <c r="C192" s="16" t="s">
        <v>640</v>
      </c>
    </row>
    <row r="193" spans="2:3">
      <c r="B193" s="15" t="s">
        <v>206</v>
      </c>
      <c r="C193" s="16" t="s">
        <v>389</v>
      </c>
    </row>
    <row r="194" spans="2:3">
      <c r="B194" s="15" t="s">
        <v>206</v>
      </c>
      <c r="C194" s="16" t="s">
        <v>640</v>
      </c>
    </row>
    <row r="195" spans="2:3">
      <c r="B195" s="15" t="s">
        <v>202</v>
      </c>
      <c r="C195" s="16" t="s">
        <v>648</v>
      </c>
    </row>
    <row r="196" spans="2:3">
      <c r="B196" s="15" t="s">
        <v>202</v>
      </c>
      <c r="C196" s="16" t="s">
        <v>640</v>
      </c>
    </row>
    <row r="197" spans="2:3">
      <c r="B197" s="15" t="s">
        <v>202</v>
      </c>
      <c r="C197" s="16" t="s">
        <v>649</v>
      </c>
    </row>
    <row r="198" spans="2:3">
      <c r="B198" s="15" t="s">
        <v>202</v>
      </c>
      <c r="C198" s="16" t="s">
        <v>650</v>
      </c>
    </row>
    <row r="199" spans="2:3">
      <c r="B199" s="15" t="s">
        <v>203</v>
      </c>
      <c r="C199" s="16" t="s">
        <v>648</v>
      </c>
    </row>
    <row r="200" spans="2:3">
      <c r="B200" s="15" t="s">
        <v>203</v>
      </c>
      <c r="C200" s="16" t="s">
        <v>640</v>
      </c>
    </row>
    <row r="201" spans="2:3">
      <c r="B201" s="15" t="s">
        <v>203</v>
      </c>
      <c r="C201" s="16" t="s">
        <v>649</v>
      </c>
    </row>
    <row r="202" spans="2:3">
      <c r="B202" s="15" t="s">
        <v>203</v>
      </c>
      <c r="C202" s="16" t="s">
        <v>650</v>
      </c>
    </row>
    <row r="203" spans="2:3">
      <c r="B203" s="15" t="s">
        <v>204</v>
      </c>
      <c r="C203" s="16" t="s">
        <v>648</v>
      </c>
    </row>
    <row r="204" spans="2:3">
      <c r="B204" s="15" t="s">
        <v>204</v>
      </c>
      <c r="C204" s="16" t="s">
        <v>640</v>
      </c>
    </row>
    <row r="205" spans="2:3">
      <c r="B205" s="15" t="s">
        <v>204</v>
      </c>
      <c r="C205" s="16" t="s">
        <v>649</v>
      </c>
    </row>
    <row r="206" spans="2:3">
      <c r="B206" s="15" t="s">
        <v>204</v>
      </c>
      <c r="C206" s="16" t="s">
        <v>650</v>
      </c>
    </row>
    <row r="207" spans="2:3">
      <c r="B207" s="15" t="s">
        <v>205</v>
      </c>
      <c r="C207" s="16" t="s">
        <v>648</v>
      </c>
    </row>
    <row r="208" spans="2:3">
      <c r="B208" s="15" t="s">
        <v>205</v>
      </c>
      <c r="C208" s="16" t="s">
        <v>640</v>
      </c>
    </row>
    <row r="209" spans="2:3">
      <c r="B209" s="15" t="s">
        <v>205</v>
      </c>
      <c r="C209" s="16" t="s">
        <v>649</v>
      </c>
    </row>
    <row r="210" spans="2:3">
      <c r="B210" s="15" t="s">
        <v>205</v>
      </c>
      <c r="C210" s="16" t="s">
        <v>650</v>
      </c>
    </row>
    <row r="211" spans="2:3">
      <c r="B211" s="15" t="s">
        <v>121</v>
      </c>
      <c r="C211" s="16" t="s">
        <v>389</v>
      </c>
    </row>
    <row r="212" spans="2:3">
      <c r="B212" s="15" t="s">
        <v>121</v>
      </c>
      <c r="C212" s="16" t="s">
        <v>640</v>
      </c>
    </row>
    <row r="213" spans="2:3">
      <c r="B213" s="15" t="s">
        <v>199</v>
      </c>
      <c r="C213" s="16" t="s">
        <v>648</v>
      </c>
    </row>
    <row r="214" spans="2:3">
      <c r="B214" s="15" t="s">
        <v>199</v>
      </c>
      <c r="C214" s="16" t="s">
        <v>649</v>
      </c>
    </row>
    <row r="215" spans="2:3">
      <c r="B215" s="15" t="s">
        <v>199</v>
      </c>
      <c r="C215" s="16" t="s">
        <v>650</v>
      </c>
    </row>
    <row r="216" spans="2:3">
      <c r="B216" s="15" t="s">
        <v>200</v>
      </c>
      <c r="C216" s="16" t="s">
        <v>648</v>
      </c>
    </row>
    <row r="217" spans="2:3">
      <c r="B217" s="15" t="s">
        <v>200</v>
      </c>
      <c r="C217" s="16" t="s">
        <v>649</v>
      </c>
    </row>
    <row r="218" spans="2:3">
      <c r="B218" s="15" t="s">
        <v>200</v>
      </c>
      <c r="C218" s="16" t="s">
        <v>650</v>
      </c>
    </row>
    <row r="219" spans="2:3">
      <c r="B219" s="15" t="s">
        <v>201</v>
      </c>
      <c r="C219" s="16" t="s">
        <v>648</v>
      </c>
    </row>
    <row r="220" spans="2:3">
      <c r="B220" s="15" t="s">
        <v>201</v>
      </c>
      <c r="C220" s="16" t="s">
        <v>649</v>
      </c>
    </row>
    <row r="221" spans="2:3">
      <c r="B221" s="15" t="s">
        <v>201</v>
      </c>
      <c r="C221" s="16" t="s">
        <v>650</v>
      </c>
    </row>
    <row r="222" spans="2:3">
      <c r="B222" s="15" t="s">
        <v>143</v>
      </c>
      <c r="C222" s="16" t="s">
        <v>648</v>
      </c>
    </row>
    <row r="223" spans="2:3">
      <c r="B223" s="15" t="s">
        <v>143</v>
      </c>
      <c r="C223" s="16" t="s">
        <v>649</v>
      </c>
    </row>
    <row r="224" spans="2:3">
      <c r="B224" s="15" t="s">
        <v>143</v>
      </c>
      <c r="C224" s="16" t="s">
        <v>650</v>
      </c>
    </row>
    <row r="225" spans="2:3">
      <c r="B225" s="15" t="s">
        <v>144</v>
      </c>
      <c r="C225" s="16" t="s">
        <v>648</v>
      </c>
    </row>
    <row r="226" spans="2:3">
      <c r="B226" s="15" t="s">
        <v>144</v>
      </c>
      <c r="C226" s="16" t="s">
        <v>649</v>
      </c>
    </row>
    <row r="227" spans="2:3">
      <c r="B227" s="15" t="s">
        <v>144</v>
      </c>
      <c r="C227" s="16" t="s">
        <v>650</v>
      </c>
    </row>
    <row r="228" spans="2:3">
      <c r="B228" s="15" t="s">
        <v>145</v>
      </c>
      <c r="C228" s="16" t="s">
        <v>648</v>
      </c>
    </row>
    <row r="229" spans="2:3">
      <c r="B229" s="15" t="s">
        <v>145</v>
      </c>
      <c r="C229" s="16" t="s">
        <v>649</v>
      </c>
    </row>
    <row r="230" spans="2:3">
      <c r="B230" s="15" t="s">
        <v>145</v>
      </c>
      <c r="C230" s="16" t="s">
        <v>650</v>
      </c>
    </row>
    <row r="231" spans="2:3">
      <c r="B231" s="15" t="s">
        <v>146</v>
      </c>
      <c r="C231" s="16" t="s">
        <v>648</v>
      </c>
    </row>
    <row r="232" spans="2:3">
      <c r="B232" s="15" t="s">
        <v>146</v>
      </c>
      <c r="C232" s="16" t="s">
        <v>649</v>
      </c>
    </row>
    <row r="233" spans="2:3">
      <c r="B233" s="15" t="s">
        <v>146</v>
      </c>
      <c r="C233" s="16" t="s">
        <v>650</v>
      </c>
    </row>
    <row r="234" spans="2:3">
      <c r="B234" s="15" t="s">
        <v>210</v>
      </c>
      <c r="C234" s="16" t="s">
        <v>389</v>
      </c>
    </row>
    <row r="235" spans="2:3">
      <c r="B235" s="15" t="s">
        <v>210</v>
      </c>
      <c r="C235" s="16" t="s">
        <v>640</v>
      </c>
    </row>
    <row r="236" spans="2:3">
      <c r="B236" s="15" t="s">
        <v>211</v>
      </c>
      <c r="C236" s="16" t="s">
        <v>389</v>
      </c>
    </row>
    <row r="237" spans="2:3">
      <c r="B237" s="15" t="s">
        <v>211</v>
      </c>
      <c r="C237" s="16" t="s">
        <v>640</v>
      </c>
    </row>
    <row r="238" spans="2:3">
      <c r="B238" s="15" t="s">
        <v>212</v>
      </c>
      <c r="C238" s="16" t="s">
        <v>389</v>
      </c>
    </row>
    <row r="239" spans="2:3">
      <c r="B239" s="15" t="s">
        <v>212</v>
      </c>
      <c r="C239" s="16" t="s">
        <v>640</v>
      </c>
    </row>
    <row r="240" spans="2:3">
      <c r="B240" s="15" t="s">
        <v>213</v>
      </c>
      <c r="C240" s="16" t="s">
        <v>389</v>
      </c>
    </row>
    <row r="241" spans="2:3">
      <c r="B241" s="15" t="s">
        <v>213</v>
      </c>
      <c r="C241" s="16" t="s">
        <v>640</v>
      </c>
    </row>
    <row r="242" spans="2:3">
      <c r="B242" s="15" t="s">
        <v>283</v>
      </c>
      <c r="C242" s="16" t="s">
        <v>648</v>
      </c>
    </row>
    <row r="243" spans="2:3">
      <c r="B243" s="15" t="s">
        <v>283</v>
      </c>
      <c r="C243" s="16" t="s">
        <v>640</v>
      </c>
    </row>
    <row r="244" spans="2:3">
      <c r="B244" s="15" t="s">
        <v>283</v>
      </c>
      <c r="C244" s="16" t="s">
        <v>649</v>
      </c>
    </row>
    <row r="245" spans="2:3">
      <c r="B245" s="15" t="s">
        <v>283</v>
      </c>
      <c r="C245" s="16" t="s">
        <v>650</v>
      </c>
    </row>
    <row r="246" spans="2:3">
      <c r="B246" s="15" t="s">
        <v>284</v>
      </c>
      <c r="C246" s="16" t="s">
        <v>648</v>
      </c>
    </row>
    <row r="247" spans="2:3">
      <c r="B247" s="15" t="s">
        <v>284</v>
      </c>
      <c r="C247" s="16" t="s">
        <v>640</v>
      </c>
    </row>
    <row r="248" spans="2:3">
      <c r="B248" s="15" t="s">
        <v>284</v>
      </c>
      <c r="C248" s="16" t="s">
        <v>649</v>
      </c>
    </row>
    <row r="249" spans="2:3">
      <c r="B249" s="15" t="s">
        <v>284</v>
      </c>
      <c r="C249" s="16" t="s">
        <v>650</v>
      </c>
    </row>
    <row r="250" spans="2:3">
      <c r="B250" s="15" t="s">
        <v>215</v>
      </c>
      <c r="C250" s="16" t="s">
        <v>389</v>
      </c>
    </row>
    <row r="251" spans="2:3">
      <c r="B251" s="15" t="s">
        <v>215</v>
      </c>
      <c r="C251" s="16" t="s">
        <v>640</v>
      </c>
    </row>
    <row r="252" spans="2:3">
      <c r="B252" s="15" t="s">
        <v>285</v>
      </c>
      <c r="C252" s="16" t="s">
        <v>389</v>
      </c>
    </row>
    <row r="253" spans="2:3">
      <c r="B253" s="15" t="s">
        <v>285</v>
      </c>
      <c r="C253" s="16" t="s">
        <v>640</v>
      </c>
    </row>
    <row r="254" spans="2:3">
      <c r="B254" s="15" t="s">
        <v>286</v>
      </c>
      <c r="C254" s="16" t="s">
        <v>389</v>
      </c>
    </row>
    <row r="255" spans="2:3">
      <c r="B255" s="15" t="s">
        <v>286</v>
      </c>
      <c r="C255" s="16" t="s">
        <v>640</v>
      </c>
    </row>
    <row r="256" spans="2:3">
      <c r="B256" s="15" t="s">
        <v>287</v>
      </c>
      <c r="C256" s="16" t="s">
        <v>389</v>
      </c>
    </row>
    <row r="257" spans="2:3">
      <c r="B257" s="15" t="s">
        <v>287</v>
      </c>
      <c r="C257" s="16" t="s">
        <v>640</v>
      </c>
    </row>
    <row r="258" spans="2:3">
      <c r="B258" s="15" t="s">
        <v>219</v>
      </c>
      <c r="C258" s="16" t="s">
        <v>389</v>
      </c>
    </row>
    <row r="259" spans="2:3">
      <c r="B259" s="15" t="s">
        <v>219</v>
      </c>
      <c r="C259" s="16" t="s">
        <v>640</v>
      </c>
    </row>
    <row r="260" spans="2:3">
      <c r="B260" s="15" t="s">
        <v>123</v>
      </c>
      <c r="C260" s="16" t="s">
        <v>648</v>
      </c>
    </row>
    <row r="261" spans="2:3">
      <c r="B261" s="15" t="s">
        <v>123</v>
      </c>
      <c r="C261" s="16" t="s">
        <v>640</v>
      </c>
    </row>
    <row r="262" spans="2:3">
      <c r="B262" s="15" t="s">
        <v>123</v>
      </c>
      <c r="C262" s="16" t="s">
        <v>649</v>
      </c>
    </row>
    <row r="263" spans="2:3">
      <c r="B263" s="15" t="s">
        <v>123</v>
      </c>
      <c r="C263" s="16" t="s">
        <v>650</v>
      </c>
    </row>
    <row r="264" spans="2:3">
      <c r="B264" s="15" t="s">
        <v>124</v>
      </c>
      <c r="C264" s="16" t="s">
        <v>648</v>
      </c>
    </row>
    <row r="265" spans="2:3">
      <c r="B265" s="15" t="s">
        <v>124</v>
      </c>
      <c r="C265" s="16" t="s">
        <v>640</v>
      </c>
    </row>
    <row r="266" spans="2:3">
      <c r="B266" s="15" t="s">
        <v>124</v>
      </c>
      <c r="C266" s="16" t="s">
        <v>649</v>
      </c>
    </row>
    <row r="267" spans="2:3">
      <c r="B267" s="15" t="s">
        <v>124</v>
      </c>
      <c r="C267" s="16" t="s">
        <v>650</v>
      </c>
    </row>
    <row r="268" spans="2:3">
      <c r="B268" s="15" t="s">
        <v>125</v>
      </c>
      <c r="C268" s="16" t="s">
        <v>648</v>
      </c>
    </row>
    <row r="269" spans="2:3">
      <c r="B269" s="15" t="s">
        <v>125</v>
      </c>
      <c r="C269" s="16" t="s">
        <v>640</v>
      </c>
    </row>
    <row r="270" spans="2:3">
      <c r="B270" s="15" t="s">
        <v>125</v>
      </c>
      <c r="C270" s="16" t="s">
        <v>649</v>
      </c>
    </row>
    <row r="271" spans="2:3">
      <c r="B271" s="15" t="s">
        <v>125</v>
      </c>
      <c r="C271" s="16" t="s">
        <v>650</v>
      </c>
    </row>
    <row r="272" spans="2:3">
      <c r="B272" s="15" t="s">
        <v>126</v>
      </c>
      <c r="C272" s="16" t="s">
        <v>389</v>
      </c>
    </row>
    <row r="273" spans="2:3">
      <c r="B273" s="15" t="s">
        <v>126</v>
      </c>
      <c r="C273" s="17" t="s">
        <v>640</v>
      </c>
    </row>
    <row r="274" spans="2:3">
      <c r="B274" s="15" t="s">
        <v>219</v>
      </c>
      <c r="C274" s="16" t="s">
        <v>389</v>
      </c>
    </row>
    <row r="275" spans="2:3">
      <c r="B275" s="15" t="s">
        <v>219</v>
      </c>
      <c r="C275" s="17" t="s">
        <v>640</v>
      </c>
    </row>
    <row r="276" spans="2:3">
      <c r="B276" s="15" t="s">
        <v>147</v>
      </c>
      <c r="C276" s="16" t="s">
        <v>648</v>
      </c>
    </row>
    <row r="277" spans="2:3">
      <c r="B277" s="15" t="s">
        <v>147</v>
      </c>
      <c r="C277" s="16" t="s">
        <v>649</v>
      </c>
    </row>
    <row r="278" spans="2:3">
      <c r="B278" s="15" t="s">
        <v>147</v>
      </c>
      <c r="C278" s="16" t="s">
        <v>650</v>
      </c>
    </row>
    <row r="279" spans="2:3">
      <c r="B279" s="68" t="s">
        <v>701</v>
      </c>
      <c r="C279" s="16" t="s">
        <v>648</v>
      </c>
    </row>
    <row r="280" spans="2:3">
      <c r="B280" s="68" t="s">
        <v>701</v>
      </c>
      <c r="C280" s="16" t="s">
        <v>649</v>
      </c>
    </row>
    <row r="281" spans="2:3">
      <c r="B281" s="68" t="s">
        <v>701</v>
      </c>
      <c r="C281" s="16" t="s">
        <v>650</v>
      </c>
    </row>
    <row r="282" spans="2:3">
      <c r="B282" s="68" t="s">
        <v>148</v>
      </c>
      <c r="C282" s="16" t="s">
        <v>648</v>
      </c>
    </row>
    <row r="283" spans="2:3">
      <c r="B283" s="68" t="s">
        <v>148</v>
      </c>
      <c r="C283" s="16" t="s">
        <v>649</v>
      </c>
    </row>
    <row r="284" spans="2:3">
      <c r="B284" s="68" t="s">
        <v>148</v>
      </c>
      <c r="C284" s="16" t="s">
        <v>650</v>
      </c>
    </row>
    <row r="285" spans="2:3">
      <c r="B285" s="68" t="s">
        <v>149</v>
      </c>
      <c r="C285" s="16" t="s">
        <v>648</v>
      </c>
    </row>
    <row r="286" spans="2:3">
      <c r="B286" s="68" t="s">
        <v>149</v>
      </c>
      <c r="C286" s="16" t="s">
        <v>649</v>
      </c>
    </row>
    <row r="287" spans="2:3">
      <c r="B287" s="68" t="s">
        <v>149</v>
      </c>
      <c r="C287" s="16" t="s">
        <v>650</v>
      </c>
    </row>
    <row r="288" spans="2:3">
      <c r="B288" s="213" t="s">
        <v>108</v>
      </c>
      <c r="C288" s="16" t="s">
        <v>389</v>
      </c>
    </row>
    <row r="289" spans="2:3">
      <c r="B289" s="213" t="s">
        <v>108</v>
      </c>
      <c r="C289" s="17" t="s">
        <v>640</v>
      </c>
    </row>
    <row r="290" spans="2:3">
      <c r="B290" s="213" t="s">
        <v>109</v>
      </c>
      <c r="C290" s="16" t="s">
        <v>389</v>
      </c>
    </row>
    <row r="291" spans="2:3">
      <c r="B291" s="213" t="s">
        <v>109</v>
      </c>
      <c r="C291" s="17" t="s">
        <v>640</v>
      </c>
    </row>
    <row r="292" spans="2:3">
      <c r="B292" s="213" t="s">
        <v>110</v>
      </c>
      <c r="C292" s="16" t="s">
        <v>389</v>
      </c>
    </row>
    <row r="293" spans="2:3">
      <c r="B293" s="213" t="s">
        <v>110</v>
      </c>
      <c r="C293" s="17" t="s">
        <v>640</v>
      </c>
    </row>
    <row r="294" spans="2:3">
      <c r="B294" s="68" t="s">
        <v>106</v>
      </c>
      <c r="C294" s="16" t="s">
        <v>389</v>
      </c>
    </row>
    <row r="295" spans="2:3">
      <c r="B295" s="68" t="s">
        <v>106</v>
      </c>
      <c r="C295" s="16" t="s">
        <v>640</v>
      </c>
    </row>
    <row r="296" spans="2:3">
      <c r="B296" s="68" t="s">
        <v>134</v>
      </c>
      <c r="C296" s="16" t="s">
        <v>389</v>
      </c>
    </row>
    <row r="297" spans="2:3">
      <c r="B297" s="68" t="s">
        <v>134</v>
      </c>
      <c r="C297" s="16" t="s">
        <v>640</v>
      </c>
    </row>
    <row r="298" spans="2:3">
      <c r="B298" s="68" t="s">
        <v>131</v>
      </c>
      <c r="C298" s="16" t="s">
        <v>648</v>
      </c>
    </row>
    <row r="299" spans="2:3">
      <c r="B299" s="68" t="s">
        <v>131</v>
      </c>
      <c r="C299" s="16" t="s">
        <v>640</v>
      </c>
    </row>
    <row r="300" spans="2:3">
      <c r="B300" s="68" t="s">
        <v>131</v>
      </c>
      <c r="C300" s="16" t="s">
        <v>649</v>
      </c>
    </row>
    <row r="301" spans="2:3">
      <c r="B301" s="68" t="s">
        <v>131</v>
      </c>
      <c r="C301" s="16" t="s">
        <v>650</v>
      </c>
    </row>
    <row r="302" spans="2:3">
      <c r="B302" s="68" t="s">
        <v>132</v>
      </c>
      <c r="C302" s="16" t="s">
        <v>648</v>
      </c>
    </row>
    <row r="303" spans="2:3">
      <c r="B303" s="68" t="s">
        <v>132</v>
      </c>
      <c r="C303" s="16" t="s">
        <v>640</v>
      </c>
    </row>
    <row r="304" spans="2:3">
      <c r="B304" s="68" t="s">
        <v>132</v>
      </c>
      <c r="C304" s="16" t="s">
        <v>649</v>
      </c>
    </row>
    <row r="305" spans="2:3">
      <c r="B305" s="68" t="s">
        <v>132</v>
      </c>
      <c r="C305" s="16" t="s">
        <v>650</v>
      </c>
    </row>
    <row r="306" spans="2:3">
      <c r="B306" s="68" t="s">
        <v>133</v>
      </c>
      <c r="C306" s="16" t="s">
        <v>648</v>
      </c>
    </row>
    <row r="307" spans="2:3">
      <c r="B307" s="68" t="s">
        <v>133</v>
      </c>
      <c r="C307" s="16" t="s">
        <v>640</v>
      </c>
    </row>
    <row r="308" spans="2:3">
      <c r="B308" s="68" t="s">
        <v>133</v>
      </c>
      <c r="C308" s="16" t="s">
        <v>649</v>
      </c>
    </row>
    <row r="309" spans="2:3">
      <c r="B309" s="68" t="s">
        <v>133</v>
      </c>
      <c r="C309" s="16" t="s">
        <v>650</v>
      </c>
    </row>
    <row r="310" spans="2:3">
      <c r="B310" s="15" t="s">
        <v>196</v>
      </c>
      <c r="C310" s="16" t="s">
        <v>389</v>
      </c>
    </row>
    <row r="311" spans="2:3">
      <c r="B311" s="15" t="s">
        <v>196</v>
      </c>
      <c r="C311" s="16" t="s">
        <v>640</v>
      </c>
    </row>
    <row r="312" spans="2:3">
      <c r="B312" s="15" t="s">
        <v>197</v>
      </c>
      <c r="C312" s="16" t="s">
        <v>389</v>
      </c>
    </row>
    <row r="313" spans="2:3">
      <c r="B313" s="15" t="s">
        <v>197</v>
      </c>
      <c r="C313" s="16" t="s">
        <v>640</v>
      </c>
    </row>
  </sheetData>
  <sheetProtection algorithmName="SHA-512" hashValue="k+2bFjaP1izYndLH7WMunUaEeqjCL06jDfgV5XToJbvSSY7t5bJEKnLznwfAuEOPKX9lShg9Q9yMC3GV145t2Q==" saltValue="tKAtTDwdVNrSU9LOmOLREw==" spinCount="100000" sheet="1" objects="1" scenarios="1"/>
  <sortState xmlns:xlrd2="http://schemas.microsoft.com/office/spreadsheetml/2017/richdata2" ref="E21:E234">
    <sortCondition ref="E21"/>
  </sortState>
  <phoneticPr fontId="17" type="noConversion"/>
  <pageMargins left="0.7" right="0.7" top="0.75" bottom="0.75" header="0.3" footer="0.3"/>
  <pageSetup orientation="portrait" r:id="rId1"/>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B018F-5593-4494-84FD-10E735769BAA}">
  <sheetPr codeName="Sheet18"/>
  <dimension ref="A1:P49"/>
  <sheetViews>
    <sheetView showGridLines="0" zoomScale="85" zoomScaleNormal="85" workbookViewId="0">
      <selection activeCell="H27" sqref="H27"/>
    </sheetView>
  </sheetViews>
  <sheetFormatPr defaultColWidth="9.140625" defaultRowHeight="14.1"/>
  <cols>
    <col min="1" max="3" width="20.42578125" style="228" customWidth="1"/>
    <col min="4" max="4" width="34.42578125" style="228" customWidth="1"/>
    <col min="5" max="14" width="20.42578125" style="228" customWidth="1"/>
    <col min="15" max="24" width="25.42578125" style="228" customWidth="1"/>
    <col min="25" max="16384" width="9.140625" style="228"/>
  </cols>
  <sheetData>
    <row r="1" spans="1:16" ht="28.5" customHeight="1">
      <c r="A1" s="248" t="s">
        <v>709</v>
      </c>
      <c r="B1" s="249"/>
      <c r="C1" s="249"/>
      <c r="D1" s="249"/>
      <c r="E1" s="249"/>
      <c r="F1" s="249"/>
      <c r="G1" s="249"/>
      <c r="H1" s="249"/>
      <c r="I1" s="249"/>
      <c r="J1" s="249"/>
      <c r="K1" s="249"/>
      <c r="L1" s="249"/>
      <c r="M1" s="249"/>
    </row>
    <row r="2" spans="1:16" s="250" customFormat="1" ht="15" thickBot="1">
      <c r="A2" s="250" t="s">
        <v>710</v>
      </c>
      <c r="B2" s="251">
        <v>45211</v>
      </c>
      <c r="C2" s="251"/>
    </row>
    <row r="3" spans="1:16" ht="15" thickTop="1"/>
    <row r="4" spans="1:16" ht="28.5" customHeight="1">
      <c r="A4" s="258" t="s">
        <v>711</v>
      </c>
      <c r="B4" s="452" t="s">
        <v>712</v>
      </c>
      <c r="C4" s="453"/>
      <c r="D4" s="453"/>
      <c r="E4" s="453"/>
      <c r="F4" s="453"/>
      <c r="G4" s="453"/>
      <c r="H4" s="453"/>
      <c r="I4" s="259" t="s">
        <v>713</v>
      </c>
      <c r="J4" s="410" t="s">
        <v>714</v>
      </c>
      <c r="K4" s="407" t="s">
        <v>715</v>
      </c>
      <c r="L4" s="410" t="s">
        <v>716</v>
      </c>
      <c r="M4" s="407" t="s">
        <v>717</v>
      </c>
      <c r="N4" s="410" t="s">
        <v>718</v>
      </c>
      <c r="O4" s="407" t="s">
        <v>719</v>
      </c>
      <c r="P4" s="410" t="s">
        <v>720</v>
      </c>
    </row>
    <row r="5" spans="1:16" ht="28.5" customHeight="1">
      <c r="A5" s="260" t="s">
        <v>721</v>
      </c>
      <c r="B5" s="430" t="s">
        <v>722</v>
      </c>
      <c r="C5" s="431"/>
      <c r="D5" s="261" t="s">
        <v>723</v>
      </c>
      <c r="E5" s="438" t="s">
        <v>724</v>
      </c>
      <c r="F5" s="439"/>
      <c r="G5" s="262" t="s">
        <v>725</v>
      </c>
      <c r="H5" s="263" t="s">
        <v>726</v>
      </c>
      <c r="I5" s="261" t="s">
        <v>727</v>
      </c>
      <c r="J5" s="411"/>
      <c r="K5" s="408"/>
      <c r="L5" s="411"/>
      <c r="M5" s="408"/>
      <c r="N5" s="411"/>
      <c r="O5" s="408"/>
      <c r="P5" s="411"/>
    </row>
    <row r="6" spans="1:16" ht="28.5" customHeight="1">
      <c r="A6" s="264" t="s">
        <v>728</v>
      </c>
      <c r="B6" s="432" t="s">
        <v>729</v>
      </c>
      <c r="C6" s="433"/>
      <c r="D6" s="265" t="s">
        <v>730</v>
      </c>
      <c r="E6" s="266" t="s">
        <v>731</v>
      </c>
      <c r="F6" s="267" t="s">
        <v>732</v>
      </c>
      <c r="G6" s="268" t="s">
        <v>733</v>
      </c>
      <c r="H6" s="269" t="s">
        <v>733</v>
      </c>
      <c r="I6" s="266" t="s">
        <v>734</v>
      </c>
      <c r="J6" s="412"/>
      <c r="K6" s="409"/>
      <c r="L6" s="412"/>
      <c r="M6" s="409"/>
      <c r="N6" s="412"/>
      <c r="O6" s="409"/>
      <c r="P6" s="412"/>
    </row>
    <row r="7" spans="1:16" ht="28.5" customHeight="1">
      <c r="A7" s="270" t="s">
        <v>735</v>
      </c>
      <c r="B7" s="434" t="s">
        <v>736</v>
      </c>
      <c r="C7" s="435"/>
      <c r="D7" s="282" t="s">
        <v>736</v>
      </c>
      <c r="E7" s="434" t="s">
        <v>736</v>
      </c>
      <c r="F7" s="435"/>
      <c r="G7" s="271" t="s">
        <v>736</v>
      </c>
      <c r="H7" s="272" t="s">
        <v>736</v>
      </c>
      <c r="I7" s="271" t="s">
        <v>737</v>
      </c>
      <c r="J7" s="273" t="s">
        <v>738</v>
      </c>
      <c r="K7" s="274" t="s">
        <v>739</v>
      </c>
      <c r="L7" s="273" t="s">
        <v>740</v>
      </c>
      <c r="M7" s="440" t="s">
        <v>741</v>
      </c>
      <c r="N7" s="443" t="s">
        <v>742</v>
      </c>
      <c r="O7" s="274" t="s">
        <v>743</v>
      </c>
      <c r="P7" s="273" t="s">
        <v>744</v>
      </c>
    </row>
    <row r="8" spans="1:16" ht="28.5" customHeight="1">
      <c r="A8" s="275" t="s">
        <v>745</v>
      </c>
      <c r="B8" s="436" t="s">
        <v>746</v>
      </c>
      <c r="C8" s="437"/>
      <c r="D8" s="413" t="s">
        <v>747</v>
      </c>
      <c r="E8" s="436" t="s">
        <v>748</v>
      </c>
      <c r="F8" s="437"/>
      <c r="G8" s="413" t="s">
        <v>746</v>
      </c>
      <c r="H8" s="272" t="s">
        <v>736</v>
      </c>
      <c r="I8" s="276" t="s">
        <v>737</v>
      </c>
      <c r="J8" s="277" t="s">
        <v>738</v>
      </c>
      <c r="K8" s="278" t="s">
        <v>739</v>
      </c>
      <c r="L8" s="428" t="s">
        <v>749</v>
      </c>
      <c r="M8" s="441"/>
      <c r="N8" s="444"/>
      <c r="O8" s="278" t="s">
        <v>750</v>
      </c>
      <c r="P8" s="277" t="s">
        <v>751</v>
      </c>
    </row>
    <row r="9" spans="1:16" ht="28.5" customHeight="1">
      <c r="A9" s="275" t="s">
        <v>752</v>
      </c>
      <c r="B9" s="420" t="s">
        <v>753</v>
      </c>
      <c r="C9" s="421"/>
      <c r="D9" s="414"/>
      <c r="E9" s="418" t="s">
        <v>754</v>
      </c>
      <c r="F9" s="419"/>
      <c r="G9" s="415"/>
      <c r="H9" s="424" t="s">
        <v>755</v>
      </c>
      <c r="I9" s="418" t="s">
        <v>756</v>
      </c>
      <c r="J9" s="428" t="s">
        <v>757</v>
      </c>
      <c r="K9" s="445" t="s">
        <v>758</v>
      </c>
      <c r="L9" s="428"/>
      <c r="M9" s="441"/>
      <c r="N9" s="428" t="s">
        <v>759</v>
      </c>
      <c r="O9" s="447" t="s">
        <v>760</v>
      </c>
      <c r="P9" s="277" t="s">
        <v>751</v>
      </c>
    </row>
    <row r="10" spans="1:16" ht="28.5" customHeight="1">
      <c r="A10" s="275" t="s">
        <v>761</v>
      </c>
      <c r="B10" s="420"/>
      <c r="C10" s="421"/>
      <c r="D10" s="415"/>
      <c r="E10" s="420"/>
      <c r="F10" s="421"/>
      <c r="G10" s="413" t="s">
        <v>685</v>
      </c>
      <c r="H10" s="425"/>
      <c r="I10" s="420"/>
      <c r="J10" s="428"/>
      <c r="K10" s="445"/>
      <c r="L10" s="428"/>
      <c r="M10" s="441"/>
      <c r="N10" s="428"/>
      <c r="O10" s="448"/>
      <c r="P10" s="450" t="s">
        <v>274</v>
      </c>
    </row>
    <row r="11" spans="1:16" ht="51" customHeight="1">
      <c r="A11" s="275" t="s">
        <v>762</v>
      </c>
      <c r="B11" s="422"/>
      <c r="C11" s="423"/>
      <c r="D11" s="291" t="s">
        <v>763</v>
      </c>
      <c r="E11" s="422"/>
      <c r="F11" s="423"/>
      <c r="G11" s="415"/>
      <c r="H11" s="426"/>
      <c r="I11" s="420"/>
      <c r="J11" s="428"/>
      <c r="K11" s="445"/>
      <c r="L11" s="428"/>
      <c r="M11" s="441"/>
      <c r="N11" s="428"/>
      <c r="O11" s="448"/>
      <c r="P11" s="443"/>
    </row>
    <row r="12" spans="1:16" ht="28.5" customHeight="1">
      <c r="A12" s="279" t="s">
        <v>764</v>
      </c>
      <c r="B12" s="393" t="s">
        <v>746</v>
      </c>
      <c r="C12" s="394"/>
      <c r="D12" s="283" t="s">
        <v>747</v>
      </c>
      <c r="E12" s="393" t="s">
        <v>748</v>
      </c>
      <c r="F12" s="394"/>
      <c r="G12" s="280" t="s">
        <v>746</v>
      </c>
      <c r="H12" s="281" t="s">
        <v>765</v>
      </c>
      <c r="I12" s="427"/>
      <c r="J12" s="429"/>
      <c r="K12" s="446"/>
      <c r="L12" s="429"/>
      <c r="M12" s="442"/>
      <c r="N12" s="429"/>
      <c r="O12" s="449"/>
      <c r="P12" s="451"/>
    </row>
    <row r="13" spans="1:16" ht="28.5" customHeight="1">
      <c r="A13" s="293" t="s">
        <v>766</v>
      </c>
      <c r="B13" s="284"/>
      <c r="C13" s="284"/>
      <c r="D13" s="284"/>
      <c r="E13" s="284"/>
      <c r="F13" s="284"/>
      <c r="G13" s="284"/>
      <c r="H13" s="284"/>
      <c r="I13" s="284"/>
      <c r="J13" s="284"/>
      <c r="K13" s="292"/>
      <c r="L13" s="284"/>
      <c r="M13" s="284"/>
      <c r="N13" s="284"/>
      <c r="O13" s="284"/>
      <c r="P13" s="284"/>
    </row>
    <row r="15" spans="1:16">
      <c r="A15" s="233" t="s">
        <v>767</v>
      </c>
      <c r="B15" s="234"/>
      <c r="C15" s="234"/>
      <c r="D15" s="234"/>
      <c r="E15" s="234"/>
      <c r="F15" s="234"/>
    </row>
    <row r="16" spans="1:16" ht="15">
      <c r="A16" s="416"/>
      <c r="B16" s="417"/>
      <c r="C16" s="285"/>
      <c r="D16" s="244" t="s">
        <v>768</v>
      </c>
      <c r="E16" s="244" t="s">
        <v>769</v>
      </c>
      <c r="F16" s="245" t="s">
        <v>770</v>
      </c>
      <c r="G16" s="245" t="s">
        <v>771</v>
      </c>
    </row>
    <row r="17" spans="1:9" ht="15" customHeight="1">
      <c r="A17" s="396" t="s">
        <v>772</v>
      </c>
      <c r="B17" s="397"/>
      <c r="C17" s="286"/>
      <c r="D17" s="242" t="s">
        <v>773</v>
      </c>
      <c r="E17" s="242" t="s">
        <v>774</v>
      </c>
      <c r="F17" s="243" t="s">
        <v>736</v>
      </c>
      <c r="G17" s="243" t="s">
        <v>743</v>
      </c>
    </row>
    <row r="18" spans="1:9" ht="15" customHeight="1">
      <c r="A18" s="402" t="s">
        <v>775</v>
      </c>
      <c r="B18" s="403"/>
      <c r="C18" s="287"/>
      <c r="D18" s="240" t="s">
        <v>768</v>
      </c>
      <c r="E18" s="240" t="s">
        <v>776</v>
      </c>
      <c r="F18" s="240" t="s">
        <v>777</v>
      </c>
      <c r="G18" s="241" t="s">
        <v>778</v>
      </c>
    </row>
    <row r="19" spans="1:9">
      <c r="A19" s="398" t="s">
        <v>779</v>
      </c>
      <c r="B19" s="399"/>
      <c r="C19" s="288"/>
      <c r="D19" s="231" t="s">
        <v>780</v>
      </c>
      <c r="E19" s="231" t="s">
        <v>781</v>
      </c>
      <c r="F19" s="231" t="s">
        <v>782</v>
      </c>
      <c r="G19" s="239" t="s">
        <v>783</v>
      </c>
    </row>
    <row r="20" spans="1:9">
      <c r="A20" s="400" t="s">
        <v>784</v>
      </c>
      <c r="B20" s="401"/>
      <c r="C20" s="289"/>
      <c r="D20" s="230" t="s">
        <v>785</v>
      </c>
      <c r="E20" s="230" t="s">
        <v>781</v>
      </c>
      <c r="F20" s="230" t="s">
        <v>782</v>
      </c>
      <c r="G20" s="238" t="s">
        <v>783</v>
      </c>
    </row>
    <row r="21" spans="1:9">
      <c r="A21" s="400" t="s">
        <v>786</v>
      </c>
      <c r="B21" s="401"/>
      <c r="C21" s="289"/>
      <c r="D21" s="230" t="s">
        <v>781</v>
      </c>
      <c r="E21" s="230" t="s">
        <v>787</v>
      </c>
      <c r="F21" s="230" t="s">
        <v>782</v>
      </c>
      <c r="G21" s="238" t="s">
        <v>783</v>
      </c>
    </row>
    <row r="22" spans="1:9">
      <c r="A22" s="400" t="s">
        <v>788</v>
      </c>
      <c r="B22" s="401"/>
      <c r="C22" s="289"/>
      <c r="D22" s="230" t="s">
        <v>789</v>
      </c>
      <c r="E22" s="230" t="s">
        <v>787</v>
      </c>
      <c r="F22" s="230" t="s">
        <v>782</v>
      </c>
      <c r="G22" s="238" t="s">
        <v>783</v>
      </c>
    </row>
    <row r="23" spans="1:9">
      <c r="A23" s="400" t="s">
        <v>790</v>
      </c>
      <c r="B23" s="401"/>
      <c r="C23" s="289"/>
      <c r="D23" s="230" t="s">
        <v>791</v>
      </c>
      <c r="E23" s="230" t="s">
        <v>787</v>
      </c>
      <c r="F23" s="230" t="s">
        <v>782</v>
      </c>
      <c r="G23" s="238" t="s">
        <v>783</v>
      </c>
    </row>
    <row r="24" spans="1:9" ht="14.25" customHeight="1">
      <c r="A24" s="400" t="s">
        <v>792</v>
      </c>
      <c r="B24" s="401"/>
      <c r="C24" s="289"/>
      <c r="D24" s="230" t="s">
        <v>793</v>
      </c>
      <c r="E24" s="230" t="s">
        <v>274</v>
      </c>
      <c r="F24" s="230" t="s">
        <v>274</v>
      </c>
      <c r="G24" s="238" t="s">
        <v>783</v>
      </c>
    </row>
    <row r="25" spans="1:9">
      <c r="A25" s="404" t="s">
        <v>794</v>
      </c>
      <c r="B25" s="405"/>
      <c r="C25" s="290"/>
      <c r="D25" s="232" t="s">
        <v>793</v>
      </c>
      <c r="E25" s="232" t="s">
        <v>274</v>
      </c>
      <c r="F25" s="232" t="s">
        <v>783</v>
      </c>
      <c r="G25" s="247"/>
    </row>
    <row r="26" spans="1:9">
      <c r="A26" s="237" t="s">
        <v>795</v>
      </c>
      <c r="B26" s="246"/>
      <c r="C26" s="246"/>
      <c r="D26" s="229"/>
      <c r="E26" s="229"/>
      <c r="F26" s="229"/>
    </row>
    <row r="28" spans="1:9">
      <c r="A28" s="235" t="s">
        <v>796</v>
      </c>
      <c r="B28" s="235"/>
      <c r="C28" s="235"/>
      <c r="D28" s="235"/>
      <c r="E28" s="235"/>
      <c r="F28" s="235"/>
      <c r="G28" s="235"/>
      <c r="H28" s="235"/>
      <c r="I28" s="235"/>
    </row>
    <row r="29" spans="1:9">
      <c r="A29" s="395" t="s">
        <v>797</v>
      </c>
      <c r="B29" s="395"/>
      <c r="C29" s="395"/>
      <c r="D29" s="395"/>
      <c r="E29" s="395"/>
      <c r="F29" s="395"/>
      <c r="G29" s="395"/>
      <c r="H29" s="395"/>
      <c r="I29" s="395"/>
    </row>
    <row r="30" spans="1:9">
      <c r="A30" s="395" t="s">
        <v>798</v>
      </c>
      <c r="B30" s="395"/>
      <c r="C30" s="395"/>
      <c r="D30" s="395"/>
      <c r="E30" s="395"/>
      <c r="F30" s="395"/>
      <c r="G30" s="395"/>
      <c r="H30" s="395"/>
      <c r="I30" s="395"/>
    </row>
    <row r="31" spans="1:9" ht="27.75" customHeight="1">
      <c r="A31" s="406" t="s">
        <v>799</v>
      </c>
      <c r="B31" s="406"/>
      <c r="C31" s="406"/>
      <c r="D31" s="406"/>
      <c r="E31" s="406"/>
      <c r="F31" s="406"/>
      <c r="G31" s="406"/>
      <c r="H31" s="406"/>
      <c r="I31" s="406"/>
    </row>
    <row r="32" spans="1:9">
      <c r="A32" s="406" t="s">
        <v>800</v>
      </c>
      <c r="B32" s="406"/>
      <c r="C32" s="406"/>
      <c r="D32" s="406"/>
      <c r="E32" s="406"/>
      <c r="F32" s="406"/>
      <c r="G32" s="406"/>
      <c r="H32" s="406"/>
      <c r="I32" s="406"/>
    </row>
    <row r="33" spans="1:9" ht="28.5" customHeight="1">
      <c r="A33" s="406" t="s">
        <v>801</v>
      </c>
      <c r="B33" s="406"/>
      <c r="C33" s="406"/>
      <c r="D33" s="406"/>
      <c r="E33" s="406"/>
      <c r="F33" s="406"/>
      <c r="G33" s="406"/>
      <c r="H33" s="406"/>
      <c r="I33" s="406"/>
    </row>
    <row r="34" spans="1:9" ht="28.5" customHeight="1">
      <c r="A34" s="406" t="s">
        <v>802</v>
      </c>
      <c r="B34" s="406"/>
      <c r="C34" s="406"/>
      <c r="D34" s="406"/>
      <c r="E34" s="406"/>
      <c r="F34" s="406"/>
      <c r="G34" s="406"/>
      <c r="H34" s="406"/>
      <c r="I34" s="406"/>
    </row>
    <row r="35" spans="1:9">
      <c r="A35" s="395" t="s">
        <v>803</v>
      </c>
      <c r="B35" s="395"/>
      <c r="C35" s="395"/>
      <c r="D35" s="395"/>
      <c r="E35" s="395"/>
      <c r="F35" s="395"/>
      <c r="G35" s="395"/>
      <c r="H35" s="395"/>
      <c r="I35" s="395"/>
    </row>
    <row r="36" spans="1:9">
      <c r="A36" s="395" t="s">
        <v>804</v>
      </c>
      <c r="B36" s="395"/>
      <c r="C36" s="395"/>
      <c r="D36" s="395"/>
      <c r="E36" s="395"/>
      <c r="F36" s="395"/>
      <c r="G36" s="395"/>
      <c r="H36" s="395"/>
      <c r="I36" s="395"/>
    </row>
    <row r="37" spans="1:9">
      <c r="A37" s="395" t="s">
        <v>805</v>
      </c>
      <c r="B37" s="395"/>
      <c r="C37" s="395"/>
      <c r="D37" s="395"/>
      <c r="E37" s="395"/>
      <c r="F37" s="395"/>
      <c r="G37" s="395"/>
      <c r="H37" s="395"/>
      <c r="I37" s="395"/>
    </row>
    <row r="38" spans="1:9">
      <c r="A38" s="235" t="s">
        <v>806</v>
      </c>
      <c r="B38" s="235"/>
      <c r="C38" s="235"/>
      <c r="D38" s="235"/>
      <c r="E38" s="235"/>
      <c r="F38" s="235"/>
      <c r="G38" s="236"/>
      <c r="H38" s="236"/>
      <c r="I38" s="236"/>
    </row>
    <row r="39" spans="1:9">
      <c r="A39" s="395" t="s">
        <v>807</v>
      </c>
      <c r="B39" s="395"/>
      <c r="C39" s="395"/>
      <c r="D39" s="395"/>
      <c r="E39" s="395"/>
      <c r="F39" s="395"/>
      <c r="G39" s="395"/>
      <c r="H39" s="395"/>
      <c r="I39" s="395"/>
    </row>
    <row r="40" spans="1:9">
      <c r="A40" s="395" t="s">
        <v>808</v>
      </c>
      <c r="B40" s="395"/>
      <c r="C40" s="395"/>
      <c r="D40" s="395"/>
      <c r="E40" s="395"/>
      <c r="F40" s="395"/>
      <c r="G40" s="395"/>
      <c r="H40" s="395"/>
      <c r="I40" s="395"/>
    </row>
    <row r="41" spans="1:9">
      <c r="A41" s="395" t="s">
        <v>809</v>
      </c>
      <c r="B41" s="395"/>
      <c r="C41" s="395"/>
      <c r="D41" s="395"/>
      <c r="E41" s="395"/>
      <c r="F41" s="395"/>
      <c r="G41" s="395"/>
      <c r="H41" s="395"/>
      <c r="I41" s="395"/>
    </row>
    <row r="42" spans="1:9">
      <c r="A42" s="395" t="s">
        <v>810</v>
      </c>
      <c r="B42" s="395"/>
      <c r="C42" s="395"/>
      <c r="D42" s="395"/>
      <c r="E42" s="395"/>
      <c r="F42" s="395"/>
      <c r="G42" s="395"/>
      <c r="H42" s="395"/>
      <c r="I42" s="395"/>
    </row>
    <row r="43" spans="1:9">
      <c r="A43" s="235" t="s">
        <v>811</v>
      </c>
      <c r="B43" s="235"/>
      <c r="C43" s="235"/>
      <c r="D43" s="235"/>
      <c r="E43" s="235"/>
      <c r="F43" s="235"/>
      <c r="G43" s="236"/>
      <c r="H43" s="236"/>
      <c r="I43" s="236"/>
    </row>
    <row r="44" spans="1:9">
      <c r="A44" s="395" t="s">
        <v>812</v>
      </c>
      <c r="B44" s="395"/>
      <c r="C44" s="395"/>
      <c r="D44" s="395"/>
      <c r="E44" s="395"/>
      <c r="F44" s="395"/>
      <c r="G44" s="395"/>
      <c r="H44" s="395"/>
      <c r="I44" s="395"/>
    </row>
    <row r="45" spans="1:9" ht="14.25" customHeight="1">
      <c r="A45" s="395" t="s">
        <v>813</v>
      </c>
      <c r="B45" s="395"/>
      <c r="C45" s="395"/>
      <c r="D45" s="395"/>
      <c r="E45" s="395"/>
      <c r="F45" s="395"/>
      <c r="G45" s="395"/>
      <c r="H45" s="395"/>
      <c r="I45" s="395"/>
    </row>
    <row r="46" spans="1:9">
      <c r="A46" s="395" t="s">
        <v>814</v>
      </c>
      <c r="B46" s="395"/>
      <c r="C46" s="395"/>
      <c r="D46" s="395"/>
      <c r="E46" s="395"/>
      <c r="F46" s="395"/>
      <c r="G46" s="395"/>
      <c r="H46" s="395"/>
      <c r="I46" s="395"/>
    </row>
    <row r="47" spans="1:9">
      <c r="A47" s="235" t="s">
        <v>815</v>
      </c>
      <c r="B47" s="235"/>
      <c r="C47" s="235"/>
      <c r="D47" s="235"/>
      <c r="E47" s="235"/>
      <c r="F47" s="235"/>
      <c r="G47" s="235"/>
      <c r="H47" s="235"/>
      <c r="I47" s="235"/>
    </row>
    <row r="48" spans="1:9">
      <c r="A48" s="395" t="s">
        <v>816</v>
      </c>
      <c r="B48" s="395"/>
      <c r="C48" s="395"/>
      <c r="D48" s="395"/>
      <c r="E48" s="395"/>
      <c r="F48" s="395"/>
      <c r="G48" s="395"/>
      <c r="H48" s="395"/>
      <c r="I48" s="395"/>
    </row>
    <row r="49" spans="1:9">
      <c r="A49" s="395" t="s">
        <v>817</v>
      </c>
      <c r="B49" s="395"/>
      <c r="C49" s="395"/>
      <c r="D49" s="395"/>
      <c r="E49" s="395"/>
      <c r="F49" s="395"/>
      <c r="G49" s="395"/>
      <c r="H49" s="395"/>
      <c r="I49" s="395"/>
    </row>
  </sheetData>
  <sheetProtection algorithmName="SHA-512" hashValue="Mrc6dTBUQ7i2eMivoUGFQIqxggEAHSQXAr4lf673+6u92BYkdSiFewBfByFkqlmGWvaOxw+UEAdkp95PEU9lgg==" saltValue="u4lmjmTyOVjjVTaAthrHCg==" spinCount="100000" sheet="1" objects="1" scenarios="1"/>
  <mergeCells count="60">
    <mergeCell ref="N4:N6"/>
    <mergeCell ref="O4:O6"/>
    <mergeCell ref="P4:P6"/>
    <mergeCell ref="E5:F5"/>
    <mergeCell ref="E7:F7"/>
    <mergeCell ref="M7:M12"/>
    <mergeCell ref="N7:N8"/>
    <mergeCell ref="E8:F8"/>
    <mergeCell ref="G8:G9"/>
    <mergeCell ref="L8:L12"/>
    <mergeCell ref="K9:K12"/>
    <mergeCell ref="N9:N12"/>
    <mergeCell ref="O9:O12"/>
    <mergeCell ref="P10:P12"/>
    <mergeCell ref="B4:H4"/>
    <mergeCell ref="J4:J6"/>
    <mergeCell ref="K4:K6"/>
    <mergeCell ref="L4:L6"/>
    <mergeCell ref="M4:M6"/>
    <mergeCell ref="D8:D10"/>
    <mergeCell ref="A16:B16"/>
    <mergeCell ref="E9:F11"/>
    <mergeCell ref="H9:H11"/>
    <mergeCell ref="I9:I12"/>
    <mergeCell ref="J9:J12"/>
    <mergeCell ref="G10:G11"/>
    <mergeCell ref="E12:F12"/>
    <mergeCell ref="B5:C5"/>
    <mergeCell ref="B6:C6"/>
    <mergeCell ref="B7:C7"/>
    <mergeCell ref="B8:C8"/>
    <mergeCell ref="B9:C11"/>
    <mergeCell ref="A44:I44"/>
    <mergeCell ref="A25:B25"/>
    <mergeCell ref="A45:I45"/>
    <mergeCell ref="A29:I29"/>
    <mergeCell ref="A30:I30"/>
    <mergeCell ref="A31:I31"/>
    <mergeCell ref="A32:I32"/>
    <mergeCell ref="A33:I33"/>
    <mergeCell ref="A34:I34"/>
    <mergeCell ref="A35:I35"/>
    <mergeCell ref="A36:I36"/>
    <mergeCell ref="A37:I37"/>
    <mergeCell ref="B12:C12"/>
    <mergeCell ref="A49:I49"/>
    <mergeCell ref="A17:B17"/>
    <mergeCell ref="A19:B19"/>
    <mergeCell ref="A20:B20"/>
    <mergeCell ref="A21:B21"/>
    <mergeCell ref="A22:B22"/>
    <mergeCell ref="A23:B23"/>
    <mergeCell ref="A24:B24"/>
    <mergeCell ref="A18:B18"/>
    <mergeCell ref="A39:I39"/>
    <mergeCell ref="A40:I40"/>
    <mergeCell ref="A41:I41"/>
    <mergeCell ref="A42:I42"/>
    <mergeCell ref="A46:I46"/>
    <mergeCell ref="A48:I48"/>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6B723-CD81-4B60-BC59-18E53AFE8511}">
  <sheetPr codeName="Sheet21"/>
  <dimension ref="A1:N40"/>
  <sheetViews>
    <sheetView showGridLines="0" zoomScaleNormal="100" workbookViewId="0">
      <selection activeCell="B1" sqref="B1"/>
    </sheetView>
  </sheetViews>
  <sheetFormatPr defaultColWidth="9.140625" defaultRowHeight="14.1"/>
  <cols>
    <col min="1" max="1" width="30.42578125" style="1" customWidth="1"/>
    <col min="2" max="2" width="20" style="1" customWidth="1"/>
    <col min="3" max="3" width="18.42578125" style="1" customWidth="1"/>
    <col min="4" max="4" width="20.42578125" style="1" bestFit="1" customWidth="1"/>
    <col min="5" max="5" width="17.42578125" style="1" customWidth="1"/>
    <col min="6" max="6" width="23.42578125" style="1" customWidth="1"/>
    <col min="7" max="7" width="28.42578125" style="1" customWidth="1"/>
    <col min="8" max="8" width="25.42578125" style="1" customWidth="1"/>
    <col min="9" max="9" width="4.85546875" style="1" customWidth="1"/>
    <col min="10" max="16384" width="9.140625" style="1"/>
  </cols>
  <sheetData>
    <row r="1" spans="1:14" s="170" customFormat="1" ht="15" customHeight="1">
      <c r="A1" s="174" t="s">
        <v>818</v>
      </c>
      <c r="B1" s="175">
        <v>45096</v>
      </c>
      <c r="C1" s="198"/>
      <c r="D1" s="199"/>
      <c r="E1" s="199"/>
      <c r="F1" s="199"/>
      <c r="G1" s="199"/>
      <c r="H1" s="199"/>
      <c r="I1" s="199"/>
      <c r="J1" s="199"/>
      <c r="K1" s="199"/>
      <c r="L1" s="199"/>
      <c r="M1" s="171"/>
    </row>
    <row r="2" spans="1:14" s="170" customFormat="1" ht="15" thickBot="1">
      <c r="B2" s="172"/>
      <c r="C2" s="173"/>
      <c r="D2" s="171"/>
      <c r="E2" s="171"/>
      <c r="F2" s="171"/>
      <c r="G2" s="171"/>
      <c r="H2" s="171"/>
      <c r="I2" s="171"/>
      <c r="J2" s="171"/>
      <c r="K2" s="171"/>
      <c r="L2" s="171"/>
      <c r="M2" s="171"/>
      <c r="N2" s="171"/>
    </row>
    <row r="3" spans="1:14" ht="29.1" customHeight="1">
      <c r="A3" s="481" t="s">
        <v>819</v>
      </c>
      <c r="B3" s="482"/>
      <c r="C3" s="482"/>
      <c r="D3" s="482"/>
      <c r="E3" s="482"/>
      <c r="F3" s="482"/>
      <c r="G3" s="482"/>
      <c r="H3" s="483" t="s">
        <v>820</v>
      </c>
    </row>
    <row r="4" spans="1:14" ht="32.450000000000003" customHeight="1" thickBot="1">
      <c r="A4" s="486" t="s">
        <v>821</v>
      </c>
      <c r="B4" s="488" t="s">
        <v>822</v>
      </c>
      <c r="C4" s="489"/>
      <c r="D4" s="489"/>
      <c r="E4" s="489"/>
      <c r="F4" s="490"/>
      <c r="G4" s="182" t="s">
        <v>823</v>
      </c>
      <c r="H4" s="484"/>
    </row>
    <row r="5" spans="1:14" ht="15.6" customHeight="1" thickBot="1">
      <c r="A5" s="486"/>
      <c r="B5" s="183" t="s">
        <v>824</v>
      </c>
      <c r="C5" s="184" t="s">
        <v>825</v>
      </c>
      <c r="D5" s="185" t="s">
        <v>727</v>
      </c>
      <c r="E5" s="186" t="s">
        <v>826</v>
      </c>
      <c r="F5" s="187" t="s">
        <v>827</v>
      </c>
      <c r="G5" s="188" t="s">
        <v>828</v>
      </c>
      <c r="H5" s="485"/>
    </row>
    <row r="6" spans="1:14" ht="45" thickBot="1">
      <c r="A6" s="487"/>
      <c r="B6" s="189" t="s">
        <v>829</v>
      </c>
      <c r="C6" s="189" t="s">
        <v>830</v>
      </c>
      <c r="D6" s="189" t="s">
        <v>831</v>
      </c>
      <c r="E6" s="189" t="s">
        <v>832</v>
      </c>
      <c r="F6" s="189" t="s">
        <v>833</v>
      </c>
      <c r="G6" s="190" t="s">
        <v>834</v>
      </c>
      <c r="H6" s="196" t="s">
        <v>835</v>
      </c>
    </row>
    <row r="7" spans="1:14" ht="30.95" thickBot="1">
      <c r="A7" s="192" t="s">
        <v>836</v>
      </c>
      <c r="B7" s="193" t="s">
        <v>837</v>
      </c>
      <c r="C7" s="193" t="s">
        <v>838</v>
      </c>
      <c r="D7" s="193" t="s">
        <v>839</v>
      </c>
      <c r="E7" s="193" t="s">
        <v>840</v>
      </c>
      <c r="F7" s="193" t="s">
        <v>841</v>
      </c>
      <c r="G7" s="194" t="s">
        <v>842</v>
      </c>
      <c r="H7" s="195" t="s">
        <v>843</v>
      </c>
    </row>
    <row r="8" spans="1:14" ht="41.25" customHeight="1">
      <c r="A8" s="191" t="s">
        <v>844</v>
      </c>
    </row>
    <row r="9" spans="1:14">
      <c r="A9" s="491" t="s">
        <v>845</v>
      </c>
      <c r="B9" s="491"/>
      <c r="C9" s="491"/>
      <c r="D9" s="491"/>
      <c r="E9" s="491"/>
      <c r="F9" s="491"/>
    </row>
    <row r="11" spans="1:14" ht="15" thickBot="1"/>
    <row r="12" spans="1:14" ht="15">
      <c r="A12" s="200" t="s">
        <v>846</v>
      </c>
      <c r="B12" s="201"/>
      <c r="C12" s="473" t="s">
        <v>847</v>
      </c>
      <c r="D12" s="474"/>
      <c r="E12" s="474" t="s">
        <v>848</v>
      </c>
      <c r="F12" s="477"/>
    </row>
    <row r="13" spans="1:14" ht="15" thickBot="1">
      <c r="A13" s="479" t="s">
        <v>849</v>
      </c>
      <c r="B13" s="480"/>
      <c r="C13" s="475"/>
      <c r="D13" s="476"/>
      <c r="E13" s="476"/>
      <c r="F13" s="478"/>
    </row>
    <row r="14" spans="1:14" ht="24" customHeight="1">
      <c r="A14" s="454" t="s">
        <v>850</v>
      </c>
      <c r="B14" s="455"/>
      <c r="C14" s="458" t="s">
        <v>768</v>
      </c>
      <c r="D14" s="206" t="s">
        <v>851</v>
      </c>
      <c r="E14" s="460" t="s">
        <v>768</v>
      </c>
      <c r="F14" s="209" t="s">
        <v>851</v>
      </c>
    </row>
    <row r="15" spans="1:14">
      <c r="A15" s="456"/>
      <c r="B15" s="457"/>
      <c r="C15" s="459"/>
      <c r="D15" s="207" t="s">
        <v>852</v>
      </c>
      <c r="E15" s="461"/>
      <c r="F15" s="210" t="s">
        <v>853</v>
      </c>
    </row>
    <row r="16" spans="1:14" ht="15" customHeight="1">
      <c r="A16" s="462" t="s">
        <v>854</v>
      </c>
      <c r="B16" s="463"/>
      <c r="C16" s="202" t="s">
        <v>855</v>
      </c>
      <c r="D16" s="208" t="s">
        <v>856</v>
      </c>
      <c r="E16" s="464" t="s">
        <v>857</v>
      </c>
      <c r="F16" s="467" t="s">
        <v>858</v>
      </c>
    </row>
    <row r="17" spans="1:6">
      <c r="A17" s="462" t="s">
        <v>859</v>
      </c>
      <c r="B17" s="463"/>
      <c r="C17" s="203" t="s">
        <v>860</v>
      </c>
      <c r="D17" s="208" t="s">
        <v>856</v>
      </c>
      <c r="E17" s="465"/>
      <c r="F17" s="467"/>
    </row>
    <row r="18" spans="1:6">
      <c r="A18" s="462" t="s">
        <v>861</v>
      </c>
      <c r="B18" s="463"/>
      <c r="C18" s="203" t="s">
        <v>862</v>
      </c>
      <c r="D18" s="208" t="s">
        <v>856</v>
      </c>
      <c r="E18" s="465"/>
      <c r="F18" s="467"/>
    </row>
    <row r="19" spans="1:6">
      <c r="A19" s="469" t="s">
        <v>863</v>
      </c>
      <c r="B19" s="470"/>
      <c r="C19" s="204" t="s">
        <v>864</v>
      </c>
      <c r="D19" s="208" t="s">
        <v>856</v>
      </c>
      <c r="E19" s="465"/>
      <c r="F19" s="467"/>
    </row>
    <row r="20" spans="1:6" ht="15" thickBot="1">
      <c r="A20" s="471" t="s">
        <v>865</v>
      </c>
      <c r="B20" s="472"/>
      <c r="C20" s="205" t="s">
        <v>866</v>
      </c>
      <c r="D20" s="208" t="s">
        <v>856</v>
      </c>
      <c r="E20" s="466"/>
      <c r="F20" s="468"/>
    </row>
    <row r="21" spans="1:6">
      <c r="A21" s="254"/>
      <c r="B21" s="254"/>
      <c r="C21" s="255"/>
      <c r="D21" s="255"/>
      <c r="E21" s="256"/>
      <c r="F21" s="256"/>
    </row>
    <row r="22" spans="1:6">
      <c r="A22" s="257" t="s">
        <v>867</v>
      </c>
      <c r="B22" s="254"/>
      <c r="C22" s="255"/>
      <c r="D22" s="255"/>
      <c r="E22" s="256"/>
      <c r="F22" s="256"/>
    </row>
    <row r="23" spans="1:6" ht="15" thickBot="1"/>
    <row r="24" spans="1:6" ht="30.95" thickBot="1">
      <c r="A24" s="178" t="s">
        <v>868</v>
      </c>
      <c r="B24" s="197" t="s">
        <v>869</v>
      </c>
    </row>
    <row r="28" spans="1:6">
      <c r="B28" s="179" t="s">
        <v>870</v>
      </c>
      <c r="C28" s="179"/>
    </row>
    <row r="29" spans="1:6">
      <c r="A29" s="179" t="s">
        <v>871</v>
      </c>
      <c r="B29" s="179" t="s">
        <v>872</v>
      </c>
      <c r="C29" s="179" t="s">
        <v>873</v>
      </c>
    </row>
    <row r="30" spans="1:6">
      <c r="A30" s="1" t="s">
        <v>824</v>
      </c>
      <c r="B30" s="1" t="s">
        <v>874</v>
      </c>
      <c r="C30" s="1" t="s">
        <v>875</v>
      </c>
    </row>
    <row r="31" spans="1:6">
      <c r="A31" s="1" t="s">
        <v>876</v>
      </c>
      <c r="B31" s="180" t="s">
        <v>877</v>
      </c>
      <c r="C31" s="1" t="s">
        <v>878</v>
      </c>
    </row>
    <row r="32" spans="1:6">
      <c r="A32" s="1" t="s">
        <v>825</v>
      </c>
      <c r="B32" s="1" t="s">
        <v>879</v>
      </c>
      <c r="C32" s="1" t="s">
        <v>880</v>
      </c>
    </row>
    <row r="33" spans="1:3">
      <c r="A33" s="1" t="s">
        <v>825</v>
      </c>
      <c r="B33" s="180" t="s">
        <v>881</v>
      </c>
      <c r="C33" s="1" t="s">
        <v>882</v>
      </c>
    </row>
    <row r="34" spans="1:3">
      <c r="A34" s="1" t="s">
        <v>825</v>
      </c>
      <c r="B34" s="1" t="s">
        <v>883</v>
      </c>
      <c r="C34" s="1" t="s">
        <v>884</v>
      </c>
    </row>
    <row r="35" spans="1:3">
      <c r="A35" s="1" t="s">
        <v>825</v>
      </c>
      <c r="B35" s="1" t="s">
        <v>885</v>
      </c>
      <c r="C35" s="1" t="s">
        <v>886</v>
      </c>
    </row>
    <row r="36" spans="1:3">
      <c r="A36" s="1" t="s">
        <v>727</v>
      </c>
      <c r="B36" s="1" t="s">
        <v>887</v>
      </c>
      <c r="C36" s="1" t="s">
        <v>888</v>
      </c>
    </row>
    <row r="37" spans="1:3">
      <c r="A37" s="1" t="s">
        <v>727</v>
      </c>
      <c r="B37" s="1" t="s">
        <v>889</v>
      </c>
      <c r="C37" s="1" t="s">
        <v>890</v>
      </c>
    </row>
    <row r="38" spans="1:3">
      <c r="A38" s="1" t="s">
        <v>891</v>
      </c>
      <c r="B38" s="1" t="s">
        <v>892</v>
      </c>
      <c r="C38" s="1" t="s">
        <v>893</v>
      </c>
    </row>
    <row r="39" spans="1:3">
      <c r="A39" s="1" t="s">
        <v>894</v>
      </c>
      <c r="B39" s="1" t="s">
        <v>895</v>
      </c>
      <c r="C39" s="1" t="s">
        <v>896</v>
      </c>
    </row>
    <row r="40" spans="1:3">
      <c r="A40" s="1" t="s">
        <v>894</v>
      </c>
      <c r="B40" s="1" t="s">
        <v>897</v>
      </c>
      <c r="C40" s="1" t="s">
        <v>898</v>
      </c>
    </row>
  </sheetData>
  <sheetProtection algorithmName="SHA-512" hashValue="Vrl0BfCcVBJD+4eWu3mFtnNATtmPeo4ffMtfcGA87rsi6VONM3dq/Xegtiq+dKmkKRM79u6bVqVwGpfes++wcA==" saltValue="ars7XcOttZCjME9hZ0ivxw==" spinCount="100000" sheet="1" objects="1" scenarios="1"/>
  <mergeCells count="18">
    <mergeCell ref="C12:D13"/>
    <mergeCell ref="E12:F13"/>
    <mergeCell ref="A13:B13"/>
    <mergeCell ref="A3:G3"/>
    <mergeCell ref="H3:H5"/>
    <mergeCell ref="A4:A6"/>
    <mergeCell ref="B4:F4"/>
    <mergeCell ref="A9:F9"/>
    <mergeCell ref="F16:F20"/>
    <mergeCell ref="A17:B17"/>
    <mergeCell ref="A18:B18"/>
    <mergeCell ref="A19:B19"/>
    <mergeCell ref="A20:B20"/>
    <mergeCell ref="A14:B15"/>
    <mergeCell ref="C14:C15"/>
    <mergeCell ref="E14:E15"/>
    <mergeCell ref="A16:B16"/>
    <mergeCell ref="E16:E20"/>
  </mergeCells>
  <hyperlinks>
    <hyperlink ref="B33" r:id="rId1" xr:uid="{83C7E593-881A-4FA2-BEF6-5868CE4E75CC}"/>
    <hyperlink ref="B31" r:id="rId2" xr:uid="{8F1610D9-07D4-45FE-B951-6C487B0F6742}"/>
  </hyperlinks>
  <pageMargins left="0.7" right="0.7" top="0.75" bottom="0.75" header="0.3" footer="0.3"/>
  <pageSetup orientation="portrait"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B2:F33"/>
  <sheetViews>
    <sheetView showGridLines="0" workbookViewId="0"/>
  </sheetViews>
  <sheetFormatPr defaultColWidth="8.85546875" defaultRowHeight="15"/>
  <cols>
    <col min="1" max="1" width="3.42578125" customWidth="1"/>
    <col min="2" max="2" width="15.42578125" bestFit="1" customWidth="1"/>
    <col min="3" max="4" width="15.42578125" customWidth="1"/>
    <col min="5" max="5" width="27.42578125" customWidth="1"/>
    <col min="6" max="18" width="15.42578125" customWidth="1"/>
  </cols>
  <sheetData>
    <row r="2" spans="2:6">
      <c r="B2" s="7" t="s">
        <v>899</v>
      </c>
      <c r="C2" s="7"/>
      <c r="D2" s="7"/>
      <c r="E2" s="7"/>
      <c r="F2" s="7"/>
    </row>
    <row r="3" spans="2:6">
      <c r="B3" s="4" t="s">
        <v>900</v>
      </c>
      <c r="C3" s="227" t="s">
        <v>901</v>
      </c>
      <c r="D3" s="4" t="s">
        <v>902</v>
      </c>
      <c r="E3" s="30">
        <v>45215</v>
      </c>
      <c r="F3" s="14"/>
    </row>
    <row r="4" spans="2:6">
      <c r="B4" s="7" t="s">
        <v>903</v>
      </c>
      <c r="C4" s="7"/>
      <c r="D4" s="7"/>
      <c r="E4" s="7"/>
      <c r="F4" s="7"/>
    </row>
    <row r="5" spans="2:6">
      <c r="B5" s="4" t="s">
        <v>904</v>
      </c>
      <c r="C5" s="331" t="s">
        <v>905</v>
      </c>
      <c r="D5" s="508"/>
      <c r="E5" s="332"/>
      <c r="F5" s="4" t="s">
        <v>902</v>
      </c>
    </row>
    <row r="6" spans="2:6" ht="45">
      <c r="B6" s="252" t="s">
        <v>906</v>
      </c>
      <c r="C6" s="492" t="s">
        <v>907</v>
      </c>
      <c r="D6" s="493"/>
      <c r="E6" s="494"/>
      <c r="F6" s="294" t="s">
        <v>908</v>
      </c>
    </row>
    <row r="7" spans="2:6" ht="45">
      <c r="B7" s="252" t="s">
        <v>906</v>
      </c>
      <c r="C7" s="492" t="s">
        <v>907</v>
      </c>
      <c r="D7" s="493"/>
      <c r="E7" s="494"/>
      <c r="F7" s="253">
        <v>45203</v>
      </c>
    </row>
    <row r="8" spans="2:6" ht="45">
      <c r="B8" s="252" t="s">
        <v>906</v>
      </c>
      <c r="C8" s="492" t="s">
        <v>907</v>
      </c>
      <c r="D8" s="493"/>
      <c r="E8" s="494"/>
      <c r="F8" s="253">
        <v>45096</v>
      </c>
    </row>
    <row r="9" spans="2:6" ht="45">
      <c r="B9" s="252" t="s">
        <v>906</v>
      </c>
      <c r="C9" s="492" t="s">
        <v>909</v>
      </c>
      <c r="D9" s="493"/>
      <c r="E9" s="494"/>
      <c r="F9" s="253">
        <v>45090</v>
      </c>
    </row>
    <row r="10" spans="2:6" ht="40.5" customHeight="1">
      <c r="B10" s="181">
        <v>1.2</v>
      </c>
      <c r="C10" s="504" t="s">
        <v>910</v>
      </c>
      <c r="D10" s="505"/>
      <c r="E10" s="506"/>
      <c r="F10" s="30">
        <v>45040</v>
      </c>
    </row>
    <row r="11" spans="2:6" ht="196.5" customHeight="1">
      <c r="B11" s="181">
        <v>1.19</v>
      </c>
      <c r="C11" s="507" t="s">
        <v>911</v>
      </c>
      <c r="D11" s="505"/>
      <c r="E11" s="506"/>
      <c r="F11" s="30">
        <v>44904</v>
      </c>
    </row>
    <row r="12" spans="2:6" ht="45">
      <c r="B12" s="181" t="s">
        <v>912</v>
      </c>
      <c r="C12" s="507" t="s">
        <v>913</v>
      </c>
      <c r="D12" s="505"/>
      <c r="E12" s="506"/>
      <c r="F12" s="30">
        <v>44855</v>
      </c>
    </row>
    <row r="13" spans="2:6" ht="45">
      <c r="B13" s="181" t="s">
        <v>914</v>
      </c>
      <c r="C13" s="507" t="s">
        <v>913</v>
      </c>
      <c r="D13" s="505"/>
      <c r="E13" s="506"/>
      <c r="F13" s="30">
        <v>44852</v>
      </c>
    </row>
    <row r="14" spans="2:6" ht="64.5" customHeight="1">
      <c r="B14" s="181" t="s">
        <v>914</v>
      </c>
      <c r="C14" s="499" t="s">
        <v>915</v>
      </c>
      <c r="D14" s="500"/>
      <c r="E14" s="501"/>
      <c r="F14" s="30">
        <v>44846</v>
      </c>
    </row>
    <row r="15" spans="2:6" ht="116.25" customHeight="1">
      <c r="B15" s="29">
        <v>1.18</v>
      </c>
      <c r="C15" s="499" t="s">
        <v>916</v>
      </c>
      <c r="D15" s="500"/>
      <c r="E15" s="501"/>
      <c r="F15" s="30">
        <v>44798</v>
      </c>
    </row>
    <row r="16" spans="2:6" ht="105" customHeight="1">
      <c r="B16" s="29">
        <v>1.17</v>
      </c>
      <c r="C16" s="499" t="s">
        <v>917</v>
      </c>
      <c r="D16" s="500"/>
      <c r="E16" s="501"/>
      <c r="F16" s="30">
        <v>44621</v>
      </c>
    </row>
    <row r="17" spans="2:6" ht="105" customHeight="1">
      <c r="B17" s="29">
        <v>1.1599999999999999</v>
      </c>
      <c r="C17" s="499" t="s">
        <v>918</v>
      </c>
      <c r="D17" s="500"/>
      <c r="E17" s="501"/>
      <c r="F17" s="30">
        <v>44510</v>
      </c>
    </row>
    <row r="18" spans="2:6" ht="154.5" customHeight="1">
      <c r="B18" s="29">
        <v>1.1499999999999999</v>
      </c>
      <c r="C18" s="499" t="s">
        <v>919</v>
      </c>
      <c r="D18" s="500"/>
      <c r="E18" s="501"/>
      <c r="F18" s="30">
        <v>44489</v>
      </c>
    </row>
    <row r="19" spans="2:6" ht="92.25" customHeight="1">
      <c r="B19" s="29">
        <v>1.1399999999999999</v>
      </c>
      <c r="C19" s="499" t="s">
        <v>920</v>
      </c>
      <c r="D19" s="500"/>
      <c r="E19" s="501"/>
      <c r="F19" s="30">
        <v>44348</v>
      </c>
    </row>
    <row r="20" spans="2:6" ht="52.5" customHeight="1">
      <c r="B20" s="29">
        <v>1.1299999999999999</v>
      </c>
      <c r="C20" s="499" t="s">
        <v>921</v>
      </c>
      <c r="D20" s="500"/>
      <c r="E20" s="501"/>
      <c r="F20" s="30">
        <v>44321</v>
      </c>
    </row>
    <row r="21" spans="2:6" ht="40.5" customHeight="1">
      <c r="B21" s="29">
        <v>1.1200000000000001</v>
      </c>
      <c r="C21" s="499" t="s">
        <v>922</v>
      </c>
      <c r="D21" s="500"/>
      <c r="E21" s="501"/>
      <c r="F21" s="30">
        <v>44299</v>
      </c>
    </row>
    <row r="22" spans="2:6" ht="40.5" customHeight="1">
      <c r="B22" s="29">
        <v>1.1100000000000001</v>
      </c>
      <c r="C22" s="499" t="s">
        <v>923</v>
      </c>
      <c r="D22" s="500"/>
      <c r="E22" s="501"/>
      <c r="F22" s="30">
        <v>44287</v>
      </c>
    </row>
    <row r="23" spans="2:6" ht="27" customHeight="1">
      <c r="B23" s="29">
        <v>1.1000000000000001</v>
      </c>
      <c r="C23" s="499" t="s">
        <v>924</v>
      </c>
      <c r="D23" s="500"/>
      <c r="E23" s="501"/>
      <c r="F23" s="30">
        <v>44270</v>
      </c>
    </row>
    <row r="24" spans="2:6" ht="27" customHeight="1">
      <c r="B24" s="29">
        <v>1.0900000000000001</v>
      </c>
      <c r="C24" s="499" t="s">
        <v>925</v>
      </c>
      <c r="D24" s="500"/>
      <c r="E24" s="501"/>
      <c r="F24" s="30">
        <v>44228</v>
      </c>
    </row>
    <row r="25" spans="2:6" ht="27" customHeight="1">
      <c r="B25" s="29">
        <v>1.08</v>
      </c>
      <c r="C25" s="499" t="s">
        <v>926</v>
      </c>
      <c r="D25" s="500"/>
      <c r="E25" s="501"/>
      <c r="F25" s="30">
        <v>44193</v>
      </c>
    </row>
    <row r="26" spans="2:6">
      <c r="B26" s="29">
        <v>1.07</v>
      </c>
      <c r="C26" s="499" t="s">
        <v>927</v>
      </c>
      <c r="D26" s="500"/>
      <c r="E26" s="501"/>
      <c r="F26" s="30">
        <v>43895</v>
      </c>
    </row>
    <row r="27" spans="2:6" ht="66" customHeight="1">
      <c r="B27" s="29">
        <v>1.06</v>
      </c>
      <c r="C27" s="499" t="s">
        <v>928</v>
      </c>
      <c r="D27" s="500"/>
      <c r="E27" s="501"/>
      <c r="F27" s="30">
        <v>43696</v>
      </c>
    </row>
    <row r="28" spans="2:6" ht="142.5" customHeight="1">
      <c r="B28" s="29">
        <v>1.05</v>
      </c>
      <c r="C28" s="499" t="s">
        <v>929</v>
      </c>
      <c r="D28" s="500"/>
      <c r="E28" s="501"/>
      <c r="F28" s="30">
        <v>43647</v>
      </c>
    </row>
    <row r="29" spans="2:6">
      <c r="B29" s="29">
        <v>1.04</v>
      </c>
      <c r="C29" s="498" t="s">
        <v>930</v>
      </c>
      <c r="D29" s="496"/>
      <c r="E29" s="497"/>
      <c r="F29" s="30">
        <v>43598</v>
      </c>
    </row>
    <row r="30" spans="2:6" ht="28.5" customHeight="1">
      <c r="B30" s="29">
        <v>1.03</v>
      </c>
      <c r="C30" s="498" t="s">
        <v>931</v>
      </c>
      <c r="D30" s="496"/>
      <c r="E30" s="497"/>
      <c r="F30" s="30">
        <v>43595</v>
      </c>
    </row>
    <row r="31" spans="2:6" ht="107.25" customHeight="1">
      <c r="B31" s="29">
        <v>1.02</v>
      </c>
      <c r="C31" s="507" t="s">
        <v>932</v>
      </c>
      <c r="D31" s="509"/>
      <c r="E31" s="510"/>
      <c r="F31" s="30">
        <v>43591</v>
      </c>
    </row>
    <row r="32" spans="2:6" ht="40.5" customHeight="1">
      <c r="B32" s="29">
        <v>1.01</v>
      </c>
      <c r="C32" s="498" t="s">
        <v>933</v>
      </c>
      <c r="D32" s="502"/>
      <c r="E32" s="503"/>
      <c r="F32" s="30">
        <v>43549</v>
      </c>
    </row>
    <row r="33" spans="2:6">
      <c r="B33" s="29">
        <v>1</v>
      </c>
      <c r="C33" s="495" t="s">
        <v>934</v>
      </c>
      <c r="D33" s="496"/>
      <c r="E33" s="497"/>
      <c r="F33" s="30">
        <v>43543</v>
      </c>
    </row>
  </sheetData>
  <sheetProtection algorithmName="SHA-512" hashValue="Cr6CxB3DbinYluS1micHx6dJ3Zls8xXkeYYUUlzTr6JpBj+6kJf9IfKW3Ixd6e7iSzt5IsDqzm2vUbkQk9qfWg==" saltValue="vb41rOn85rGJ/D6EMPUmSQ==" spinCount="100000" sheet="1" objects="1" scenarios="1"/>
  <mergeCells count="29">
    <mergeCell ref="C5:E5"/>
    <mergeCell ref="C30:E30"/>
    <mergeCell ref="C31:E31"/>
    <mergeCell ref="C21:E21"/>
    <mergeCell ref="C20:E20"/>
    <mergeCell ref="C19:E19"/>
    <mergeCell ref="C17:E17"/>
    <mergeCell ref="C16:E16"/>
    <mergeCell ref="C15:E15"/>
    <mergeCell ref="C14:E14"/>
    <mergeCell ref="C12:E12"/>
    <mergeCell ref="C13:E13"/>
    <mergeCell ref="C18:E18"/>
    <mergeCell ref="C25:E25"/>
    <mergeCell ref="C24:E24"/>
    <mergeCell ref="C6:E6"/>
    <mergeCell ref="C7:E7"/>
    <mergeCell ref="C33:E33"/>
    <mergeCell ref="C29:E29"/>
    <mergeCell ref="C28:E28"/>
    <mergeCell ref="C27:E27"/>
    <mergeCell ref="C26:E26"/>
    <mergeCell ref="C32:E32"/>
    <mergeCell ref="C23:E23"/>
    <mergeCell ref="C9:E9"/>
    <mergeCell ref="C22:E22"/>
    <mergeCell ref="C10:E10"/>
    <mergeCell ref="C11:E11"/>
    <mergeCell ref="C8:E8"/>
  </mergeCells>
  <pageMargins left="0.7" right="0.7" top="0.75" bottom="0.75" header="0.3" footer="0.3"/>
  <pageSetup orientation="portrait" horizontalDpi="4294967293" r:id="rId1"/>
  <extLst>
    <ext xmlns:x14="http://schemas.microsoft.com/office/spreadsheetml/2009/9/main" uri="{78C0D931-6437-407d-A8EE-F0AAD7539E65}">
      <x14:conditionalFormattings>
        <x14:conditionalFormatting xmlns:xm="http://schemas.microsoft.com/office/excel/2006/main">
          <x14:cfRule type="expression" priority="468" id="{F698C60B-D0D9-44FD-AABA-5B5E71ED553D}">
            <xm:f>Baseline!$D$6="Department Based"</xm:f>
            <x14:dxf>
              <font>
                <color theme="2" tint="-0.24994659260841701"/>
              </font>
              <fill>
                <patternFill>
                  <bgColor theme="2" tint="-0.24994659260841701"/>
                </patternFill>
              </fill>
            </x14:dxf>
          </x14:cfRule>
          <xm:sqref>F3</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1:V9"/>
  <sheetViews>
    <sheetView zoomScale="80" zoomScaleNormal="80" workbookViewId="0"/>
  </sheetViews>
  <sheetFormatPr defaultColWidth="8.85546875" defaultRowHeight="15"/>
  <cols>
    <col min="1" max="7" width="13.42578125" customWidth="1"/>
    <col min="8" max="10" width="18.42578125" customWidth="1"/>
    <col min="11" max="12" width="13.42578125" customWidth="1"/>
    <col min="13" max="14" width="17.42578125" bestFit="1" customWidth="1"/>
    <col min="15" max="15" width="20.140625" bestFit="1" customWidth="1"/>
    <col min="16" max="16" width="20.42578125" bestFit="1" customWidth="1"/>
    <col min="17" max="18" width="19.42578125" bestFit="1" customWidth="1"/>
    <col min="19" max="19" width="20" bestFit="1" customWidth="1"/>
    <col min="20" max="20" width="20.42578125" bestFit="1" customWidth="1"/>
    <col min="21" max="22" width="15.42578125" customWidth="1"/>
  </cols>
  <sheetData>
    <row r="1" spans="1:22">
      <c r="A1" s="19" t="s">
        <v>935</v>
      </c>
      <c r="B1" s="19" t="s">
        <v>936</v>
      </c>
      <c r="C1" s="19" t="s">
        <v>937</v>
      </c>
      <c r="D1" s="19" t="s">
        <v>938</v>
      </c>
      <c r="E1" s="19" t="s">
        <v>939</v>
      </c>
      <c r="F1" s="19" t="s">
        <v>940</v>
      </c>
      <c r="G1" s="19" t="s">
        <v>941</v>
      </c>
      <c r="H1" s="19" t="s">
        <v>942</v>
      </c>
      <c r="I1" s="19" t="s">
        <v>943</v>
      </c>
      <c r="J1" s="19" t="s">
        <v>944</v>
      </c>
      <c r="K1" s="19" t="s">
        <v>945</v>
      </c>
      <c r="L1" s="19" t="s">
        <v>946</v>
      </c>
      <c r="M1" s="19" t="s">
        <v>947</v>
      </c>
      <c r="N1" s="19" t="s">
        <v>948</v>
      </c>
      <c r="O1" s="19" t="s">
        <v>949</v>
      </c>
      <c r="P1" s="19" t="s">
        <v>950</v>
      </c>
      <c r="Q1" s="19" t="s">
        <v>951</v>
      </c>
      <c r="R1" s="19" t="s">
        <v>952</v>
      </c>
      <c r="S1" s="19" t="s">
        <v>953</v>
      </c>
      <c r="T1" s="19" t="s">
        <v>954</v>
      </c>
      <c r="U1" s="19" t="s">
        <v>955</v>
      </c>
      <c r="V1" s="19" t="s">
        <v>956</v>
      </c>
    </row>
    <row r="2" spans="1:22">
      <c r="A2" s="2">
        <f>Overview!F4</f>
        <v>0</v>
      </c>
      <c r="B2" s="8"/>
      <c r="C2" s="8"/>
      <c r="D2" s="8"/>
      <c r="E2" s="2">
        <f>Overview!F4</f>
        <v>0</v>
      </c>
      <c r="F2" s="18" t="str">
        <f>Overview!C6</f>
        <v/>
      </c>
      <c r="G2" s="18" t="str">
        <f>Overview!C7</f>
        <v/>
      </c>
      <c r="H2" s="8"/>
      <c r="I2" s="8"/>
      <c r="J2" s="5">
        <f ca="1">Overview!C25</f>
        <v>662</v>
      </c>
      <c r="K2" s="8"/>
      <c r="L2" s="2">
        <f ca="1">Overview!D25</f>
        <v>16507</v>
      </c>
      <c r="M2" s="8"/>
      <c r="N2" s="5">
        <f ca="1">Overview!C25</f>
        <v>662</v>
      </c>
      <c r="O2" s="8"/>
      <c r="P2" s="3">
        <f>SUM(Overview!D22:D24)</f>
        <v>400</v>
      </c>
      <c r="Q2" s="8"/>
      <c r="R2" s="8"/>
      <c r="S2" s="8"/>
      <c r="T2" s="8"/>
      <c r="U2" s="8"/>
      <c r="V2" s="3">
        <f>Overview!F5</f>
        <v>28000</v>
      </c>
    </row>
    <row r="6" spans="1:22">
      <c r="A6" s="1" t="s">
        <v>957</v>
      </c>
    </row>
    <row r="7" spans="1:22">
      <c r="A7" s="1" t="s">
        <v>958</v>
      </c>
    </row>
    <row r="8" spans="1:22">
      <c r="A8" s="1" t="s">
        <v>959</v>
      </c>
    </row>
    <row r="9" spans="1:22">
      <c r="A9" s="1" t="s">
        <v>960</v>
      </c>
    </row>
  </sheetData>
  <sheetProtection algorithmName="SHA-512" hashValue="HGSRWJJBGDPI/xFEUGuo0kej5GaL4VnUzb0hbqPspKuFLl0NtkERWbFrMLvm/abM8CadhHaU9oIuat1g+p7gCA==" saltValue="1Hml+CHvf3hnQNxCbMFIsQ==" spinCount="100000" sheet="1" objects="1" scenario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B2:D18"/>
  <sheetViews>
    <sheetView workbookViewId="0">
      <selection activeCell="C9" sqref="C9"/>
    </sheetView>
  </sheetViews>
  <sheetFormatPr defaultColWidth="8.85546875" defaultRowHeight="15"/>
  <cols>
    <col min="2" max="2" width="43.42578125" bestFit="1" customWidth="1"/>
    <col min="3" max="9" width="20.42578125" customWidth="1"/>
  </cols>
  <sheetData>
    <row r="2" spans="2:4">
      <c r="B2" s="7" t="s">
        <v>961</v>
      </c>
      <c r="C2" s="7"/>
      <c r="D2" s="7"/>
    </row>
    <row r="3" spans="2:4">
      <c r="B3" s="4" t="s">
        <v>404</v>
      </c>
      <c r="C3" s="4" t="s">
        <v>406</v>
      </c>
      <c r="D3" s="4" t="s">
        <v>962</v>
      </c>
    </row>
    <row r="4" spans="2:4">
      <c r="B4" s="2" t="s">
        <v>963</v>
      </c>
      <c r="C4" s="3">
        <v>800</v>
      </c>
      <c r="D4" s="2"/>
    </row>
    <row r="5" spans="2:4">
      <c r="B5" s="2" t="s">
        <v>964</v>
      </c>
      <c r="C5" s="3">
        <v>300</v>
      </c>
      <c r="D5" s="2"/>
    </row>
    <row r="6" spans="2:4">
      <c r="B6" s="2" t="s">
        <v>965</v>
      </c>
      <c r="C6" s="3">
        <v>150</v>
      </c>
      <c r="D6" s="2"/>
    </row>
    <row r="7" spans="2:4">
      <c r="B7" s="2" t="s">
        <v>966</v>
      </c>
      <c r="C7" s="3">
        <v>65</v>
      </c>
      <c r="D7" s="2"/>
    </row>
    <row r="8" spans="2:4">
      <c r="B8" s="2" t="s">
        <v>967</v>
      </c>
      <c r="C8" s="3">
        <v>59</v>
      </c>
      <c r="D8" s="2"/>
    </row>
    <row r="9" spans="2:4">
      <c r="B9" s="2" t="s">
        <v>968</v>
      </c>
      <c r="C9" s="3">
        <v>0.53500000000000003</v>
      </c>
      <c r="D9" s="2"/>
    </row>
    <row r="10" spans="2:4">
      <c r="B10" s="2" t="s">
        <v>969</v>
      </c>
      <c r="C10" s="10">
        <v>0</v>
      </c>
      <c r="D10" s="2"/>
    </row>
    <row r="12" spans="2:4">
      <c r="B12" s="7" t="s">
        <v>970</v>
      </c>
      <c r="C12" s="7"/>
      <c r="D12" s="7"/>
    </row>
    <row r="13" spans="2:4">
      <c r="B13" s="4" t="s">
        <v>404</v>
      </c>
      <c r="C13" s="4" t="s">
        <v>406</v>
      </c>
      <c r="D13" s="4" t="s">
        <v>962</v>
      </c>
    </row>
    <row r="14" spans="2:4">
      <c r="B14" s="2" t="s">
        <v>971</v>
      </c>
      <c r="C14" s="3">
        <v>200</v>
      </c>
      <c r="D14" s="2"/>
    </row>
    <row r="15" spans="2:4">
      <c r="B15" s="2" t="s">
        <v>972</v>
      </c>
      <c r="C15" s="3">
        <v>50</v>
      </c>
      <c r="D15" s="2"/>
    </row>
    <row r="16" spans="2:4">
      <c r="B16" s="2" t="s">
        <v>969</v>
      </c>
      <c r="C16" s="10">
        <v>0</v>
      </c>
      <c r="D16" s="2"/>
    </row>
    <row r="17" spans="2:4">
      <c r="B17" s="2"/>
      <c r="C17" s="3"/>
      <c r="D17" s="2"/>
    </row>
    <row r="18" spans="2:4">
      <c r="B18" s="2"/>
      <c r="C18" s="3"/>
      <c r="D18" s="2"/>
    </row>
  </sheetData>
  <sheetProtection algorithmName="SHA-512" hashValue="/qdEkrQ2QB0LXKX1saVy33A/xKPhvghXpPt2JfTixyP4qUqfKvTStx6rzUWLg8PRBOkRRhplv/czV8I6UPQ67Q==" saltValue="pGgD5QiQFAGJxH96h5Ebbw=="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03D77FC2836124998EB22E0CB10460F" ma:contentTypeVersion="10" ma:contentTypeDescription="Create a new document." ma:contentTypeScope="" ma:versionID="333cdb8ddacebba36927cb5fc728a788">
  <xsd:schema xmlns:xsd="http://www.w3.org/2001/XMLSchema" xmlns:xs="http://www.w3.org/2001/XMLSchema" xmlns:p="http://schemas.microsoft.com/office/2006/metadata/properties" xmlns:ns2="c0aac28f-073a-4861-acc7-b9bcaea8c5a8" xmlns:ns3="ae10449b-c0f9-4892-b1b8-a414835e7ac0" targetNamespace="http://schemas.microsoft.com/office/2006/metadata/properties" ma:root="true" ma:fieldsID="64057b01a3651ad785c5d3981c70b08d" ns2:_="" ns3:_="">
    <xsd:import namespace="c0aac28f-073a-4861-acc7-b9bcaea8c5a8"/>
    <xsd:import namespace="ae10449b-c0f9-4892-b1b8-a414835e7ac0"/>
    <xsd:element name="properties">
      <xsd:complexType>
        <xsd:sequence>
          <xsd:element name="documentManagement">
            <xsd:complexType>
              <xsd:all>
                <xsd:element ref="ns2:MediaServiceMetadata" minOccurs="0"/>
                <xsd:element ref="ns2:MediaServiceFastMetadata" minOccurs="0"/>
                <xsd:element ref="ns2:Visible"/>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aac28f-073a-4861-acc7-b9bcaea8c5a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Visible" ma:index="10" ma:displayName="Visible" ma:default="No" ma:description="This attribute is in place to determine what views others can see who are not admins." ma:format="Dropdown" ma:internalName="Visible">
      <xsd:simpleType>
        <xsd:restriction base="dms:Choice">
          <xsd:enumeration value="Yes"/>
          <xsd:enumeration value="No"/>
        </xsd:restrictio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Length (seconds)" ma:internalName="MediaLengthInSeconds" ma:readOnly="true">
      <xsd:simpleType>
        <xsd:restriction base="dms:Unknown"/>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e10449b-c0f9-4892-b1b8-a414835e7ac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Visible xmlns="c0aac28f-073a-4861-acc7-b9bcaea8c5a8">No</Visible>
    <SharedWithUsers xmlns="ae10449b-c0f9-4892-b1b8-a414835e7ac0">
      <UserInfo>
        <DisplayName>Danny Wang</DisplayName>
        <AccountId>375</AccountId>
        <AccountType/>
      </UserInfo>
      <UserInfo>
        <DisplayName>Zain Shah</DisplayName>
        <AccountId>2087</AccountId>
        <AccountType/>
      </UserInfo>
      <UserInfo>
        <DisplayName>Anya Fields</DisplayName>
        <AccountId>1013</AccountId>
        <AccountType/>
      </UserInfo>
      <UserInfo>
        <DisplayName>RD Team Members</DisplayName>
        <AccountId>2054</AccountId>
        <AccountType/>
      </UserInfo>
      <UserInfo>
        <DisplayName>Greg Sottile</DisplayName>
        <AccountId>1851</AccountId>
        <AccountType/>
      </UserInfo>
      <UserInfo>
        <DisplayName>Rolawe Bakare</DisplayName>
        <AccountId>467</AccountId>
        <AccountType/>
      </UserInfo>
      <UserInfo>
        <DisplayName>Ashok Rajagopalan</DisplayName>
        <AccountId>2099</AccountId>
        <AccountType/>
      </UserInfo>
      <UserInfo>
        <DisplayName>Don Bilbrey</DisplayName>
        <AccountId>2200</AccountId>
        <AccountType/>
      </UserInfo>
      <UserInfo>
        <DisplayName>Shahroz Sufyan</DisplayName>
        <AccountId>1985</AccountId>
        <AccountType/>
      </UserInfo>
    </SharedWithUsers>
  </documentManagement>
</p:properties>
</file>

<file path=customXml/itemProps1.xml><?xml version="1.0" encoding="utf-8"?>
<ds:datastoreItem xmlns:ds="http://schemas.openxmlformats.org/officeDocument/2006/customXml" ds:itemID="{EDA7E6F5-5957-45AC-BF03-0D49A6144E10}"/>
</file>

<file path=customXml/itemProps2.xml><?xml version="1.0" encoding="utf-8"?>
<ds:datastoreItem xmlns:ds="http://schemas.openxmlformats.org/officeDocument/2006/customXml" ds:itemID="{71E9BA3C-9D4D-4663-B3FA-61F918D7BAF6}"/>
</file>

<file path=customXml/itemProps3.xml><?xml version="1.0" encoding="utf-8"?>
<ds:datastoreItem xmlns:ds="http://schemas.openxmlformats.org/officeDocument/2006/customXml" ds:itemID="{5DBBB23B-344A-46C0-8038-18943478CD1F}"/>
</file>

<file path=docMetadata/LabelInfo.xml><?xml version="1.0" encoding="utf-8"?>
<clbl:labelList xmlns:clbl="http://schemas.microsoft.com/office/2020/mipLabelMetadata">
  <clbl:label id="{d8660806-f38d-4ca0-a6f1-8deb7cfe8971}" enabled="0" method="" siteId="{d8660806-f38d-4ca0-a6f1-8deb7cfe8971}"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 Gillis</dc:creator>
  <cp:keywords/>
  <dc:description/>
  <cp:lastModifiedBy/>
  <cp:revision/>
  <dcterms:created xsi:type="dcterms:W3CDTF">2019-01-10T22:15:12Z</dcterms:created>
  <dcterms:modified xsi:type="dcterms:W3CDTF">2026-10-08T16:06:11Z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0x010100D03D77FC2836124998EB22E0CB10460F</vt:lpwstr>
  </property>
  <property fmtid="{D5CDD505-2E9C-101B-9397-08002B2CF9AE}" pid="3" name="AuthorIds_UIVersion_8704">
    <vt:lpwstr>18</vt:lpwstr>
  </property>
</Properties>
</file>